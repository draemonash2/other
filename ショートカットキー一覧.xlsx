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24226"/>
  <xr:revisionPtr revIDLastSave="0" documentId="13_ncr:1_{3574FCA2-CC40-4780-A3AF-6E3B872CDA60}" xr6:coauthVersionLast="47" xr6:coauthVersionMax="47" xr10:uidLastSave="{00000000-0000-0000-0000-000000000000}"/>
  <bookViews>
    <workbookView xWindow="-32385" yWindow="1230" windowWidth="32385" windowHeight="40695" firstSheet="21" activeTab="31" xr2:uid="{43490DDC-BDDE-46A2-A177-1DE0A5EB93B9}"/>
  </bookViews>
  <sheets>
    <sheet name="概要" sheetId="46" r:id="rId1"/>
    <sheet name="▽Windows" sheetId="7" r:id="rId2"/>
    <sheet name="▽Linuxシェル" sheetId="30" r:id="rId3"/>
    <sheet name="▽Outlook" sheetId="9" r:id="rId4"/>
    <sheet name="▽Excel" sheetId="10" r:id="rId5"/>
    <sheet name="▼Excel" sheetId="25" r:id="rId6"/>
    <sheet name="▽Excel(alt)" sheetId="16" r:id="rId7"/>
    <sheet name="▽Vbe" sheetId="17" r:id="rId8"/>
    <sheet name="▽Visio" sheetId="14" r:id="rId9"/>
    <sheet name="▽Word" sheetId="12" r:id="rId10"/>
    <sheet name="▼Word" sheetId="23" r:id="rId11"/>
    <sheet name="▽Firefox" sheetId="6" r:id="rId12"/>
    <sheet name="▽Thunderbird" sheetId="5" r:id="rId13"/>
    <sheet name="▽iThoughts" sheetId="4" r:id="rId14"/>
    <sheet name="▽Vim" sheetId="8" r:id="rId15"/>
    <sheet name="▼Vim" sheetId="27" r:id="rId16"/>
    <sheet name="▽AdobeReader" sheetId="32" r:id="rId17"/>
    <sheet name="▽XChangeViewer" sheetId="11" r:id="rId18"/>
    <sheet name="▼XChangeEditer" sheetId="39" r:id="rId19"/>
    <sheet name="▽X-Finder" sheetId="13" r:id="rId20"/>
    <sheet name="▼X-Finder" sheetId="20" r:id="rId21"/>
    <sheet name="▼秀丸" sheetId="26" r:id="rId22"/>
    <sheet name="▼Sakura" sheetId="37" r:id="rId23"/>
    <sheet name="▽RLogin" sheetId="34" r:id="rId24"/>
    <sheet name="▼RLogin" sheetId="36" r:id="rId25"/>
    <sheet name="▼WinTerm" sheetId="41" r:id="rId26"/>
    <sheet name="▼TeraTerm" sheetId="42" r:id="rId27"/>
    <sheet name="▽WinSCP" sheetId="35" r:id="rId28"/>
    <sheet name="▼VSCode" sheetId="43" r:id="rId29"/>
    <sheet name="▼VSCode(Ctrl+K)" sheetId="44" r:id="rId30"/>
    <sheet name="▽WinMerge" sheetId="47" r:id="rId31"/>
    <sheet name="▽Blender" sheetId="49" r:id="rId32"/>
  </sheets>
  <definedNames>
    <definedName name="_xlnm._FilterDatabase" localSheetId="5" hidden="1">▼Excel!$A$68:$K$68</definedName>
    <definedName name="_xlnm._FilterDatabase" localSheetId="24" hidden="1">▼RLogin!$A$1:$I$90</definedName>
    <definedName name="_xlnm._FilterDatabase" localSheetId="22" hidden="1">▼Sakura!$A$1:$I$86</definedName>
    <definedName name="_xlnm._FilterDatabase" localSheetId="26" hidden="1">▼TeraTerm!$A$1:$I$90</definedName>
    <definedName name="_xlnm._FilterDatabase" localSheetId="15" hidden="1">▼Vim!$A$1:$I$86</definedName>
    <definedName name="_xlnm._FilterDatabase" localSheetId="28" hidden="1">▼VSCode!$A$1:$I$90</definedName>
    <definedName name="_xlnm._FilterDatabase" localSheetId="29" hidden="1">'▼VSCode(Ctrl+K)'!$A$1:$I$90</definedName>
    <definedName name="_xlnm._FilterDatabase" localSheetId="25" hidden="1">▼WinTerm!$A$1:$I$90</definedName>
    <definedName name="_xlnm._FilterDatabase" localSheetId="10" hidden="1">▼Word!$A$1:$I$92</definedName>
    <definedName name="_xlnm._FilterDatabase" localSheetId="18" hidden="1">▼XChangeEditer!$A$1:$I$91</definedName>
    <definedName name="_xlnm._FilterDatabase" localSheetId="20" hidden="1">'▼X-Finder'!$A$1:$I$90</definedName>
    <definedName name="_xlnm._FilterDatabase" localSheetId="21" hidden="1">▼秀丸!$A$1:$I$87</definedName>
    <definedName name="_xlnm.Print_Area" localSheetId="16">テーブル1713[[#All],[Ctrl]:[機能]]</definedName>
    <definedName name="_xlnm.Print_Area" localSheetId="31">テーブル178101120[[#All],[Ctrl]:[機能]]</definedName>
    <definedName name="_xlnm.Print_Area" localSheetId="5">▼Excel!$A$1:$I$92</definedName>
    <definedName name="_xlnm.Print_Area" localSheetId="4">テーブル178[[#All],[Ctrl]:[機能]]</definedName>
    <definedName name="_xlnm.Print_Area" localSheetId="6">'▽Excel(alt)'!$A$1:$B$57</definedName>
    <definedName name="_xlnm.Print_Area" localSheetId="11">テーブル134[[#All],[Ctrl]:[機能]]</definedName>
    <definedName name="_xlnm.Print_Area" localSheetId="13">テーブル1[[#All],[Ctrl]:[機能]]</definedName>
    <definedName name="_xlnm.Print_Area" localSheetId="2">テーブル1716[[#All],[Ctrl]:[機能]]</definedName>
    <definedName name="_xlnm.Print_Area" localSheetId="3">テーブル17[[#All],[Ctrl]:[機能]]</definedName>
    <definedName name="_xlnm.Print_Area" localSheetId="24">▼RLogin!$A$1:$I$90</definedName>
    <definedName name="_xlnm.Print_Area" localSheetId="23">テーブル178101117[[#All],[Ctrl]:[機能]]</definedName>
    <definedName name="_xlnm.Print_Area" localSheetId="22">▼Sakura!$A$1:$I$86</definedName>
    <definedName name="_xlnm.Print_Area" localSheetId="26">▼TeraTerm!$A$1:$I$90</definedName>
    <definedName name="_xlnm.Print_Area" localSheetId="12">テーブル13[[#All],[Ctrl]:[機能]]</definedName>
    <definedName name="_xlnm.Print_Area" localSheetId="7">テーブル17815[[#All],[Ctrl]:[機能]]</definedName>
    <definedName name="_xlnm.Print_Area" localSheetId="15">▼Vim!$A$1:$I$86</definedName>
    <definedName name="_xlnm.Print_Area" localSheetId="14">▽Vim!$A$1:$E$78</definedName>
    <definedName name="_xlnm.Print_Area" localSheetId="8">テーブル1312[[#All],[Ctrl]:[機能]]</definedName>
    <definedName name="_xlnm.Print_Area" localSheetId="28">▼VSCode!$A$1:$I$90</definedName>
    <definedName name="_xlnm.Print_Area" localSheetId="29">'▼VSCode(Ctrl+K)'!$A$1:$I$90</definedName>
    <definedName name="_xlnm.Print_Area" localSheetId="1">テーブル1345[[#All],[Ctrl]:[機能]]</definedName>
    <definedName name="_xlnm.Print_Area" localSheetId="30">テーブル1781011171819[[#All],[Ctrl]:[機能]]</definedName>
    <definedName name="_xlnm.Print_Area" localSheetId="27">テーブル17810111718[[#All],[Ctrl]:[機能]]</definedName>
    <definedName name="_xlnm.Print_Area" localSheetId="25">▼WinTerm!$A$1:$I$90</definedName>
    <definedName name="_xlnm.Print_Area" localSheetId="10">▼Word!$A$1:$I$92</definedName>
    <definedName name="_xlnm.Print_Area" localSheetId="9">テーブル17810[[#All],[Ctrl]:[機能]]</definedName>
    <definedName name="_xlnm.Print_Area" localSheetId="18">▼XChangeEditer!$A$1:$I$91</definedName>
    <definedName name="_xlnm.Print_Area" localSheetId="17">テーブル1789[[#All],[Ctrl]:[機能]]</definedName>
    <definedName name="_xlnm.Print_Area" localSheetId="20">'▼X-Finder'!$A$1:$I$90</definedName>
    <definedName name="_xlnm.Print_Area" localSheetId="19">テーブル1781011[[#All],[Ctrl]:[機能]]</definedName>
    <definedName name="_xlnm.Print_Area" localSheetId="21">▼秀丸!$A$1:$I$87</definedName>
    <definedName name="_xlnm.Print_Area" localSheetId="0">概要!$A$1:$S$16</definedName>
  </definedNames>
  <calcPr calcId="181029"/>
</workbook>
</file>

<file path=xl/calcChain.xml><?xml version="1.0" encoding="utf-8"?>
<calcChain xmlns="http://schemas.openxmlformats.org/spreadsheetml/2006/main">
  <c r="F55" i="49" l="1"/>
  <c r="F54" i="49"/>
  <c r="F53" i="49"/>
  <c r="F52" i="49"/>
  <c r="F51" i="49"/>
  <c r="F50" i="49"/>
  <c r="F49" i="49"/>
  <c r="F48" i="49"/>
  <c r="F47" i="49"/>
  <c r="F46" i="49"/>
  <c r="F45" i="49"/>
  <c r="F44" i="49"/>
  <c r="F43" i="49"/>
  <c r="F42" i="49"/>
  <c r="F41" i="49"/>
  <c r="F40" i="49"/>
  <c r="F39" i="49"/>
  <c r="F38" i="49"/>
  <c r="F37" i="49"/>
  <c r="F36" i="49"/>
  <c r="F35" i="49"/>
  <c r="F34" i="49"/>
  <c r="F33" i="49"/>
  <c r="F32" i="49"/>
  <c r="F31" i="49"/>
  <c r="F30" i="49"/>
  <c r="F29" i="49"/>
  <c r="F28" i="49"/>
  <c r="F27" i="49"/>
  <c r="F26" i="49"/>
  <c r="F25" i="49"/>
  <c r="F24" i="49"/>
  <c r="F23" i="49"/>
  <c r="F22" i="49"/>
  <c r="F21" i="49"/>
  <c r="F20" i="49"/>
  <c r="F19" i="49"/>
  <c r="F18" i="49"/>
  <c r="F17" i="49"/>
  <c r="F16" i="49"/>
  <c r="F15" i="49"/>
  <c r="F14" i="49"/>
  <c r="F13" i="49"/>
  <c r="F12" i="49"/>
  <c r="F11" i="49"/>
  <c r="F10" i="49"/>
  <c r="F9" i="49"/>
  <c r="F8" i="49"/>
  <c r="F7" i="49"/>
  <c r="F6" i="49"/>
  <c r="F5" i="49"/>
  <c r="F4" i="49"/>
  <c r="F3" i="49"/>
  <c r="F2" i="49"/>
  <c r="G47" i="7"/>
  <c r="G49" i="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F5" i="47"/>
  <c r="F4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3" i="47"/>
  <c r="F2" i="47"/>
  <c r="F7" i="34"/>
  <c r="F6" i="34"/>
  <c r="F13" i="35"/>
  <c r="F8" i="34"/>
  <c r="F87" i="35"/>
  <c r="F86" i="35"/>
  <c r="F85" i="35"/>
  <c r="F84" i="35"/>
  <c r="F83" i="35"/>
  <c r="F82" i="35"/>
  <c r="F81" i="35"/>
  <c r="F80" i="35"/>
  <c r="F79" i="35"/>
  <c r="F78" i="35"/>
  <c r="F77" i="35"/>
  <c r="F76" i="35"/>
  <c r="F75" i="35"/>
  <c r="F74" i="35"/>
  <c r="F73" i="35"/>
  <c r="F72" i="35"/>
  <c r="F71" i="35"/>
  <c r="F70" i="35"/>
  <c r="F69" i="35"/>
  <c r="F68" i="35"/>
  <c r="F67" i="35"/>
  <c r="F66" i="35"/>
  <c r="F65" i="35"/>
  <c r="F64" i="35"/>
  <c r="F63" i="35"/>
  <c r="F62" i="35"/>
  <c r="F61" i="35"/>
  <c r="F60" i="35"/>
  <c r="F59" i="35"/>
  <c r="F58" i="35"/>
  <c r="F57" i="35"/>
  <c r="F56" i="35"/>
  <c r="F55" i="35"/>
  <c r="F54" i="35"/>
  <c r="F53" i="35"/>
  <c r="F52" i="35"/>
  <c r="F51" i="35"/>
  <c r="F50" i="35"/>
  <c r="F49" i="35"/>
  <c r="F48" i="35"/>
  <c r="F47" i="35"/>
  <c r="F46" i="35"/>
  <c r="F45" i="35"/>
  <c r="F44" i="35"/>
  <c r="F43" i="35"/>
  <c r="F42" i="35"/>
  <c r="F41" i="35"/>
  <c r="F40" i="35"/>
  <c r="F39" i="35"/>
  <c r="F38" i="35"/>
  <c r="F37" i="35"/>
  <c r="F36" i="35"/>
  <c r="F35" i="35"/>
  <c r="F34" i="35"/>
  <c r="F33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16" i="35"/>
  <c r="F15" i="35"/>
  <c r="F20" i="35"/>
  <c r="F19" i="35"/>
  <c r="F18" i="35"/>
  <c r="F17" i="35"/>
  <c r="F14" i="35"/>
  <c r="F12" i="35"/>
  <c r="F11" i="35"/>
  <c r="F10" i="35"/>
  <c r="F9" i="35"/>
  <c r="F8" i="35"/>
  <c r="F7" i="35"/>
  <c r="F4" i="35"/>
  <c r="F6" i="35"/>
  <c r="F5" i="35"/>
  <c r="F3" i="35"/>
  <c r="F2" i="35"/>
  <c r="F10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15" i="34"/>
  <c r="F26" i="34"/>
  <c r="F12" i="34"/>
  <c r="F25" i="34"/>
  <c r="F24" i="34"/>
  <c r="F23" i="34"/>
  <c r="F21" i="34"/>
  <c r="F22" i="34"/>
  <c r="F20" i="34"/>
  <c r="F19" i="34"/>
  <c r="F18" i="34"/>
  <c r="F17" i="34"/>
  <c r="F9" i="34"/>
  <c r="F11" i="34"/>
  <c r="F16" i="34"/>
  <c r="F14" i="34"/>
  <c r="F13" i="34"/>
  <c r="F4" i="34"/>
  <c r="F5" i="34"/>
  <c r="F3" i="34"/>
  <c r="F2" i="34"/>
  <c r="F2" i="32"/>
  <c r="F98" i="32"/>
  <c r="F97" i="32"/>
  <c r="F96" i="32"/>
  <c r="F95" i="32"/>
  <c r="F94" i="32"/>
  <c r="F93" i="32"/>
  <c r="F92" i="32"/>
  <c r="F91" i="32"/>
  <c r="F90" i="32"/>
  <c r="F89" i="32"/>
  <c r="F88" i="32"/>
  <c r="F87" i="32"/>
  <c r="F86" i="32"/>
  <c r="F85" i="32"/>
  <c r="F84" i="32"/>
  <c r="F83" i="32"/>
  <c r="F82" i="32"/>
  <c r="F81" i="32"/>
  <c r="F80" i="32"/>
  <c r="F79" i="32"/>
  <c r="F78" i="32"/>
  <c r="F77" i="32"/>
  <c r="F76" i="32"/>
  <c r="F75" i="32"/>
  <c r="F74" i="32"/>
  <c r="F73" i="32"/>
  <c r="F72" i="32"/>
  <c r="F71" i="32"/>
  <c r="F70" i="32"/>
  <c r="F69" i="32"/>
  <c r="F68" i="32"/>
  <c r="F67" i="32"/>
  <c r="F66" i="32"/>
  <c r="F65" i="32"/>
  <c r="F64" i="32"/>
  <c r="F63" i="32"/>
  <c r="F62" i="32"/>
  <c r="F61" i="32"/>
  <c r="F60" i="32"/>
  <c r="F59" i="32"/>
  <c r="F58" i="32"/>
  <c r="F57" i="32"/>
  <c r="F56" i="32"/>
  <c r="F55" i="32"/>
  <c r="F54" i="32"/>
  <c r="F53" i="32"/>
  <c r="F52" i="32"/>
  <c r="F51" i="32"/>
  <c r="F50" i="32"/>
  <c r="F49" i="32"/>
  <c r="F48" i="32"/>
  <c r="F47" i="32"/>
  <c r="F46" i="32"/>
  <c r="F45" i="32"/>
  <c r="F44" i="32"/>
  <c r="F43" i="32"/>
  <c r="F42" i="32"/>
  <c r="F41" i="32"/>
  <c r="F40" i="32"/>
  <c r="F39" i="32"/>
  <c r="F38" i="32"/>
  <c r="F37" i="32"/>
  <c r="F36" i="32"/>
  <c r="F35" i="32"/>
  <c r="F34" i="32"/>
  <c r="F33" i="32"/>
  <c r="F32" i="32"/>
  <c r="F31" i="32"/>
  <c r="F30" i="32"/>
  <c r="F29" i="32"/>
  <c r="F28" i="32"/>
  <c r="F27" i="32"/>
  <c r="F26" i="32"/>
  <c r="F25" i="32"/>
  <c r="F24" i="32"/>
  <c r="F8" i="32"/>
  <c r="F7" i="32"/>
  <c r="F23" i="32"/>
  <c r="F22" i="32"/>
  <c r="F21" i="32"/>
  <c r="F20" i="32"/>
  <c r="F19" i="32"/>
  <c r="F18" i="32"/>
  <c r="F17" i="32"/>
  <c r="F16" i="32"/>
  <c r="F15" i="32"/>
  <c r="F14" i="32"/>
  <c r="F13" i="32"/>
  <c r="F12" i="32"/>
  <c r="F11" i="32"/>
  <c r="F10" i="32"/>
  <c r="F9" i="32"/>
  <c r="F6" i="32"/>
  <c r="F5" i="32"/>
  <c r="F4" i="32"/>
  <c r="F3" i="32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19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I2" i="30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21" i="30"/>
  <c r="I19" i="30"/>
  <c r="I20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  <c r="I75" i="30"/>
  <c r="I76" i="30"/>
  <c r="I77" i="30"/>
  <c r="I78" i="30"/>
  <c r="I79" i="30"/>
  <c r="I80" i="30"/>
  <c r="I81" i="30"/>
  <c r="I82" i="30"/>
  <c r="I83" i="30"/>
  <c r="I84" i="30"/>
  <c r="I85" i="30"/>
  <c r="I86" i="30"/>
  <c r="I87" i="30"/>
  <c r="I88" i="30"/>
  <c r="I89" i="30"/>
  <c r="I90" i="30"/>
  <c r="I91" i="30"/>
  <c r="I92" i="30"/>
  <c r="I93" i="30"/>
  <c r="G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21" i="30"/>
  <c r="G19" i="30"/>
  <c r="G20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F19" i="30"/>
  <c r="F26" i="30"/>
  <c r="F32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7" i="30"/>
  <c r="F31" i="30"/>
  <c r="F9" i="30"/>
  <c r="F8" i="30"/>
  <c r="F6" i="30"/>
  <c r="F30" i="30"/>
  <c r="F27" i="30"/>
  <c r="F29" i="30"/>
  <c r="F28" i="30"/>
  <c r="F25" i="30"/>
  <c r="F24" i="30"/>
  <c r="F23" i="30"/>
  <c r="F22" i="30"/>
  <c r="F20" i="30"/>
  <c r="F21" i="30"/>
  <c r="F12" i="30"/>
  <c r="F11" i="30"/>
  <c r="F10" i="30"/>
  <c r="F18" i="30"/>
  <c r="F17" i="30"/>
  <c r="F16" i="30"/>
  <c r="F15" i="30"/>
  <c r="F14" i="30"/>
  <c r="F13" i="30"/>
  <c r="F5" i="30"/>
  <c r="F4" i="30"/>
  <c r="F3" i="30"/>
  <c r="F2" i="30"/>
  <c r="F51" i="10"/>
  <c r="F50" i="10"/>
  <c r="F49" i="10"/>
  <c r="F48" i="10"/>
  <c r="F47" i="10"/>
  <c r="F46" i="10"/>
  <c r="F19" i="12" l="1"/>
  <c r="F7" i="17" l="1"/>
  <c r="F6" i="17"/>
  <c r="F5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2" i="17"/>
  <c r="F8" i="17"/>
  <c r="F11" i="17"/>
  <c r="F10" i="17"/>
  <c r="F9" i="17"/>
  <c r="F4" i="17"/>
  <c r="F3" i="17"/>
  <c r="F13" i="17"/>
  <c r="F2" i="17"/>
  <c r="C92" i="16" l="1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3" i="16"/>
  <c r="C2" i="16"/>
  <c r="C4" i="16"/>
  <c r="F26" i="10" l="1"/>
  <c r="F43" i="10" l="1"/>
  <c r="F6" i="10" l="1"/>
  <c r="F11" i="10" l="1"/>
  <c r="F10" i="10"/>
  <c r="F36" i="10" l="1"/>
  <c r="F37" i="10"/>
  <c r="F21" i="10"/>
  <c r="F20" i="10"/>
  <c r="F19" i="10"/>
  <c r="F80" i="14" l="1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5" i="13"/>
  <c r="F26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40" i="12"/>
  <c r="F24" i="12"/>
  <c r="F23" i="12"/>
  <c r="F22" i="12"/>
  <c r="F28" i="12"/>
  <c r="F20" i="12"/>
  <c r="F21" i="12"/>
  <c r="F25" i="12"/>
  <c r="F26" i="12"/>
  <c r="F27" i="12"/>
  <c r="F31" i="12"/>
  <c r="F30" i="12"/>
  <c r="F39" i="12"/>
  <c r="F38" i="12"/>
  <c r="F37" i="12"/>
  <c r="F36" i="12"/>
  <c r="F35" i="12"/>
  <c r="F34" i="12"/>
  <c r="F33" i="12"/>
  <c r="F16" i="12"/>
  <c r="F15" i="12"/>
  <c r="F17" i="12"/>
  <c r="F14" i="12"/>
  <c r="F18" i="12"/>
  <c r="F9" i="12"/>
  <c r="F12" i="12"/>
  <c r="F7" i="12"/>
  <c r="F11" i="12"/>
  <c r="F32" i="12"/>
  <c r="F4" i="12"/>
  <c r="F13" i="12"/>
  <c r="F10" i="12"/>
  <c r="F6" i="12"/>
  <c r="F8" i="12"/>
  <c r="F29" i="12"/>
  <c r="F5" i="12"/>
  <c r="F3" i="12"/>
  <c r="F2" i="12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45" i="10"/>
  <c r="F44" i="10"/>
  <c r="F42" i="10"/>
  <c r="F12" i="10"/>
  <c r="F40" i="10"/>
  <c r="F15" i="10"/>
  <c r="F14" i="10"/>
  <c r="F34" i="10"/>
  <c r="F24" i="10"/>
  <c r="F33" i="10"/>
  <c r="F18" i="10"/>
  <c r="F31" i="10"/>
  <c r="F17" i="10"/>
  <c r="F16" i="10"/>
  <c r="F41" i="10"/>
  <c r="F9" i="10"/>
  <c r="F8" i="10"/>
  <c r="F7" i="10"/>
  <c r="F5" i="10"/>
  <c r="F4" i="10"/>
  <c r="F3" i="10"/>
  <c r="F22" i="10"/>
  <c r="F39" i="10"/>
  <c r="F38" i="10"/>
  <c r="F25" i="10"/>
  <c r="F23" i="10"/>
  <c r="F13" i="10"/>
  <c r="F35" i="10"/>
  <c r="F32" i="10"/>
  <c r="F30" i="10"/>
  <c r="F29" i="10"/>
  <c r="F28" i="10"/>
  <c r="F27" i="10"/>
  <c r="F2" i="10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2" i="5" l="1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8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2" i="4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2" i="8"/>
  <c r="F3" i="8"/>
  <c r="F90" i="5" l="1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" i="6"/>
  <c r="F3" i="6"/>
  <c r="F3" i="5"/>
  <c r="F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2" authorId="0" shapeId="0" xr:uid="{D1089448-29FA-48D5-81AD-C7AD8E8F244A}">
      <text>
        <r>
          <rPr>
            <b/>
            <sz val="9"/>
            <color indexed="81"/>
            <rFont val="MS P ゴシック"/>
            <family val="3"/>
            <charset val="128"/>
          </rPr>
          <t>・比較＠Winmerge
・比較＠TortoiseGit
・比較＠TortoiseSvn</t>
        </r>
      </text>
    </comment>
    <comment ref="B13" authorId="0" shapeId="0" xr:uid="{99D6521A-D9B3-4EF8-8056-204725D75D62}">
      <text>
        <r>
          <rPr>
            <b/>
            <sz val="9"/>
            <color indexed="81"/>
            <rFont val="MS P ゴシック"/>
            <family val="3"/>
            <charset val="128"/>
          </rPr>
          <t>・フォルダ情報作成
・フォルダサイズ解析＠DiskInfo
・タグファイル作成＠Ctags,Gtags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52" authorId="0" shapeId="0" xr:uid="{E661FCE6-4BE8-4F94-B778-29D74D880A02}">
      <text>
        <r>
          <rPr>
            <b/>
            <sz val="9"/>
            <color indexed="81"/>
            <rFont val="MS P ゴシック"/>
            <family val="3"/>
            <charset val="128"/>
          </rPr>
          <t>検索文字列に色を付ける＠検索ウィンドウ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90" authorId="0" shapeId="0" xr:uid="{321D7632-BECA-4D4A-8AEA-A0DEEC997CF8}">
      <text>
        <r>
          <rPr>
            <b/>
            <sz val="9"/>
            <color indexed="81"/>
            <rFont val="MS P ゴシック"/>
            <family val="3"/>
            <charset val="128"/>
          </rPr>
          <t>4連続クリック</t>
        </r>
      </text>
    </comment>
  </commentList>
</comments>
</file>

<file path=xl/sharedStrings.xml><?xml version="1.0" encoding="utf-8"?>
<sst xmlns="http://schemas.openxmlformats.org/spreadsheetml/2006/main" count="11362" uniqueCount="1818">
  <si>
    <t>Ctrl</t>
  </si>
  <si>
    <t>Shift</t>
  </si>
  <si>
    <t>Alt</t>
  </si>
  <si>
    <t>機能</t>
    <rPh sb="0" eb="2">
      <t>キノウ</t>
    </rPh>
    <phoneticPr fontId="5"/>
  </si>
  <si>
    <t>:---</t>
  </si>
  <si>
    <t>↑/↓</t>
    <phoneticPr fontId="5"/>
  </si>
  <si>
    <t>トピック 順番入替え</t>
    <rPh sb="5" eb="7">
      <t>ジュンバン</t>
    </rPh>
    <rPh sb="7" eb="9">
      <t>イレカエ</t>
    </rPh>
    <phoneticPr fontId="5"/>
  </si>
  <si>
    <t>1..9</t>
    <phoneticPr fontId="5"/>
  </si>
  <si>
    <t>トピック お気に入りアイコン</t>
    <rPh sb="6" eb="7">
      <t>キ</t>
    </rPh>
    <rPh sb="8" eb="9">
      <t>イ</t>
    </rPh>
    <phoneticPr fontId="5"/>
  </si>
  <si>
    <t>Delete</t>
    <phoneticPr fontId="5"/>
  </si>
  <si>
    <t>トピック 選択中トピックのみ削除</t>
    <phoneticPr fontId="5"/>
  </si>
  <si>
    <t>k</t>
    <phoneticPr fontId="5"/>
  </si>
  <si>
    <t>トピック ハイパーリンク 挿入</t>
    <phoneticPr fontId="5"/>
  </si>
  <si>
    <t>k</t>
    <phoneticPr fontId="5"/>
  </si>
  <si>
    <t>トピック ハイパーリンク 開く</t>
    <phoneticPr fontId="5"/>
  </si>
  <si>
    <t>p</t>
  </si>
  <si>
    <t>タスク 進捗Up</t>
    <phoneticPr fontId="5"/>
  </si>
  <si>
    <t>p</t>
    <phoneticPr fontId="5"/>
  </si>
  <si>
    <t>タスク 完了(進捗Down)</t>
    <rPh sb="4" eb="6">
      <t>カンリョウ</t>
    </rPh>
    <rPh sb="7" eb="9">
      <t>シンチョク</t>
    </rPh>
    <phoneticPr fontId="5"/>
  </si>
  <si>
    <t>c</t>
    <phoneticPr fontId="5"/>
  </si>
  <si>
    <t>タスク コスト</t>
    <phoneticPr fontId="5"/>
  </si>
  <si>
    <t>e</t>
  </si>
  <si>
    <t>タスク 労力</t>
    <phoneticPr fontId="5"/>
  </si>
  <si>
    <t>1-5</t>
    <phoneticPr fontId="5"/>
  </si>
  <si>
    <t>タスク 優先度</t>
    <phoneticPr fontId="5"/>
  </si>
  <si>
    <t>+/-</t>
    <phoneticPr fontId="5"/>
  </si>
  <si>
    <t>フォント サイズUp/Down</t>
    <phoneticPr fontId="5"/>
  </si>
  <si>
    <t>b</t>
    <phoneticPr fontId="5"/>
  </si>
  <si>
    <t>フォント 太字</t>
    <rPh sb="5" eb="7">
      <t>フトジ</t>
    </rPh>
    <phoneticPr fontId="5"/>
  </si>
  <si>
    <t>u</t>
    <phoneticPr fontId="5"/>
  </si>
  <si>
    <t>フォント イタリック</t>
    <phoneticPr fontId="5"/>
  </si>
  <si>
    <t>フォント 取り消し線(テキスト選択時)</t>
    <rPh sb="5" eb="6">
      <t>ト</t>
    </rPh>
    <rPh sb="7" eb="8">
      <t>ケ</t>
    </rPh>
    <rPh sb="9" eb="10">
      <t>セン</t>
    </rPh>
    <rPh sb="15" eb="17">
      <t>センタク</t>
    </rPh>
    <rPh sb="17" eb="18">
      <t>ジ</t>
    </rPh>
    <phoneticPr fontId="5"/>
  </si>
  <si>
    <t>t</t>
    <phoneticPr fontId="5"/>
  </si>
  <si>
    <t>表示 ノートウィンドウ View/Hide</t>
    <rPh sb="0" eb="2">
      <t>ヒョウジ</t>
    </rPh>
    <phoneticPr fontId="5"/>
  </si>
  <si>
    <t>F4</t>
    <phoneticPr fontId="5"/>
  </si>
  <si>
    <t>表示 ノートウィンドウ View/Hide</t>
    <phoneticPr fontId="5"/>
  </si>
  <si>
    <t>t</t>
    <phoneticPr fontId="5"/>
  </si>
  <si>
    <t>表示 ノートモード切替(編集/閲覧)</t>
    <rPh sb="0" eb="2">
      <t>ヒョウジ</t>
    </rPh>
    <rPh sb="9" eb="11">
      <t>キリカエ</t>
    </rPh>
    <phoneticPr fontId="5"/>
  </si>
  <si>
    <t>0</t>
    <phoneticPr fontId="5"/>
  </si>
  <si>
    <t>表示 オートズームOn/Off</t>
    <rPh sb="0" eb="2">
      <t>ヒョウジ</t>
    </rPh>
    <phoneticPr fontId="5"/>
  </si>
  <si>
    <t>.</t>
    <phoneticPr fontId="5"/>
  </si>
  <si>
    <t>表示 ブランチView/Hide</t>
    <rPh sb="0" eb="2">
      <t>ヒョウジ</t>
    </rPh>
    <phoneticPr fontId="5"/>
  </si>
  <si>
    <t>PgUp/Dn</t>
    <phoneticPr fontId="5"/>
  </si>
  <si>
    <t>表示 ズームIn/Out</t>
    <rPh sb="0" eb="2">
      <t>ヒョウジ</t>
    </rPh>
    <phoneticPr fontId="5"/>
  </si>
  <si>
    <t>f</t>
    <phoneticPr fontId="5"/>
  </si>
  <si>
    <t>表示 フォーカスモードOn/Off</t>
    <rPh sb="0" eb="2">
      <t>ヒョウジ</t>
    </rPh>
    <phoneticPr fontId="5"/>
  </si>
  <si>
    <t>o</t>
    <phoneticPr fontId="5"/>
  </si>
  <si>
    <t>表示 アウトラインモードOn/Off</t>
    <phoneticPr fontId="5"/>
  </si>
  <si>
    <t>R</t>
  </si>
  <si>
    <t>F</t>
  </si>
  <si>
    <t>N</t>
  </si>
  <si>
    <t>P</t>
  </si>
  <si>
    <t>Tab</t>
  </si>
  <si>
    <t>F6</t>
  </si>
  <si>
    <t>j</t>
  </si>
  <si>
    <t>Tab</t>
    <phoneticPr fontId="4"/>
  </si>
  <si>
    <t>m</t>
  </si>
  <si>
    <t>r</t>
  </si>
  <si>
    <t>s</t>
  </si>
  <si>
    <t>既読/未読 メッセージ</t>
    <phoneticPr fontId="4"/>
  </si>
  <si>
    <t>既読/未読 スレッド</t>
    <rPh sb="3" eb="5">
      <t>ミドク</t>
    </rPh>
    <phoneticPr fontId="4"/>
  </si>
  <si>
    <t>全スレッド 広げる/折りたたむ</t>
    <rPh sb="0" eb="1">
      <t>ゼン</t>
    </rPh>
    <rPh sb="10" eb="11">
      <t>オ</t>
    </rPh>
    <phoneticPr fontId="4"/>
  </si>
  <si>
    <t>*/\</t>
    <phoneticPr fontId="4"/>
  </si>
  <si>
    <t>Right/Left</t>
    <phoneticPr fontId="4"/>
  </si>
  <si>
    <t>スレッド 広げる/折りたたむ</t>
    <phoneticPr fontId="4"/>
  </si>
  <si>
    <t>/Shift</t>
    <phoneticPr fontId="4"/>
  </si>
  <si>
    <t>スター 付与/解除</t>
    <rPh sb="4" eb="6">
      <t>フヨ</t>
    </rPh>
    <rPh sb="7" eb="9">
      <t>カイジョ</t>
    </rPh>
    <phoneticPr fontId="4"/>
  </si>
  <si>
    <t>新規メッセージ</t>
    <rPh sb="0" eb="2">
      <t>シンキ</t>
    </rPh>
    <phoneticPr fontId="4"/>
  </si>
  <si>
    <t>n</t>
    <phoneticPr fontId="4"/>
  </si>
  <si>
    <t>r</t>
    <phoneticPr fontId="4"/>
  </si>
  <si>
    <t>ズーム In/Out</t>
    <phoneticPr fontId="4"/>
  </si>
  <si>
    <t>+/-</t>
    <phoneticPr fontId="4"/>
  </si>
  <si>
    <t>k</t>
    <phoneticPr fontId="4"/>
  </si>
  <si>
    <t>検索 クイックフィルター</t>
    <rPh sb="0" eb="2">
      <t>ケンサク</t>
    </rPh>
    <phoneticPr fontId="4"/>
  </si>
  <si>
    <t>検索 フォルダー内の詳細検索</t>
    <rPh sb="0" eb="2">
      <t>ケンサク</t>
    </rPh>
    <phoneticPr fontId="4"/>
  </si>
  <si>
    <t>f</t>
    <phoneticPr fontId="4"/>
  </si>
  <si>
    <t>f/b</t>
    <phoneticPr fontId="4"/>
  </si>
  <si>
    <t>Ctrl</t>
    <phoneticPr fontId="4"/>
  </si>
  <si>
    <t>n/p</t>
    <phoneticPr fontId="4"/>
  </si>
  <si>
    <t>フォーカス切替 メールペイン 次/前</t>
    <rPh sb="5" eb="6">
      <t>キ</t>
    </rPh>
    <rPh sb="6" eb="7">
      <t>カ</t>
    </rPh>
    <rPh sb="15" eb="16">
      <t>ツギ</t>
    </rPh>
    <rPh sb="17" eb="18">
      <t>マエ</t>
    </rPh>
    <phoneticPr fontId="4"/>
  </si>
  <si>
    <t>フォーカス切替 UI要素 次/前</t>
    <rPh sb="5" eb="7">
      <t>キリカエ</t>
    </rPh>
    <rPh sb="13" eb="14">
      <t>ツギ</t>
    </rPh>
    <rPh sb="15" eb="16">
      <t>マエ</t>
    </rPh>
    <phoneticPr fontId="4"/>
  </si>
  <si>
    <t>メッセージ選択切替(未読) 次/前</t>
    <rPh sb="5" eb="7">
      <t>センタク</t>
    </rPh>
    <rPh sb="7" eb="9">
      <t>キリカエ</t>
    </rPh>
    <rPh sb="10" eb="12">
      <t>ミドク</t>
    </rPh>
    <rPh sb="14" eb="15">
      <t>ツギ</t>
    </rPh>
    <rPh sb="16" eb="17">
      <t>マエ</t>
    </rPh>
    <phoneticPr fontId="4"/>
  </si>
  <si>
    <t>メッセージ選択切替 次/前</t>
    <rPh sb="10" eb="11">
      <t>ツギ</t>
    </rPh>
    <rPh sb="12" eb="13">
      <t>マエ</t>
    </rPh>
    <phoneticPr fontId="4"/>
  </si>
  <si>
    <t>返信(送信者のみ/全受信者)</t>
    <rPh sb="0" eb="2">
      <t>ヘンシン</t>
    </rPh>
    <rPh sb="3" eb="6">
      <t>ソウシンシャ</t>
    </rPh>
    <rPh sb="9" eb="10">
      <t>ゼン</t>
    </rPh>
    <rPh sb="10" eb="13">
      <t>ジュシンシャ</t>
    </rPh>
    <phoneticPr fontId="4"/>
  </si>
  <si>
    <t>/Shift</t>
    <phoneticPr fontId="4"/>
  </si>
  <si>
    <t>タブ移動 次/前</t>
    <rPh sb="5" eb="6">
      <t>ツギ</t>
    </rPh>
    <rPh sb="7" eb="8">
      <t>マエ</t>
    </rPh>
    <phoneticPr fontId="4"/>
  </si>
  <si>
    <t>c</t>
    <phoneticPr fontId="4"/>
  </si>
  <si>
    <t>カレンダータブ</t>
    <phoneticPr fontId="4"/>
  </si>
  <si>
    <t>新しい予定＠カレンダータブ</t>
    <rPh sb="0" eb="1">
      <t>アタラ</t>
    </rPh>
    <rPh sb="3" eb="5">
      <t>ヨテイ</t>
    </rPh>
    <phoneticPr fontId="4"/>
  </si>
  <si>
    <t>i</t>
    <phoneticPr fontId="4"/>
  </si>
  <si>
    <t>d</t>
    <phoneticPr fontId="4"/>
  </si>
  <si>
    <t>新しいToDo＠カレンダータブ</t>
    <rPh sb="0" eb="1">
      <t>アタラ</t>
    </rPh>
    <phoneticPr fontId="4"/>
  </si>
  <si>
    <t>d</t>
    <phoneticPr fontId="4"/>
  </si>
  <si>
    <t>ブックマーク登録</t>
    <rPh sb="6" eb="8">
      <t>トウロク</t>
    </rPh>
    <phoneticPr fontId="4"/>
  </si>
  <si>
    <t>戻る/進む</t>
    <rPh sb="0" eb="1">
      <t>モド</t>
    </rPh>
    <rPh sb="3" eb="4">
      <t>ススム</t>
    </rPh>
    <phoneticPr fontId="4"/>
  </si>
  <si>
    <t>Left/Right</t>
    <phoneticPr fontId="4"/>
  </si>
  <si>
    <t>Key</t>
    <phoneticPr fontId="4"/>
  </si>
  <si>
    <t>Win</t>
  </si>
  <si>
    <t>Win</t>
    <phoneticPr fontId="4"/>
  </si>
  <si>
    <t>H</t>
  </si>
  <si>
    <t>表示 共有チャーム</t>
    <rPh sb="3" eb="5">
      <t>キョウユウ</t>
    </rPh>
    <phoneticPr fontId="4"/>
  </si>
  <si>
    <t>b</t>
    <phoneticPr fontId="4"/>
  </si>
  <si>
    <t>h</t>
    <phoneticPr fontId="4"/>
  </si>
  <si>
    <t>t</t>
    <phoneticPr fontId="4"/>
  </si>
  <si>
    <t>x</t>
    <phoneticPr fontId="4"/>
  </si>
  <si>
    <t>表示 アプリのコマンドバー</t>
    <phoneticPr fontId="4"/>
  </si>
  <si>
    <t>表示 アドバンスドメニュー(スタートメニューの右クリックメニュー)</t>
    <phoneticPr fontId="4"/>
  </si>
  <si>
    <t>タスクバー 巡回</t>
    <phoneticPr fontId="4"/>
  </si>
  <si>
    <t>通知領域（タスクトレイ）へフォーカス</t>
    <rPh sb="0" eb="2">
      <t>ツウチ</t>
    </rPh>
    <rPh sb="2" eb="4">
      <t>リョウイキ</t>
    </rPh>
    <phoneticPr fontId="4"/>
  </si>
  <si>
    <t>z</t>
    <phoneticPr fontId="4"/>
  </si>
  <si>
    <t>表示 デスクトップ(一時的)</t>
    <phoneticPr fontId="4"/>
  </si>
  <si>
    <t>表示 デスクトップ</t>
    <phoneticPr fontId="4"/>
  </si>
  <si>
    <t>,</t>
    <phoneticPr fontId="4"/>
  </si>
  <si>
    <t>PrtSc</t>
    <phoneticPr fontId="4"/>
  </si>
  <si>
    <t>スクリーンショット保存 to \\Pictures\\Screenshots</t>
    <phoneticPr fontId="4"/>
  </si>
  <si>
    <t>E</t>
  </si>
  <si>
    <t>検索バーを開く</t>
  </si>
  <si>
    <t>検索ユーティリティを開始する</t>
  </si>
  <si>
    <t>履歴バーを開く</t>
  </si>
  <si>
    <t>I</t>
  </si>
  <si>
    <t>お気に入りバーを開く</t>
  </si>
  <si>
    <t>L</t>
  </si>
  <si>
    <t>[ファイルを開く]ダイアログボックスを開く</t>
  </si>
  <si>
    <t>同じWebアドレスで別のブラウザのインスタンスを開く</t>
  </si>
  <si>
    <t>O</t>
  </si>
  <si>
    <t>[ファイルを開く]ダイアログボックスを開く。CtrlLキーと同じ</t>
  </si>
  <si>
    <t>[印刷]ダイアログボックスを開く</t>
  </si>
  <si>
    <t>現在のWebページを更新する</t>
  </si>
  <si>
    <t>W</t>
  </si>
  <si>
    <t>現在のウィンドウを閉じる</t>
  </si>
  <si>
    <t>F4キー</t>
  </si>
  <si>
    <t>複数の文書を同時に開くことができるプログラムで、作業中の文書を閉じる</t>
  </si>
  <si>
    <t>項目をドラッグする</t>
  </si>
  <si>
    <t>ファイルをコピーする</t>
  </si>
  <si>
    <t>Esc</t>
  </si>
  <si>
    <t>[スタート]メニューを表示する</t>
  </si>
  <si>
    <t>方向キー</t>
  </si>
  <si>
    <t>テキストブロックを強調表示する</t>
  </si>
  <si>
    <t>選択した項目へのショートカットを作成する</t>
  </si>
  <si>
    <t>Del</t>
  </si>
  <si>
    <t>選択した項目を、ごみ箱に移動せずに完全に削除する</t>
  </si>
  <si>
    <t>F10</t>
  </si>
  <si>
    <t>選択した項目のショートカットメニューを表示する</t>
  </si>
  <si>
    <t>Enter</t>
  </si>
  <si>
    <t>選択した項目のプロパティを表示する</t>
  </si>
  <si>
    <t>Space</t>
  </si>
  <si>
    <t>作業中のウィンドウのショートカットメニューを開く</t>
  </si>
  <si>
    <t>開いている項目を切り替える</t>
  </si>
  <si>
    <t>項目を開いた順に切り替える</t>
  </si>
  <si>
    <t>作業中のウィンドウのシステムメニューを開く</t>
  </si>
  <si>
    <t>F4</t>
  </si>
  <si>
    <t>使用中の項目を閉じる、または作業中のプログラムを終了する</t>
  </si>
  <si>
    <t>メニュー内の下線付きの文字キー</t>
  </si>
  <si>
    <t>対応するメニューを表示する</t>
  </si>
  <si>
    <t>F2</t>
  </si>
  <si>
    <t>選択した項目の名前を変更する</t>
  </si>
  <si>
    <t>F3</t>
  </si>
  <si>
    <t>ファイルまたはフォルダを検索する</t>
  </si>
  <si>
    <t>マイコンピュータまたはエクスプローラでアドレスバーの一覧を表示する</t>
  </si>
  <si>
    <t>F5</t>
  </si>
  <si>
    <t>作業中のウィンドウを更新する</t>
  </si>
  <si>
    <t>ウィンドウ内またはデスクトップ上の画面要素を切り替える</t>
  </si>
  <si>
    <t>作業中のプログラムのメニューバーをアクティブにする</t>
  </si>
  <si>
    <t>BackSpace</t>
  </si>
  <si>
    <t>マイコンピュータまたはエクスプローラで1階層上のフォルダを表示する</t>
  </si>
  <si>
    <t>Pause</t>
  </si>
  <si>
    <t>システムのプロパティを表示</t>
  </si>
  <si>
    <t>検索ウィンドウを表示</t>
  </si>
  <si>
    <t>D</t>
  </si>
  <si>
    <t>【仮想デスクトップ】新規デスクトップ作成</t>
  </si>
  <si>
    <t>【仮想デスクトップ】タスクビュー表示</t>
  </si>
  <si>
    <t>【仮想デスクトップ】デスクトップに移動 前/次</t>
    <rPh sb="20" eb="21">
      <t>マエ</t>
    </rPh>
    <rPh sb="22" eb="23">
      <t>ツギ</t>
    </rPh>
    <phoneticPr fontId="4"/>
  </si>
  <si>
    <t>左/右側のメニューを開く、またはサブメニューを開く</t>
    <rPh sb="0" eb="1">
      <t>ヒダリ</t>
    </rPh>
    <rPh sb="2" eb="3">
      <t>ミギ</t>
    </rPh>
    <phoneticPr fontId="4"/>
  </si>
  <si>
    <t>gv</t>
  </si>
  <si>
    <t>再度同じ範囲を選択</t>
  </si>
  <si>
    <t>ge</t>
  </si>
  <si>
    <t>前単語の末尾へ移動</t>
  </si>
  <si>
    <t>&lt;C-r&gt; /</t>
  </si>
  <si>
    <t>最後に検索に使用したワード検索</t>
  </si>
  <si>
    <t xml:space="preserve">v ⇒ o </t>
  </si>
  <si>
    <t>選択範囲の末尾にカーソルを移動</t>
  </si>
  <si>
    <t>挿入モード⇒&lt;C-r&gt;=0xFFFF</t>
  </si>
  <si>
    <t>簡易16⇒10進数変換（例では65535）</t>
  </si>
  <si>
    <t xml:space="preserve">/\V </t>
  </si>
  <si>
    <t>テキストで検索</t>
  </si>
  <si>
    <t>f/b</t>
    <phoneticPr fontId="4"/>
  </si>
  <si>
    <t>移動 1画面分 上/下</t>
    <rPh sb="8" eb="9">
      <t>ウエ</t>
    </rPh>
    <phoneticPr fontId="4"/>
  </si>
  <si>
    <t>u/d</t>
    <phoneticPr fontId="4"/>
  </si>
  <si>
    <t>移動 半画面分 上/下</t>
    <phoneticPr fontId="4"/>
  </si>
  <si>
    <t>+/-</t>
    <phoneticPr fontId="4"/>
  </si>
  <si>
    <t>先頭に移動 次行/前行</t>
    <rPh sb="9" eb="10">
      <t>ゼン</t>
    </rPh>
    <rPh sb="10" eb="11">
      <t>ギョウ</t>
    </rPh>
    <phoneticPr fontId="4"/>
  </si>
  <si>
    <t>h/m/l</t>
    <phoneticPr fontId="4"/>
  </si>
  <si>
    <t>移動 前/次の空行</t>
    <rPh sb="5" eb="6">
      <t>ツギ</t>
    </rPh>
    <phoneticPr fontId="4"/>
  </si>
  <si>
    <t>[/]</t>
    <phoneticPr fontId="4"/>
  </si>
  <si>
    <t>|Ctrl|Shift|Alt|Win|Key|機能|</t>
    <phoneticPr fontId="4"/>
  </si>
  <si>
    <t>|Ctrl|Shift|Alt|Key|機能|</t>
    <phoneticPr fontId="4"/>
  </si>
  <si>
    <t>Key</t>
    <phoneticPr fontId="4"/>
  </si>
  <si>
    <t>カーソル移動 画面 最上行/中央/最下行</t>
    <rPh sb="17" eb="20">
      <t>サイカギョウ</t>
    </rPh>
    <phoneticPr fontId="4"/>
  </si>
  <si>
    <t>[メール] ビューに切り替える</t>
  </si>
  <si>
    <t>[予定表] ビューに切り替える</t>
  </si>
  <si>
    <t>[連絡先] ビューに切り替える</t>
  </si>
  <si>
    <t>新規メッセージ</t>
  </si>
  <si>
    <t>1</t>
  </si>
  <si>
    <t>2</t>
  </si>
  <si>
    <t>3</t>
  </si>
  <si>
    <t>a</t>
    <phoneticPr fontId="4"/>
  </si>
  <si>
    <t>e</t>
    <phoneticPr fontId="4"/>
  </si>
  <si>
    <t>q</t>
    <phoneticPr fontId="4"/>
  </si>
  <si>
    <t>m</t>
    <phoneticPr fontId="4"/>
  </si>
  <si>
    <t>s</t>
    <phoneticPr fontId="4"/>
  </si>
  <si>
    <t>送信</t>
    <phoneticPr fontId="4"/>
  </si>
  <si>
    <t>会議出席依頼 作成</t>
    <phoneticPr fontId="4"/>
  </si>
  <si>
    <t>フォルダー 作成</t>
    <phoneticPr fontId="4"/>
  </si>
  <si>
    <t>連絡先 作成</t>
    <phoneticPr fontId="4"/>
  </si>
  <si>
    <t>予定 作成</t>
    <phoneticPr fontId="4"/>
  </si>
  <si>
    <t>F1</t>
  </si>
  <si>
    <t>現在の範囲からグラフを作成</t>
  </si>
  <si>
    <t>PageUp(Down)</t>
  </si>
  <si>
    <t>一画面分左に(右に)横スクロール</t>
  </si>
  <si>
    <t>=</t>
  </si>
  <si>
    <t>オートSUM機能</t>
  </si>
  <si>
    <t>F11</t>
  </si>
  <si>
    <t>新規シートの挿入</t>
  </si>
  <si>
    <t>直前の操作を繰り返す</t>
  </si>
  <si>
    <t>F7</t>
  </si>
  <si>
    <t>F12</t>
  </si>
  <si>
    <t>名前を付けて保存</t>
  </si>
  <si>
    <t>F2 ⇒ F9</t>
  </si>
  <si>
    <t>0</t>
  </si>
  <si>
    <t>8</t>
  </si>
  <si>
    <t>9</t>
  </si>
  <si>
    <t>Spase</t>
  </si>
  <si>
    <t>一時的に手のひらツール</t>
  </si>
  <si>
    <t>直前の操作の繰り返し</t>
  </si>
  <si>
    <t>［スペルチェックと文章校正］の実行</t>
  </si>
  <si>
    <t>F9</t>
  </si>
  <si>
    <t>:</t>
  </si>
  <si>
    <t>［改ページ］の挿入</t>
  </si>
  <si>
    <t>F8</t>
  </si>
  <si>
    <t>段落内で改行</t>
  </si>
  <si>
    <t>次を検索</t>
  </si>
  <si>
    <t>脚注の挿入</t>
  </si>
  <si>
    <t>新しいコメントの挿入</t>
  </si>
  <si>
    <t>ウィンドウの分割</t>
  </si>
  <si>
    <t>罫線の削除</t>
  </si>
  <si>
    <t>'</t>
  </si>
  <si>
    <t>;</t>
  </si>
  <si>
    <t>&lt;</t>
  </si>
  <si>
    <t>&gt;</t>
  </si>
  <si>
    <t>［変更履歴の記録］の開始</t>
  </si>
  <si>
    <t>［箇条書き］の設定</t>
  </si>
  <si>
    <t>［標準］スタイルを設定</t>
  </si>
  <si>
    <t>&lt;/&gt;</t>
    <phoneticPr fontId="4"/>
  </si>
  <si>
    <t>PgDn/Up</t>
    <phoneticPr fontId="4"/>
  </si>
  <si>
    <t>;/=</t>
    <phoneticPr fontId="4"/>
  </si>
  <si>
    <t>\</t>
  </si>
  <si>
    <t>ルートに移動</t>
  </si>
  <si>
    <t>/</t>
  </si>
  <si>
    <t>すべての選択を解除</t>
  </si>
  <si>
    <t>すべての選択を反転</t>
  </si>
  <si>
    <t>アドレスバーに移動</t>
  </si>
  <si>
    <t>’</t>
  </si>
  <si>
    <t>,</t>
  </si>
  <si>
    <t>インクリメンタル サーチ</t>
  </si>
  <si>
    <t>.</t>
  </si>
  <si>
    <t>拡張子のインクリメンタル サーチ</t>
  </si>
  <si>
    <t>-</t>
  </si>
  <si>
    <t>フォルダの表示設定を保存</t>
  </si>
  <si>
    <t>ウインドウサイズを揃える</t>
  </si>
  <si>
    <t>?</t>
  </si>
  <si>
    <t>他のウインドウとの入れ替え</t>
  </si>
  <si>
    <t>+</t>
  </si>
  <si>
    <t>ポップアップメニュー1</t>
  </si>
  <si>
    <t>ポップアップメニュー2</t>
  </si>
  <si>
    <t>ドライブリスト</t>
  </si>
  <si>
    <t>分割の切り替え</t>
  </si>
  <si>
    <t>分割画面の切り替え</t>
  </si>
  <si>
    <t>フォーカスしたアイテムの選択を反転して次のアイテムにフォーカスを移動</t>
  </si>
  <si>
    <t>一つ上の階層に移動</t>
  </si>
  <si>
    <t>戻る</t>
  </si>
  <si>
    <t>他のウインドウのパス一覧</t>
  </si>
  <si>
    <t>タブの履歴</t>
  </si>
  <si>
    <t>左のタブに移動</t>
  </si>
  <si>
    <t>右のタブに移動</t>
  </si>
  <si>
    <t>タブ メニュー</t>
  </si>
  <si>
    <t>タブの一覧</t>
  </si>
  <si>
    <t>ナビゲートロックの切り替え</t>
  </si>
  <si>
    <t>別ウインドウを開く</t>
  </si>
  <si>
    <t>Ins</t>
  </si>
  <si>
    <t>パスの抽出</t>
  </si>
  <si>
    <t>最近閉じたタブの一覧</t>
  </si>
  <si>
    <t>→/←/↑/↓</t>
  </si>
  <si>
    <t>右/左/上/下に移動</t>
    <rPh sb="2" eb="3">
      <t>ヒダリ</t>
    </rPh>
    <rPh sb="4" eb="5">
      <t>ウエ</t>
    </rPh>
    <rPh sb="6" eb="7">
      <t>シタ</t>
    </rPh>
    <phoneticPr fontId="4"/>
  </si>
  <si>
    <t>←</t>
    <phoneticPr fontId="4"/>
  </si>
  <si>
    <t>↑</t>
    <phoneticPr fontId="4"/>
  </si>
  <si>
    <t>Ins</t>
    <phoneticPr fontId="4"/>
  </si>
  <si>
    <t>Esc</t>
    <phoneticPr fontId="4"/>
  </si>
  <si>
    <t>Space</t>
    <phoneticPr fontId="4"/>
  </si>
  <si>
    <t>↓</t>
    <phoneticPr fontId="4"/>
  </si>
  <si>
    <t>ツールフォルダの場合は項目を上/下に移動</t>
    <rPh sb="16" eb="17">
      <t>シタ</t>
    </rPh>
    <phoneticPr fontId="4"/>
  </si>
  <si>
    <t>↑/↓</t>
    <phoneticPr fontId="4"/>
  </si>
  <si>
    <t>←/→</t>
    <phoneticPr fontId="4"/>
  </si>
  <si>
    <t>タブを左/右に移動</t>
    <rPh sb="5" eb="6">
      <t>ミギ</t>
    </rPh>
    <phoneticPr fontId="4"/>
  </si>
  <si>
    <t>→</t>
    <phoneticPr fontId="4"/>
  </si>
  <si>
    <t>\*</t>
    <phoneticPr fontId="4"/>
  </si>
  <si>
    <t>図形間でフォーカスを1つ移動</t>
  </si>
  <si>
    <t>[図形の整列] ダイアログ</t>
  </si>
  <si>
    <t>マウスホイール</t>
  </si>
  <si>
    <t>左右スクロール</t>
  </si>
  <si>
    <t>[オブジェクト選択ツール]</t>
  </si>
  <si>
    <t>[テキスト ツール]</t>
  </si>
  <si>
    <t>[コネクタ]</t>
  </si>
  <si>
    <t>[直線ツール]</t>
  </si>
  <si>
    <t>[円弧ツール]</t>
  </si>
  <si>
    <t>[四角形ツール]</t>
  </si>
  <si>
    <t>[円/楕円ツール]</t>
  </si>
  <si>
    <t>[接続ポイント]</t>
  </si>
  <si>
    <t>[テキスト ボックス ツール]</t>
  </si>
  <si>
    <t>w</t>
  </si>
  <si>
    <t>ページサイズ ウィンドウに合わせる</t>
  </si>
  <si>
    <t>f7</t>
  </si>
  <si>
    <t>開いている図面ウィンドウを左右に並べて表示</t>
  </si>
  <si>
    <t>(Shift)</t>
  </si>
  <si>
    <t>テキスト 書式のコピー/貼り付け</t>
  </si>
  <si>
    <t>6</t>
  </si>
  <si>
    <t>7</t>
  </si>
  <si>
    <t>4</t>
  </si>
  <si>
    <t>h/j</t>
    <phoneticPr fontId="4"/>
  </si>
  <si>
    <t>オブジェクト 左右反転/上下反転</t>
    <rPh sb="12" eb="14">
      <t>ジョウゲ</t>
    </rPh>
    <rPh sb="14" eb="16">
      <t>ハンテン</t>
    </rPh>
    <phoneticPr fontId="4"/>
  </si>
  <si>
    <t>l/r</t>
    <phoneticPr fontId="4"/>
  </si>
  <si>
    <t>オブジェクト 最前面/最背面に移動</t>
    <phoneticPr fontId="4"/>
  </si>
  <si>
    <t>&gt;/&lt;</t>
    <phoneticPr fontId="4"/>
  </si>
  <si>
    <t>テキスト フォント 拡大/縮小</t>
    <phoneticPr fontId="4"/>
  </si>
  <si>
    <t>テキスト 横 左揃え/右揃え/中央揃え/両端揃え</t>
    <rPh sb="11" eb="12">
      <t>ミギ</t>
    </rPh>
    <rPh sb="12" eb="13">
      <t>ソロ</t>
    </rPh>
    <rPh sb="15" eb="17">
      <t>チュウオウ</t>
    </rPh>
    <rPh sb="17" eb="18">
      <t>ソロ</t>
    </rPh>
    <rPh sb="20" eb="22">
      <t>リョウタン</t>
    </rPh>
    <rPh sb="22" eb="23">
      <t>ソロ</t>
    </rPh>
    <phoneticPr fontId="4"/>
  </si>
  <si>
    <t>l/r/c/j</t>
    <phoneticPr fontId="4"/>
  </si>
  <si>
    <t>t/m/v</t>
    <phoneticPr fontId="4"/>
  </si>
  <si>
    <t>テキスト 縦 上揃え/中央揃え/下揃え</t>
    <rPh sb="16" eb="17">
      <t>シタ</t>
    </rPh>
    <rPh sb="17" eb="18">
      <t>ソロ</t>
    </rPh>
    <phoneticPr fontId="4"/>
  </si>
  <si>
    <t>g/u</t>
    <phoneticPr fontId="4"/>
  </si>
  <si>
    <t>オブジェクト グループ化/グループ化解除</t>
    <phoneticPr fontId="4"/>
  </si>
  <si>
    <t>オブジェクト 回転 反時計回り/時計回り</t>
    <phoneticPr fontId="4"/>
  </si>
  <si>
    <t>v</t>
    <phoneticPr fontId="4"/>
  </si>
  <si>
    <t>F4</t>
    <phoneticPr fontId="4"/>
  </si>
  <si>
    <t>次の空白へジャンプ</t>
    <rPh sb="0" eb="1">
      <t>ツギ</t>
    </rPh>
    <rPh sb="2" eb="4">
      <t>クウハク</t>
    </rPh>
    <phoneticPr fontId="4"/>
  </si>
  <si>
    <t>F8</t>
    <phoneticPr fontId="4"/>
  </si>
  <si>
    <t>選択範囲の追加/削除</t>
    <rPh sb="0" eb="2">
      <t>センタク</t>
    </rPh>
    <rPh sb="2" eb="4">
      <t>ハンイ</t>
    </rPh>
    <rPh sb="5" eb="7">
      <t>ツイカ</t>
    </rPh>
    <rPh sb="8" eb="10">
      <t>サクジョ</t>
    </rPh>
    <phoneticPr fontId="4"/>
  </si>
  <si>
    <t>F9</t>
    <phoneticPr fontId="4"/>
  </si>
  <si>
    <t>F3</t>
    <phoneticPr fontId="4"/>
  </si>
  <si>
    <t>9</t>
    <phoneticPr fontId="4"/>
  </si>
  <si>
    <t>選択行を非表示/表示</t>
    <rPh sb="4" eb="7">
      <t>ヒヒョウジ</t>
    </rPh>
    <phoneticPr fontId="4"/>
  </si>
  <si>
    <t>選択列を非表示/表示</t>
    <phoneticPr fontId="4"/>
  </si>
  <si>
    <t>選択セルから名前付き範囲を作成</t>
    <phoneticPr fontId="4"/>
  </si>
  <si>
    <t>u</t>
    <phoneticPr fontId="4"/>
  </si>
  <si>
    <t>p</t>
    <phoneticPr fontId="4"/>
  </si>
  <si>
    <t>F2</t>
    <phoneticPr fontId="4"/>
  </si>
  <si>
    <t>F3</t>
    <phoneticPr fontId="4"/>
  </si>
  <si>
    <t>スクロールバー移動</t>
  </si>
  <si>
    <t>\|</t>
    <phoneticPr fontId="4"/>
  </si>
  <si>
    <t>選択行内のアクティブセル値不一致セルを選択</t>
    <rPh sb="3" eb="4">
      <t>ナイ</t>
    </rPh>
    <rPh sb="13" eb="14">
      <t>フ</t>
    </rPh>
    <phoneticPr fontId="4"/>
  </si>
  <si>
    <t>表示形式 [標準]</t>
    <phoneticPr fontId="4"/>
  </si>
  <si>
    <t>表示形式 [日付]</t>
    <phoneticPr fontId="4"/>
  </si>
  <si>
    <t>表示形式 [%]</t>
    <phoneticPr fontId="4"/>
  </si>
  <si>
    <t>Delete</t>
    <phoneticPr fontId="4"/>
  </si>
  <si>
    <t>表示切替 値⇔数式</t>
    <phoneticPr fontId="4"/>
  </si>
  <si>
    <t>@</t>
    <phoneticPr fontId="4"/>
  </si>
  <si>
    <t>F8</t>
    <phoneticPr fontId="4"/>
  </si>
  <si>
    <t>ダイアログボックス表示 [ジャンプ]</t>
    <phoneticPr fontId="4"/>
  </si>
  <si>
    <t>ダイアログボックス表示 [セルの書式設定]</t>
    <phoneticPr fontId="4"/>
  </si>
  <si>
    <t>ダイアログボックス表示 [マクロ]</t>
    <phoneticPr fontId="4"/>
  </si>
  <si>
    <t>アクティブ セル領域 (アクティブ セルを含み、空白の行と列で囲まれているデータ領域) を選択</t>
    <phoneticPr fontId="4"/>
  </si>
  <si>
    <t>ダイアログボックス表示 [形式を選択して貼り付け]</t>
    <phoneticPr fontId="4"/>
  </si>
  <si>
    <t>ダイアログボックス表示 [名前の管理]</t>
    <phoneticPr fontId="4"/>
  </si>
  <si>
    <t>o</t>
    <phoneticPr fontId="4"/>
  </si>
  <si>
    <t>コメントが入力されている全セル選択</t>
    <rPh sb="12" eb="13">
      <t>ゼン</t>
    </rPh>
    <phoneticPr fontId="4"/>
  </si>
  <si>
    <t>数式バー 展開/折りたたみ</t>
    <phoneticPr fontId="4"/>
  </si>
  <si>
    <t>6</t>
    <phoneticPr fontId="4"/>
  </si>
  <si>
    <t>8</t>
    <phoneticPr fontId="4"/>
  </si>
  <si>
    <t>アウトライン記号 表示/非表示 切り替え</t>
    <phoneticPr fontId="4"/>
  </si>
  <si>
    <t>オブジェクト 表示/非表示 切り替え</t>
    <phoneticPr fontId="4"/>
  </si>
  <si>
    <t>【数式入力時】編集モード⇔入力モード切替</t>
    <phoneticPr fontId="4"/>
  </si>
  <si>
    <t>【値入力時】行末までテキスト削除</t>
    <rPh sb="1" eb="2">
      <t>アタイ</t>
    </rPh>
    <phoneticPr fontId="4"/>
  </si>
  <si>
    <t>→/←</t>
    <phoneticPr fontId="4"/>
  </si>
  <si>
    <t>グループ化/グループ化解除</t>
    <rPh sb="10" eb="11">
      <t>カ</t>
    </rPh>
    <rPh sb="11" eb="13">
      <t>カイジョ</t>
    </rPh>
    <phoneticPr fontId="4"/>
  </si>
  <si>
    <t>5</t>
    <phoneticPr fontId="4"/>
  </si>
  <si>
    <t>3</t>
    <phoneticPr fontId="4"/>
  </si>
  <si>
    <t>:</t>
    <phoneticPr fontId="4"/>
  </si>
  <si>
    <t>【文字入力時】相対参照⇔絶対参照</t>
    <phoneticPr fontId="4"/>
  </si>
  <si>
    <t>ダイアログボックス表示 [スペルチェック]</t>
    <phoneticPr fontId="4"/>
  </si>
  <si>
    <t>数式→値 変換</t>
    <rPh sb="0" eb="2">
      <t>スウシキ</t>
    </rPh>
    <rPh sb="3" eb="4">
      <t>アタイ</t>
    </rPh>
    <rPh sb="5" eb="7">
      <t>ヘンカン</t>
    </rPh>
    <phoneticPr fontId="4"/>
  </si>
  <si>
    <t>ScrollLock+方向キー</t>
    <rPh sb="11" eb="13">
      <t>ホウコウ</t>
    </rPh>
    <phoneticPr fontId="4"/>
  </si>
  <si>
    <t>Shift/</t>
    <phoneticPr fontId="4"/>
  </si>
  <si>
    <t>7</t>
    <phoneticPr fontId="4"/>
  </si>
  <si>
    <t>ブックのスタイルを設定</t>
    <phoneticPr fontId="4"/>
  </si>
  <si>
    <t>t</t>
    <phoneticPr fontId="4"/>
  </si>
  <si>
    <t>テーブル挿入</t>
    <rPh sb="4" eb="6">
      <t>ソウニュウ</t>
    </rPh>
    <phoneticPr fontId="4"/>
  </si>
  <si>
    <t>^</t>
    <phoneticPr fontId="4"/>
  </si>
  <si>
    <t>迷惑マーク 付与/解除</t>
    <rPh sb="6" eb="8">
      <t>フヨ</t>
    </rPh>
    <phoneticPr fontId="4"/>
  </si>
  <si>
    <t>/Shift</t>
    <phoneticPr fontId="4"/>
  </si>
  <si>
    <t>Key</t>
    <phoneticPr fontId="4"/>
  </si>
  <si>
    <t>機能</t>
    <rPh sb="0" eb="2">
      <t>キノウ</t>
    </rPh>
    <phoneticPr fontId="4"/>
  </si>
  <si>
    <t>F6</t>
    <phoneticPr fontId="4"/>
  </si>
  <si>
    <t>各ペインにフォーカスを当てる</t>
    <rPh sb="0" eb="1">
      <t>カク</t>
    </rPh>
    <rPh sb="11" eb="12">
      <t>ア</t>
    </rPh>
    <phoneticPr fontId="4"/>
  </si>
  <si>
    <t>スナップと接着</t>
    <rPh sb="5" eb="7">
      <t>セッチャク</t>
    </rPh>
    <phoneticPr fontId="4"/>
  </si>
  <si>
    <t>f9</t>
    <phoneticPr fontId="4"/>
  </si>
  <si>
    <t>F9</t>
    <phoneticPr fontId="4"/>
  </si>
  <si>
    <t>再計算（参照先の数式を含め全シート全セル）</t>
    <rPh sb="13" eb="14">
      <t>ゼン</t>
    </rPh>
    <rPh sb="17" eb="18">
      <t>ゼン</t>
    </rPh>
    <phoneticPr fontId="4"/>
  </si>
  <si>
    <t>再計算（全シート全セル）</t>
    <rPh sb="4" eb="5">
      <t>ゼン</t>
    </rPh>
    <rPh sb="8" eb="9">
      <t>ゼン</t>
    </rPh>
    <phoneticPr fontId="4"/>
  </si>
  <si>
    <t>再計算（シート/ブック 変更セルのみ）</t>
    <rPh sb="0" eb="3">
      <t>サイケイサン</t>
    </rPh>
    <rPh sb="12" eb="14">
      <t>ヘンコウ</t>
    </rPh>
    <phoneticPr fontId="4"/>
  </si>
  <si>
    <t>←/→</t>
    <phoneticPr fontId="4"/>
  </si>
  <si>
    <t>ハイパーリンクジャンプ 戻る/進む</t>
    <rPh sb="12" eb="13">
      <t>モド</t>
    </rPh>
    <rPh sb="15" eb="16">
      <t>ススム</t>
    </rPh>
    <phoneticPr fontId="4"/>
  </si>
  <si>
    <t>HFF</t>
  </si>
  <si>
    <t>HFS</t>
  </si>
  <si>
    <t>HF1</t>
  </si>
  <si>
    <t>HH</t>
  </si>
  <si>
    <t>HW</t>
  </si>
  <si>
    <t>OD</t>
  </si>
  <si>
    <t>RH1</t>
  </si>
  <si>
    <t>WFF</t>
  </si>
  <si>
    <t>WVG</t>
  </si>
  <si>
    <t>HOT</t>
  </si>
  <si>
    <t>EL</t>
  </si>
  <si>
    <t>EM</t>
  </si>
  <si>
    <t>HOR</t>
  </si>
  <si>
    <t>IB</t>
  </si>
  <si>
    <t>AE</t>
  </si>
  <si>
    <t>AM</t>
  </si>
  <si>
    <t>DL</t>
  </si>
  <si>
    <t>EIS</t>
  </si>
  <si>
    <t>HFDO</t>
  </si>
  <si>
    <t>MV</t>
  </si>
  <si>
    <t>RU2</t>
  </si>
  <si>
    <t>DFS</t>
  </si>
  <si>
    <t>HAT / HAM / HAB</t>
  </si>
  <si>
    <t>HBN / HBA / HBT</t>
  </si>
  <si>
    <t>HMM / HMC / HMA / HMU</t>
  </si>
  <si>
    <t>H0(zero) / H9</t>
  </si>
  <si>
    <t>EAR / EAH</t>
  </si>
  <si>
    <t>HOI / HOA</t>
  </si>
  <si>
    <t>OHH / OHU</t>
  </si>
  <si>
    <t>AH / AJ</t>
  </si>
  <si>
    <r>
      <t>H</t>
    </r>
    <r>
      <rPr>
        <sz val="9"/>
        <color rgb="FFFF0000"/>
        <rFont val="ＭＳ ゴシック"/>
        <family val="3"/>
        <charset val="128"/>
      </rPr>
      <t xml:space="preserve">&amp;color(red){L1} </t>
    </r>
    <r>
      <rPr>
        <sz val="9"/>
        <color theme="1"/>
        <rFont val="ＭＳ ゴシック"/>
        <family val="3"/>
        <charset val="128"/>
      </rPr>
      <t>/ HAC / H</t>
    </r>
    <r>
      <rPr>
        <sz val="9"/>
        <color rgb="FFFF0000"/>
        <rFont val="ＭＳ ゴシック"/>
        <family val="3"/>
        <charset val="128"/>
      </rPr>
      <t>&amp;color(red){R}</t>
    </r>
    <phoneticPr fontId="4"/>
  </si>
  <si>
    <t>| Key | 機能 |</t>
    <phoneticPr fontId="4"/>
  </si>
  <si>
    <t>[セル書式] [フォント] フォント変更</t>
    <rPh sb="18" eb="20">
      <t>ヘンコウ</t>
    </rPh>
    <phoneticPr fontId="4"/>
  </si>
  <si>
    <t>[セル書式] [フォント] サイズ変更</t>
    <rPh sb="17" eb="19">
      <t>ヘンコウ</t>
    </rPh>
    <phoneticPr fontId="4"/>
  </si>
  <si>
    <t>[セル書式] [フォント] カラー変更</t>
    <rPh sb="17" eb="19">
      <t>ヘンコウ</t>
    </rPh>
    <phoneticPr fontId="4"/>
  </si>
  <si>
    <t>[セル書式] [セル] 背景色変更</t>
    <rPh sb="12" eb="15">
      <t>ハイケイショク</t>
    </rPh>
    <rPh sb="15" eb="17">
      <t>ヘンコウ</t>
    </rPh>
    <phoneticPr fontId="4"/>
  </si>
  <si>
    <t>[セル書式] [文字配置] 折り返して全体を表示</t>
    <rPh sb="14" eb="15">
      <t>オ</t>
    </rPh>
    <rPh sb="16" eb="17">
      <t>カエ</t>
    </rPh>
    <rPh sb="19" eb="21">
      <t>ゼンタイ</t>
    </rPh>
    <rPh sb="22" eb="24">
      <t>ヒョウジ</t>
    </rPh>
    <phoneticPr fontId="4"/>
  </si>
  <si>
    <t>[セル書式] [条件付き書式] ダイアログ表示</t>
    <rPh sb="8" eb="11">
      <t>ジョウケンツ</t>
    </rPh>
    <rPh sb="12" eb="14">
      <t>ショシキ</t>
    </rPh>
    <rPh sb="21" eb="23">
      <t>ヒョウジ</t>
    </rPh>
    <phoneticPr fontId="4"/>
  </si>
  <si>
    <t>[シート表示] ウィンドウ 枠固定 切り替え</t>
  </si>
  <si>
    <t>[シート操作] 見出し色</t>
  </si>
  <si>
    <t>[シート操作] 削除</t>
  </si>
  <si>
    <t>[シート操作] 移動orコピーダイアログ</t>
  </si>
  <si>
    <t>[シート操作] 名前変更</t>
  </si>
  <si>
    <t>[シート表示] 改ページ挿入</t>
  </si>
  <si>
    <t>[データ] [区切り位置] ダイアログ</t>
  </si>
  <si>
    <t>[データ] 重複削除</t>
  </si>
  <si>
    <t>[データ] [入力規則] ダイアログ</t>
  </si>
  <si>
    <t xml:space="preserve">[データ] [連続データ表示] </t>
  </si>
  <si>
    <t>[ツール] オブジェクト選択</t>
  </si>
  <si>
    <t>[ツール] 数式の検証</t>
  </si>
  <si>
    <t>[ツール] ブック共有</t>
  </si>
  <si>
    <t>[セル書式] [文字配置] 左 / 中央 / 右</t>
    <rPh sb="8" eb="10">
      <t>モジ</t>
    </rPh>
    <rPh sb="10" eb="12">
      <t>ハイチ</t>
    </rPh>
    <rPh sb="14" eb="15">
      <t>ヒダリ</t>
    </rPh>
    <rPh sb="23" eb="24">
      <t>ミギ</t>
    </rPh>
    <phoneticPr fontId="4"/>
  </si>
  <si>
    <t>[セル書式] [文字配置] 上 / 中央 / 下</t>
    <rPh sb="8" eb="10">
      <t>モジ</t>
    </rPh>
    <rPh sb="10" eb="12">
      <t>ハイチ</t>
    </rPh>
    <rPh sb="14" eb="15">
      <t>ウエ</t>
    </rPh>
    <rPh sb="18" eb="20">
      <t>チュウオウ</t>
    </rPh>
    <rPh sb="23" eb="24">
      <t>シタ</t>
    </rPh>
    <phoneticPr fontId="4"/>
  </si>
  <si>
    <t>[セル書式] [罫線] なし / 格子 / 太外枠</t>
    <rPh sb="8" eb="10">
      <t>ケイセン</t>
    </rPh>
    <phoneticPr fontId="4"/>
  </si>
  <si>
    <t>[セル書式] [セル結合] 結合 / 結合(中央) / 結合(横方向) / 解除</t>
    <rPh sb="10" eb="12">
      <t>ケツゴウ</t>
    </rPh>
    <rPh sb="14" eb="16">
      <t>ケツゴウ</t>
    </rPh>
    <rPh sb="31" eb="34">
      <t>ヨコホウコウ</t>
    </rPh>
    <rPh sb="38" eb="40">
      <t>カイジョ</t>
    </rPh>
    <phoneticPr fontId="4"/>
  </si>
  <si>
    <t>[セル書式] [小数点以下の表示桁数] ＋＋ / －－</t>
    <rPh sb="8" eb="11">
      <t>ショウスウテン</t>
    </rPh>
    <rPh sb="11" eb="13">
      <t>イカ</t>
    </rPh>
    <rPh sb="14" eb="16">
      <t>ヒョウジ</t>
    </rPh>
    <rPh sb="16" eb="18">
      <t>ケタスウ</t>
    </rPh>
    <phoneticPr fontId="4"/>
  </si>
  <si>
    <t>[セル書式] [ハイパーリンク] 削除 / クリア</t>
    <rPh sb="17" eb="19">
      <t>サクジョ</t>
    </rPh>
    <phoneticPr fontId="4"/>
  </si>
  <si>
    <t>[セル書式] [コメント] 表示 / 非表示</t>
    <rPh sb="14" eb="16">
      <t>ヒョウジ</t>
    </rPh>
    <rPh sb="19" eb="22">
      <t>ヒヒョウジ</t>
    </rPh>
    <phoneticPr fontId="4"/>
  </si>
  <si>
    <t>[シート表示] 枠線 表示 / 非表示</t>
  </si>
  <si>
    <t>[シート表示] 列 / 行幅 自動調整</t>
  </si>
  <si>
    <t>[シート操作] 非表示 / 表示</t>
  </si>
  <si>
    <t>[データ] [グループ] 折りたたむ / 展開</t>
  </si>
  <si>
    <t>MP</t>
    <phoneticPr fontId="4"/>
  </si>
  <si>
    <t>[ツール] [フィルタ] クリア適用</t>
    <phoneticPr fontId="4"/>
  </si>
  <si>
    <t>[ツール] [トレース] 参照元トレース</t>
    <rPh sb="13" eb="15">
      <t>サンショウ</t>
    </rPh>
    <rPh sb="15" eb="16">
      <t>モト</t>
    </rPh>
    <phoneticPr fontId="4"/>
  </si>
  <si>
    <t>[ツール] [トレース] 参照先トレース</t>
    <rPh sb="13" eb="15">
      <t>サンショウ</t>
    </rPh>
    <rPh sb="15" eb="16">
      <t>サキ</t>
    </rPh>
    <phoneticPr fontId="4"/>
  </si>
  <si>
    <t>MD</t>
    <phoneticPr fontId="4"/>
  </si>
  <si>
    <t>入力候補の表示</t>
  </si>
  <si>
    <t>実行</t>
  </si>
  <si>
    <t>G</t>
    <phoneticPr fontId="4"/>
  </si>
  <si>
    <t>R</t>
    <phoneticPr fontId="4"/>
  </si>
  <si>
    <t>Shift</t>
    <phoneticPr fontId="4"/>
  </si>
  <si>
    <t>タグジャンプ/バックタグジャンプ</t>
    <phoneticPr fontId="4"/>
  </si>
  <si>
    <t>プロシージャ移動 前/次</t>
    <rPh sb="9" eb="10">
      <t>マエ</t>
    </rPh>
    <rPh sb="11" eb="12">
      <t>ツギ</t>
    </rPh>
    <phoneticPr fontId="4"/>
  </si>
  <si>
    <t>ウィンドウ表示/移動 コード</t>
    <rPh sb="5" eb="7">
      <t>ヒョウジ</t>
    </rPh>
    <rPh sb="8" eb="10">
      <t>イドウ</t>
    </rPh>
    <phoneticPr fontId="4"/>
  </si>
  <si>
    <t>ウィンドウ表示/移動 イミディエイト</t>
    <phoneticPr fontId="4"/>
  </si>
  <si>
    <t>ウィンドウ表示/移動 プロジェクトエクスプローラー</t>
    <phoneticPr fontId="4"/>
  </si>
  <si>
    <t>ウィンドウ表示/移動 プロパティ</t>
    <phoneticPr fontId="4"/>
  </si>
  <si>
    <t>ステップオーバー</t>
    <phoneticPr fontId="4"/>
  </si>
  <si>
    <t>ステップアウト</t>
    <phoneticPr fontId="4"/>
  </si>
  <si>
    <t>ウィンドウ表示/移動 オブジェクト移動</t>
    <rPh sb="17" eb="19">
      <t>イドウ</t>
    </rPh>
    <phoneticPr fontId="4"/>
  </si>
  <si>
    <t>ステップイン</t>
    <phoneticPr fontId="4"/>
  </si>
  <si>
    <t>Break</t>
  </si>
  <si>
    <t>マクロ強制終了</t>
  </si>
  <si>
    <t>/Shift</t>
    <phoneticPr fontId="4"/>
  </si>
  <si>
    <t>→/←</t>
    <phoneticPr fontId="4"/>
  </si>
  <si>
    <t>ダイアログ表示［文字数カウント］</t>
  </si>
  <si>
    <t>ダイアログ表示［ブックマーク］</t>
  </si>
  <si>
    <t>Home/End</t>
    <phoneticPr fontId="4"/>
  </si>
  <si>
    <t>1/2/3</t>
    <phoneticPr fontId="4"/>
  </si>
  <si>
    <t>［見出し1/2/3］スタイルを設定</t>
    <phoneticPr fontId="4"/>
  </si>
  <si>
    <t>フォントサイズ 縮小/拡大</t>
    <phoneticPr fontId="4"/>
  </si>
  <si>
    <t>Shift/</t>
    <phoneticPr fontId="4"/>
  </si>
  <si>
    <t>/Alt</t>
    <phoneticPr fontId="4"/>
  </si>
  <si>
    <t>フィールド更新/フィールド挿入/フィールド変換(to直値)</t>
    <rPh sb="26" eb="27">
      <t>ジカ</t>
    </rPh>
    <rPh sb="27" eb="28">
      <t>チ</t>
    </rPh>
    <phoneticPr fontId="4"/>
  </si>
  <si>
    <t>//Shift</t>
    <phoneticPr fontId="4"/>
  </si>
  <si>
    <t>/Ctrl/Ctrl</t>
    <phoneticPr fontId="4"/>
  </si>
  <si>
    <t>［段区切り］の挿入</t>
    <phoneticPr fontId="4"/>
  </si>
  <si>
    <t>フィールド表示切替＠選択範囲/全範囲</t>
    <rPh sb="10" eb="12">
      <t>センタク</t>
    </rPh>
    <rPh sb="12" eb="14">
      <t>ハンイ</t>
    </rPh>
    <rPh sb="15" eb="16">
      <t>ゼン</t>
    </rPh>
    <phoneticPr fontId="4"/>
  </si>
  <si>
    <t>［両端揃え/左揃え/中央揃え/右揃え］の設定</t>
    <rPh sb="6" eb="7">
      <t>ヒダリ</t>
    </rPh>
    <rPh sb="10" eb="12">
      <t>チュウオウ</t>
    </rPh>
    <rPh sb="15" eb="16">
      <t>ミギ</t>
    </rPh>
    <phoneticPr fontId="4"/>
  </si>
  <si>
    <t>特殊記号の入力(著作権&amp;copy;/登録商標&amp;reg;/商品商標&amp;trade;)</t>
    <phoneticPr fontId="4"/>
  </si>
  <si>
    <t>g</t>
  </si>
  <si>
    <t>l</t>
  </si>
  <si>
    <t>n</t>
  </si>
  <si>
    <t>c/r/t</t>
  </si>
  <si>
    <t>f</t>
  </si>
  <si>
    <t>u</t>
  </si>
  <si>
    <t>j/l/e/r</t>
  </si>
  <si>
    <t>［上付き/下付き］の設定・解除</t>
    <phoneticPr fontId="4"/>
  </si>
  <si>
    <t>文字入力 アクセント付き文字/低アクセント付き文字/チルダ付き文字</t>
    <rPh sb="12" eb="14">
      <t>モジ</t>
    </rPh>
    <phoneticPr fontId="4"/>
  </si>
  <si>
    <t>表示切り替え［下書き表示/アウトライン表示/印刷レイアウト表示］</t>
    <rPh sb="0" eb="2">
      <t>ヒョウジ</t>
    </rPh>
    <phoneticPr fontId="4"/>
  </si>
  <si>
    <t>n/o/p</t>
    <phoneticPr fontId="4"/>
  </si>
  <si>
    <t>フィールド入力 現在日付/現在時刻/現在ページ</t>
    <rPh sb="8" eb="10">
      <t>ゲンザイ</t>
    </rPh>
    <phoneticPr fontId="4"/>
  </si>
  <si>
    <t>d/t/p</t>
    <phoneticPr fontId="4"/>
  </si>
  <si>
    <t>レベル変更 下/上</t>
    <rPh sb="3" eb="5">
      <t>ヘンコウ</t>
    </rPh>
    <phoneticPr fontId="4"/>
  </si>
  <si>
    <t>ダイアログ表示［フォント/ジャンプ/ハイパーリンクの挿入］</t>
    <phoneticPr fontId="4"/>
  </si>
  <si>
    <t>d/g/k</t>
    <phoneticPr fontId="4"/>
  </si>
  <si>
    <t>文字入力 ウムラウト/曲折アクセント付き文字</t>
    <rPh sb="0" eb="2">
      <t>モジ</t>
    </rPh>
    <rPh sb="2" eb="4">
      <t>ニュウリョク</t>
    </rPh>
    <phoneticPr fontId="4"/>
  </si>
  <si>
    <t>:/^</t>
    <phoneticPr fontId="4"/>
  </si>
  <si>
    <t>ジャンプ to 文頭/文末</t>
    <rPh sb="11" eb="13">
      <t>ブンマツ</t>
    </rPh>
    <phoneticPr fontId="4"/>
  </si>
  <si>
    <t>ジャンプ to 次/前ページ先頭</t>
    <phoneticPr fontId="4"/>
  </si>
  <si>
    <t>書式の解除 段落/フォント</t>
    <phoneticPr fontId="4"/>
  </si>
  <si>
    <t>q/Space</t>
    <phoneticPr fontId="4"/>
  </si>
  <si>
    <t>フィールドロック 設定/解除</t>
    <phoneticPr fontId="4"/>
  </si>
  <si>
    <t>ジャンプ to 直前の編集箇所</t>
    <phoneticPr fontId="4"/>
  </si>
  <si>
    <t>ジャンプ to 次/前フィールド</t>
    <phoneticPr fontId="4"/>
  </si>
  <si>
    <t>/Alt</t>
    <phoneticPr fontId="4"/>
  </si>
  <si>
    <t>定型句 挿入/登録</t>
    <phoneticPr fontId="4"/>
  </si>
  <si>
    <t>S → R → F</t>
    <phoneticPr fontId="4"/>
  </si>
  <si>
    <t>相互参照の挿入</t>
    <phoneticPr fontId="4"/>
  </si>
  <si>
    <t>ウィンドウ切り替え 前/次</t>
    <phoneticPr fontId="4"/>
  </si>
  <si>
    <t>補助キー→
↓キー</t>
    <phoneticPr fontId="8"/>
  </si>
  <si>
    <t>Ctrl</t>
    <phoneticPr fontId="8"/>
  </si>
  <si>
    <t>Shift</t>
    <phoneticPr fontId="8"/>
  </si>
  <si>
    <t>Alt</t>
    <phoneticPr fontId="8"/>
  </si>
  <si>
    <t>Ctrl+Shift</t>
    <phoneticPr fontId="8"/>
  </si>
  <si>
    <t>Shift+Alt</t>
    <phoneticPr fontId="8"/>
  </si>
  <si>
    <t>Ctrl+Alt</t>
    <phoneticPr fontId="8"/>
  </si>
  <si>
    <t>Ctrl+Shift+Alt</t>
  </si>
  <si>
    <t>-</t>
    <phoneticPr fontId="8"/>
  </si>
  <si>
    <t>tagsファイルの作成...</t>
  </si>
  <si>
    <t>バックタグジャンプ</t>
  </si>
  <si>
    <t>下候補</t>
  </si>
  <si>
    <t>上候補</t>
  </si>
  <si>
    <t>(標準の動作:前の結果)</t>
    <rPh sb="1" eb="3">
      <t>ヒョウジュン</t>
    </rPh>
    <rPh sb="4" eb="6">
      <t>ドウサ</t>
    </rPh>
    <rPh sb="7" eb="8">
      <t>マエ</t>
    </rPh>
    <rPh sb="9" eb="11">
      <t>ケッカ</t>
    </rPh>
    <phoneticPr fontId="8"/>
  </si>
  <si>
    <t>前の秀丸エディタ</t>
  </si>
  <si>
    <t>追加切り抜き</t>
  </si>
  <si>
    <t>ウィンドウ分割上下</t>
  </si>
  <si>
    <t>マクロ実行...</t>
  </si>
  <si>
    <t>ウィンドウ分割左右</t>
  </si>
  <si>
    <t>ファイルマネージャ枠</t>
    <phoneticPr fontId="8"/>
  </si>
  <si>
    <t>アウトプット枠</t>
    <phoneticPr fontId="8"/>
  </si>
  <si>
    <t>アウトライン解析の枠</t>
    <phoneticPr fontId="8"/>
  </si>
  <si>
    <t>アウトライン解析...</t>
  </si>
  <si>
    <t>文字入力</t>
    <rPh sb="0" eb="2">
      <t>モジ</t>
    </rPh>
    <rPh sb="2" eb="4">
      <t>ニュウリョク</t>
    </rPh>
    <phoneticPr fontId="8"/>
  </si>
  <si>
    <t>(標準の動作:単語補完候補1)</t>
  </si>
  <si>
    <t>(標準の動作:単語補完候補2)</t>
  </si>
  <si>
    <t>(標準の動作:単語補完候補3)</t>
  </si>
  <si>
    <t>(標準の動作:単語補完候補4)</t>
  </si>
  <si>
    <t>(標準の動作:単語補完候補5)</t>
  </si>
  <si>
    <t>(標準の動作:単語補完候補6)</t>
  </si>
  <si>
    <t>(標準の動作:単語補完候補7)</t>
  </si>
  <si>
    <t>(標準の動作:単語補完候補8)</t>
  </si>
  <si>
    <t>(標準の動作:単語補完候補9)</t>
  </si>
  <si>
    <t>Up/Down</t>
  </si>
  <si>
    <t>移動</t>
    <rPh sb="0" eb="2">
      <t>イドウ</t>
    </rPh>
    <phoneticPr fontId="8"/>
  </si>
  <si>
    <t>高速上/下移動</t>
  </si>
  <si>
    <t>上/下選択</t>
  </si>
  <si>
    <t>(標準の動作:前/次の折りたたみ可能行)</t>
  </si>
  <si>
    <t>BOX選択開始</t>
  </si>
  <si>
    <t>上/下の見出し</t>
    <rPh sb="4" eb="6">
      <t>ミダ</t>
    </rPh>
    <phoneticPr fontId="8"/>
  </si>
  <si>
    <t>Right/Left</t>
  </si>
  <si>
    <t>単語右(サルネン風)/左</t>
    <rPh sb="8" eb="9">
      <t>フウ</t>
    </rPh>
    <phoneticPr fontId="8"/>
  </si>
  <si>
    <t>右/左選択</t>
  </si>
  <si>
    <t>(標準の動作:展開/折りたたみ)</t>
  </si>
  <si>
    <t>単語移動選択</t>
  </si>
  <si>
    <t>行末/行頭に移動</t>
    <rPh sb="0" eb="2">
      <t>ギョウマツ</t>
    </rPh>
    <rPh sb="3" eb="5">
      <t>ギョウトウ</t>
    </rPh>
    <rPh sb="6" eb="8">
      <t>イドウ</t>
    </rPh>
    <phoneticPr fontId="8"/>
  </si>
  <si>
    <t>インデント/逆インデント</t>
    <rPh sb="6" eb="7">
      <t>ギャク</t>
    </rPh>
    <phoneticPr fontId="8"/>
  </si>
  <si>
    <t>Tab</t>
    <phoneticPr fontId="8"/>
  </si>
  <si>
    <t>ウィンドウ切り替え</t>
    <rPh sb="5" eb="6">
      <t>キ</t>
    </rPh>
    <rPh sb="7" eb="8">
      <t>カ</t>
    </rPh>
    <phoneticPr fontId="8"/>
  </si>
  <si>
    <t>Ins</t>
    <phoneticPr fontId="8"/>
  </si>
  <si>
    <t>(標準の動作:コピー)</t>
  </si>
  <si>
    <t>空行挿入</t>
  </si>
  <si>
    <t>Del</t>
    <phoneticPr fontId="8"/>
  </si>
  <si>
    <t>文字削除</t>
    <rPh sb="0" eb="2">
      <t>モジ</t>
    </rPh>
    <rPh sb="2" eb="4">
      <t>サクジョ</t>
    </rPh>
    <phoneticPr fontId="8"/>
  </si>
  <si>
    <t>カーソルより後ろを削除</t>
  </si>
  <si>
    <t>行削除</t>
  </si>
  <si>
    <t>BkSp</t>
    <phoneticPr fontId="8"/>
  </si>
  <si>
    <t>(標準の動作:やり直し)</t>
  </si>
  <si>
    <t>(標準の動作:やり直しのやり直し)</t>
  </si>
  <si>
    <t>Home/End</t>
    <phoneticPr fontId="8"/>
  </si>
  <si>
    <t>PgUp/PgDn</t>
    <phoneticPr fontId="8"/>
  </si>
  <si>
    <t>Enter</t>
    <phoneticPr fontId="8"/>
  </si>
  <si>
    <t>入力確定</t>
    <rPh sb="0" eb="2">
      <t>ニュウリョク</t>
    </rPh>
    <rPh sb="2" eb="4">
      <t>カクテイ</t>
    </rPh>
    <phoneticPr fontId="8"/>
  </si>
  <si>
    <t>単語左/右</t>
    <rPh sb="4" eb="5">
      <t>ミギ</t>
    </rPh>
    <phoneticPr fontId="8"/>
  </si>
  <si>
    <t>単語の先頭/最後に移動</t>
  </si>
  <si>
    <t>{/}に移動</t>
    <phoneticPr fontId="8"/>
  </si>
  <si>
    <t>(標準の動作:部分編集/解除)</t>
  </si>
  <si>
    <t>半角/全角</t>
    <rPh sb="0" eb="2">
      <t>ハンカク</t>
    </rPh>
    <rPh sb="3" eb="5">
      <t>ゼンカク</t>
    </rPh>
    <phoneticPr fontId="8"/>
  </si>
  <si>
    <t>入力切替</t>
    <rPh sb="0" eb="2">
      <t>ニュウリョク</t>
    </rPh>
    <rPh sb="2" eb="4">
      <t>キリカエ</t>
    </rPh>
    <phoneticPr fontId="8"/>
  </si>
  <si>
    <t>CapsLock</t>
    <phoneticPr fontId="8"/>
  </si>
  <si>
    <t>無変換</t>
    <rPh sb="0" eb="3">
      <t>ムヘンカン</t>
    </rPh>
    <phoneticPr fontId="8"/>
  </si>
  <si>
    <t>変換</t>
    <rPh sb="0" eb="2">
      <t>ヘンカン</t>
    </rPh>
    <phoneticPr fontId="8"/>
  </si>
  <si>
    <t>Pause</t>
    <phoneticPr fontId="8"/>
  </si>
  <si>
    <t>A</t>
    <phoneticPr fontId="8"/>
  </si>
  <si>
    <t>すべてを選択</t>
  </si>
  <si>
    <t>B</t>
  </si>
  <si>
    <t>C</t>
  </si>
  <si>
    <t>コピー</t>
  </si>
  <si>
    <t>検索...</t>
  </si>
  <si>
    <t>検索(上)...</t>
  </si>
  <si>
    <t>G</t>
  </si>
  <si>
    <t>grepの実行...</t>
  </si>
  <si>
    <t>grepして置換...</t>
  </si>
  <si>
    <t>置換...</t>
  </si>
  <si>
    <t>タブ</t>
  </si>
  <si>
    <t>J</t>
  </si>
  <si>
    <t>K</t>
  </si>
  <si>
    <t>対応する括弧に移動</t>
  </si>
  <si>
    <t>最後に編集した所</t>
  </si>
  <si>
    <t>M</t>
  </si>
  <si>
    <t>改行</t>
  </si>
  <si>
    <t>新規作成</t>
  </si>
  <si>
    <t>下の強調行</t>
    <rPh sb="0" eb="1">
      <t>シタ</t>
    </rPh>
    <rPh sb="2" eb="4">
      <t>キョウチョウ</t>
    </rPh>
    <rPh sb="4" eb="5">
      <t>ギョウ</t>
    </rPh>
    <phoneticPr fontId="8"/>
  </si>
  <si>
    <t>開く...</t>
  </si>
  <si>
    <t>印刷...</t>
  </si>
  <si>
    <t>上の強調行</t>
    <rPh sb="0" eb="1">
      <t>ウエ</t>
    </rPh>
    <rPh sb="2" eb="4">
      <t>キョウチョウ</t>
    </rPh>
    <rPh sb="4" eb="5">
      <t>ギョウ</t>
    </rPh>
    <phoneticPr fontId="8"/>
  </si>
  <si>
    <t>Q</t>
  </si>
  <si>
    <t>全保存終了</t>
  </si>
  <si>
    <t>S</t>
  </si>
  <si>
    <t>上書き保存</t>
  </si>
  <si>
    <t>T</t>
  </si>
  <si>
    <t>U</t>
  </si>
  <si>
    <t>V</t>
  </si>
  <si>
    <t>貼り付け</t>
  </si>
  <si>
    <t>ファイルを閉じる</t>
  </si>
  <si>
    <t>X</t>
  </si>
  <si>
    <t>切り抜き</t>
  </si>
  <si>
    <t>行を切り抜き</t>
  </si>
  <si>
    <t>Y</t>
  </si>
  <si>
    <t>やり直しのやり直し</t>
  </si>
  <si>
    <t>Z</t>
  </si>
  <si>
    <t>やり直し</t>
  </si>
  <si>
    <t>左ダブルクリック</t>
  </si>
  <si>
    <t>単語選択（全部）</t>
  </si>
  <si>
    <t>左トリプルクリック</t>
  </si>
  <si>
    <t>行の選択</t>
  </si>
  <si>
    <t>右クリック</t>
  </si>
  <si>
    <t>ﾒﾆｭｰ8:右ボタン</t>
  </si>
  <si>
    <t>ホイールアップ</t>
  </si>
  <si>
    <t>(標準の動作:フォント大)</t>
  </si>
  <si>
    <t>ホイールダウン</t>
  </si>
  <si>
    <t>(標準の動作:フォント小)</t>
  </si>
  <si>
    <t>常駐秀丸ｴﾃﾞｨﾀのﾀﾞﾌﾞﾙｸﾘｯｸ</t>
  </si>
  <si>
    <t>ファイルマネージャ枠切り替え</t>
    <rPh sb="10" eb="11">
      <t>キ</t>
    </rPh>
    <rPh sb="12" eb="13">
      <t>カ</t>
    </rPh>
    <phoneticPr fontId="4"/>
  </si>
  <si>
    <t>アウトプット枠切り替え</t>
    <phoneticPr fontId="4"/>
  </si>
  <si>
    <t>アプリ切り替え</t>
    <rPh sb="3" eb="4">
      <t>キ</t>
    </rPh>
    <rPh sb="5" eb="6">
      <t>カ</t>
    </rPh>
    <phoneticPr fontId="4"/>
  </si>
  <si>
    <t>@</t>
    <phoneticPr fontId="4"/>
  </si>
  <si>
    <t>Esc</t>
    <phoneticPr fontId="8"/>
  </si>
  <si>
    <t>Space</t>
    <phoneticPr fontId="8"/>
  </si>
  <si>
    <t>PrtSc</t>
    <phoneticPr fontId="8"/>
  </si>
  <si>
    <t>-</t>
    <phoneticPr fontId="4"/>
  </si>
  <si>
    <t>Right</t>
    <phoneticPr fontId="4"/>
  </si>
  <si>
    <t>Left</t>
    <phoneticPr fontId="4"/>
  </si>
  <si>
    <t>Up</t>
    <phoneticPr fontId="4"/>
  </si>
  <si>
    <t>Down</t>
    <phoneticPr fontId="4"/>
  </si>
  <si>
    <t>タブを右に移動</t>
    <phoneticPr fontId="4"/>
  </si>
  <si>
    <t>タブを左に移動</t>
    <phoneticPr fontId="4"/>
  </si>
  <si>
    <t>【ツールフォルダ時】項目を上に移動</t>
    <rPh sb="8" eb="9">
      <t>ジ</t>
    </rPh>
    <phoneticPr fontId="4"/>
  </si>
  <si>
    <t>【ツールフォルダ時】項目を下に移動</t>
    <rPh sb="8" eb="9">
      <t>ジ</t>
    </rPh>
    <rPh sb="13" eb="14">
      <t>シタ</t>
    </rPh>
    <phoneticPr fontId="4"/>
  </si>
  <si>
    <t>インデント解除</t>
  </si>
  <si>
    <t>インデント</t>
  </si>
  <si>
    <t>1 レベル表示</t>
  </si>
  <si>
    <t>1 行下まで選択</t>
  </si>
  <si>
    <t>1 行上まで選択</t>
  </si>
  <si>
    <t>1 行目のみ表示</t>
  </si>
  <si>
    <t>1 段落下へ移動</t>
  </si>
  <si>
    <t>1 段落下まで選択</t>
  </si>
  <si>
    <t>1 段落上へ移動</t>
  </si>
  <si>
    <t>1 段落上まで選択</t>
  </si>
  <si>
    <t>2 レベルまで表示</t>
  </si>
  <si>
    <t>3 レベルまで表示</t>
  </si>
  <si>
    <t>4 レベルまで表示</t>
  </si>
  <si>
    <t>5 レベルまで表示</t>
  </si>
  <si>
    <t>6 レベルまで表示</t>
  </si>
  <si>
    <t>7 レベルまで表示</t>
  </si>
  <si>
    <t>8 レベルまで表示</t>
  </si>
  <si>
    <t>9 レベルまで表示</t>
  </si>
  <si>
    <t>Backstage を使用して開きます</t>
  </si>
  <si>
    <t>ListNum フィールドの挿入</t>
  </si>
  <si>
    <t>Symbol フォントを設定</t>
  </si>
  <si>
    <t>Visual Basic Editor</t>
  </si>
  <si>
    <t>XML タグの表示/非表示</t>
  </si>
  <si>
    <t>アウトライン表示</t>
  </si>
  <si>
    <t>オートフォーマット</t>
  </si>
  <si>
    <t>オブジェクト レイヤーに移動</t>
  </si>
  <si>
    <t>カーソルの右側の単語を選択</t>
  </si>
  <si>
    <t>カーソルの左側の単語を選択</t>
  </si>
  <si>
    <t>カーソルを 1 行下へ移動</t>
  </si>
  <si>
    <t>カーソルを 1 行上へ移動</t>
  </si>
  <si>
    <t>カーソルを 1 単語右へ移動</t>
  </si>
  <si>
    <t>カーソルを 1 単語左へ移動</t>
  </si>
  <si>
    <t>カーソルを右へ移動</t>
  </si>
  <si>
    <t>カーソルを左へ移動</t>
  </si>
  <si>
    <t>キャンセル</t>
  </si>
  <si>
    <t>クリア</t>
  </si>
  <si>
    <t>コメント カードへ移動</t>
  </si>
  <si>
    <t>コメントの挿入</t>
  </si>
  <si>
    <t>サイズ変更</t>
  </si>
  <si>
    <t>サブ文書の展開/折りたたみ</t>
  </si>
  <si>
    <t>システム情報</t>
  </si>
  <si>
    <t>ジャンプ</t>
  </si>
  <si>
    <t>ジャンプ先の選択</t>
  </si>
  <si>
    <t>スタイル</t>
  </si>
  <si>
    <t>スタイルの適用</t>
  </si>
  <si>
    <t>スタイル区切り</t>
  </si>
  <si>
    <t>スパイクの挿入</t>
  </si>
  <si>
    <t>スパイク登録</t>
  </si>
  <si>
    <t>すべてのフィールド コードの表示/非表示</t>
  </si>
  <si>
    <t>すべての見出しを表示</t>
  </si>
  <si>
    <t>すべて選択</t>
  </si>
  <si>
    <t>すべて大文字</t>
  </si>
  <si>
    <t>すべて表示</t>
  </si>
  <si>
    <t>セルの結合/分割</t>
  </si>
  <si>
    <t>データ ファイルの編集</t>
  </si>
  <si>
    <t>ハイパーリンク</t>
  </si>
  <si>
    <t>ハイライト</t>
  </si>
  <si>
    <t>ハングルと漢字の変換</t>
  </si>
  <si>
    <t>フィールド ロックの解除</t>
  </si>
  <si>
    <t>フィールドのリンクの解除</t>
  </si>
  <si>
    <t>フィールドのロック</t>
  </si>
  <si>
    <t>フィールドの更新</t>
  </si>
  <si>
    <t>フィールドの挿入</t>
  </si>
  <si>
    <t>フィールドの表示/非表示</t>
  </si>
  <si>
    <t>フォント</t>
  </si>
  <si>
    <t>フォント サイズ</t>
  </si>
  <si>
    <t>フォントを 1 pt 分拡大</t>
  </si>
  <si>
    <t>フォントを 1 pt 分縮小</t>
  </si>
  <si>
    <t>ブックマーク</t>
  </si>
  <si>
    <t>ぶら下げインデント</t>
  </si>
  <si>
    <t>ぶら下げインデントの解除</t>
  </si>
  <si>
    <t>ブロック選択</t>
  </si>
  <si>
    <t>ページ</t>
  </si>
  <si>
    <t>ページ フィールド</t>
  </si>
  <si>
    <t>ヘルプ</t>
  </si>
  <si>
    <t>マクロ</t>
  </si>
  <si>
    <t>マクロ ボタン実行</t>
  </si>
  <si>
    <t>やり直し/繰り返し</t>
  </si>
  <si>
    <t>リサーチ</t>
  </si>
  <si>
    <t>リボンの表示/非表示</t>
  </si>
  <si>
    <t>リンク元ファイルの更新</t>
  </si>
  <si>
    <t>レベル下げ</t>
  </si>
  <si>
    <t>レベル上げ</t>
  </si>
  <si>
    <t>移動</t>
  </si>
  <si>
    <t>一重線 (空白以外下線)</t>
  </si>
  <si>
    <t>印刷</t>
  </si>
  <si>
    <t>引用文献の登録</t>
  </si>
  <si>
    <t>隠し文字</t>
  </si>
  <si>
    <t>右側の 1 文字を選択</t>
  </si>
  <si>
    <t>下へ移動</t>
  </si>
  <si>
    <t>下線</t>
  </si>
  <si>
    <t>下付き</t>
  </si>
  <si>
    <t>箇条書き (行頭文字)</t>
  </si>
  <si>
    <t>改ページ</t>
  </si>
  <si>
    <t>開く</t>
  </si>
  <si>
    <t>脚注</t>
  </si>
  <si>
    <t>均等割り付け</t>
  </si>
  <si>
    <t>形式を選択して貼り付け</t>
  </si>
  <si>
    <t>検索</t>
  </si>
  <si>
    <t>検索を繰り返す</t>
  </si>
  <si>
    <t>見出しを展開します。</t>
  </si>
  <si>
    <t>元に戻す</t>
  </si>
  <si>
    <t>元のサイズ</t>
  </si>
  <si>
    <t>元のサイズ (アプリ ウィンドウ)</t>
  </si>
  <si>
    <t>行頭</t>
  </si>
  <si>
    <t>行頭まで選択</t>
  </si>
  <si>
    <t>行内の最後のセルへ移動</t>
  </si>
  <si>
    <t>行内の先頭のセルへ移動</t>
  </si>
  <si>
    <t>行末</t>
  </si>
  <si>
    <t>行末まで選択範囲を拡張</t>
  </si>
  <si>
    <t>左側の 1 文字を選択</t>
  </si>
  <si>
    <t>差し込みエラーの確認</t>
  </si>
  <si>
    <t>差し込みフィールド</t>
  </si>
  <si>
    <t>再計算</t>
  </si>
  <si>
    <t>最大化</t>
  </si>
  <si>
    <t>索引登録</t>
  </si>
  <si>
    <t>時刻の挿入</t>
  </si>
  <si>
    <t>次のウィンドウ</t>
  </si>
  <si>
    <t>次のオブジェクト</t>
  </si>
  <si>
    <t>次のスペル ミス</t>
  </si>
  <si>
    <t>次のフィールド</t>
  </si>
  <si>
    <t>次のペイン</t>
  </si>
  <si>
    <t>斜体</t>
  </si>
  <si>
    <t>縮小 (選択範囲)</t>
  </si>
  <si>
    <t>書式のコピー</t>
  </si>
  <si>
    <t>書式の詳細設定</t>
  </si>
  <si>
    <t>小型英大文字</t>
  </si>
  <si>
    <t>上へ移動</t>
  </si>
  <si>
    <t>上付き</t>
  </si>
  <si>
    <t>新しい数式の挿入</t>
  </si>
  <si>
    <t>進む</t>
  </si>
  <si>
    <t>切り取り</t>
  </si>
  <si>
    <t>選択範囲の拡張</t>
  </si>
  <si>
    <t>前と同じヘッダー/フッター</t>
  </si>
  <si>
    <t>前のウィンドウ</t>
  </si>
  <si>
    <t>前のオブジェクト</t>
  </si>
  <si>
    <t>前のフィールド</t>
  </si>
  <si>
    <t>前のペイン</t>
  </si>
  <si>
    <t>相互参照</t>
  </si>
  <si>
    <t>太字</t>
  </si>
  <si>
    <t>単語の削除</t>
  </si>
  <si>
    <t>段区切りの挿入</t>
  </si>
  <si>
    <t>段落の間隔</t>
  </si>
  <si>
    <t>段落の配置</t>
  </si>
  <si>
    <t>段落書式の解除</t>
  </si>
  <si>
    <t>段落前のスペースの追加/削除</t>
  </si>
  <si>
    <t>置換</t>
  </si>
  <si>
    <t>定型句の作成</t>
  </si>
  <si>
    <t>読み上げ</t>
  </si>
  <si>
    <t>二重下線</t>
  </si>
  <si>
    <t>日付</t>
  </si>
  <si>
    <t>標準</t>
  </si>
  <si>
    <t>標準スタイル</t>
  </si>
  <si>
    <t>表のオートフォーマット</t>
  </si>
  <si>
    <t>分割</t>
  </si>
  <si>
    <t>文字カウントの統計</t>
  </si>
  <si>
    <t>文字コードの切り替え</t>
  </si>
  <si>
    <t>文字を元に戻す</t>
  </si>
  <si>
    <t>文字種の変換</t>
  </si>
  <si>
    <t>文字列のコピー</t>
  </si>
  <si>
    <t>文書の最後</t>
  </si>
  <si>
    <t>文書の先頭</t>
  </si>
  <si>
    <t>文書パーツの挿入</t>
  </si>
  <si>
    <t>文書へ差し込み</t>
  </si>
  <si>
    <t>文書を閉じる</t>
  </si>
  <si>
    <t>文頭まで選択</t>
  </si>
  <si>
    <t>文末まで選択範囲を拡張</t>
  </si>
  <si>
    <t>文末脚注</t>
  </si>
  <si>
    <t>閉じる</t>
  </si>
  <si>
    <t>閉じるまたは終了</t>
  </si>
  <si>
    <t>変更履歴の記録</t>
  </si>
  <si>
    <t>保存</t>
  </si>
  <si>
    <t>翻訳</t>
  </si>
  <si>
    <t>目次登録</t>
  </si>
  <si>
    <t>類義語辞典</t>
  </si>
  <si>
    <t>Home</t>
    <phoneticPr fontId="8"/>
  </si>
  <si>
    <t>End</t>
    <phoneticPr fontId="8"/>
  </si>
  <si>
    <t>PgUp</t>
    <phoneticPr fontId="8"/>
  </si>
  <si>
    <t>PgDn</t>
    <phoneticPr fontId="8"/>
  </si>
  <si>
    <t>次の​​コメント</t>
  </si>
  <si>
    <t>前の​​コメント</t>
  </si>
  <si>
    <t>文章校正​​</t>
  </si>
  <si>
    <t>Ctrl+Shift+Alt</t>
    <phoneticPr fontId="4"/>
  </si>
  <si>
    <t>全選択</t>
    <rPh sb="0" eb="1">
      <t>ゼン</t>
    </rPh>
    <rPh sb="1" eb="3">
      <t>センタク</t>
    </rPh>
    <phoneticPr fontId="4"/>
  </si>
  <si>
    <t>お気に入りの整理</t>
    <rPh sb="1" eb="2">
      <t>キ</t>
    </rPh>
    <rPh sb="3" eb="4">
      <t>イ</t>
    </rPh>
    <rPh sb="6" eb="8">
      <t>セイリ</t>
    </rPh>
    <phoneticPr fontId="4"/>
  </si>
  <si>
    <t>コピー</t>
    <phoneticPr fontId="4"/>
  </si>
  <si>
    <t>お気に入りに追加</t>
    <rPh sb="1" eb="2">
      <t>キ</t>
    </rPh>
    <rPh sb="3" eb="4">
      <t>イ</t>
    </rPh>
    <rPh sb="6" eb="8">
      <t>ツイカ</t>
    </rPh>
    <phoneticPr fontId="4"/>
  </si>
  <si>
    <t>エクスプローラ</t>
    <phoneticPr fontId="4"/>
  </si>
  <si>
    <t>新規タブ</t>
    <rPh sb="0" eb="2">
      <t>シンキ</t>
    </rPh>
    <phoneticPr fontId="4"/>
  </si>
  <si>
    <t>このタブ以外を閉じる</t>
    <rPh sb="4" eb="6">
      <t>イガイ</t>
    </rPh>
    <rPh sb="7" eb="8">
      <t>ト</t>
    </rPh>
    <phoneticPr fontId="4"/>
  </si>
  <si>
    <t>更新</t>
    <rPh sb="0" eb="2">
      <t>コウシン</t>
    </rPh>
    <phoneticPr fontId="4"/>
  </si>
  <si>
    <t>ファイルの作成</t>
    <rPh sb="5" eb="7">
      <t>サクセイ</t>
    </rPh>
    <phoneticPr fontId="4"/>
  </si>
  <si>
    <t>貼り付け</t>
    <rPh sb="0" eb="1">
      <t>ハ</t>
    </rPh>
    <rPh sb="2" eb="3">
      <t>ツ</t>
    </rPh>
    <phoneticPr fontId="4"/>
  </si>
  <si>
    <t>閉じる</t>
    <rPh sb="0" eb="1">
      <t>ト</t>
    </rPh>
    <phoneticPr fontId="4"/>
  </si>
  <si>
    <t>切り取り</t>
    <rPh sb="0" eb="1">
      <t>キ</t>
    </rPh>
    <rPh sb="2" eb="3">
      <t>ト</t>
    </rPh>
    <phoneticPr fontId="4"/>
  </si>
  <si>
    <t>元に戻す</t>
    <rPh sb="0" eb="1">
      <t>モト</t>
    </rPh>
    <rPh sb="2" eb="3">
      <t>モド</t>
    </rPh>
    <phoneticPr fontId="4"/>
  </si>
  <si>
    <t>戻る</t>
    <rPh sb="0" eb="1">
      <t>モド</t>
    </rPh>
    <phoneticPr fontId="4"/>
  </si>
  <si>
    <t>上の階層に移動(新規タブ)</t>
    <rPh sb="0" eb="1">
      <t>ウエ</t>
    </rPh>
    <rPh sb="2" eb="4">
      <t>カイソウ</t>
    </rPh>
    <rPh sb="5" eb="7">
      <t>イドウ</t>
    </rPh>
    <rPh sb="8" eb="10">
      <t>シンキ</t>
    </rPh>
    <phoneticPr fontId="4"/>
  </si>
  <si>
    <t>上の階層に移動</t>
    <rPh sb="0" eb="1">
      <t>ウエ</t>
    </rPh>
    <rPh sb="2" eb="4">
      <t>カイソウ</t>
    </rPh>
    <rPh sb="5" eb="7">
      <t>イドウ</t>
    </rPh>
    <phoneticPr fontId="4"/>
  </si>
  <si>
    <t>フィルタ</t>
    <phoneticPr fontId="4"/>
  </si>
  <si>
    <t>タブ移動1</t>
  </si>
  <si>
    <t>タブ移動2</t>
  </si>
  <si>
    <t>タブ移動3</t>
  </si>
  <si>
    <t>タブ移動4</t>
  </si>
  <si>
    <t>タブ移動5</t>
  </si>
  <si>
    <t>タブ移動6</t>
  </si>
  <si>
    <t>タブ移動7</t>
  </si>
  <si>
    <t>タブ移動8</t>
  </si>
  <si>
    <t>タブ移動9</t>
  </si>
  <si>
    <t>タブ移動10</t>
    <phoneticPr fontId="4"/>
  </si>
  <si>
    <t>カスタムショートカットキーの一覧表示</t>
    <rPh sb="14" eb="16">
      <t>イチラン</t>
    </rPh>
    <rPh sb="16" eb="18">
      <t>ヒョウジ</t>
    </rPh>
    <phoneticPr fontId="4"/>
  </si>
  <si>
    <t>隠しファイル 表示切替/表示切り替え</t>
    <rPh sb="0" eb="1">
      <t>カク</t>
    </rPh>
    <rPh sb="7" eb="9">
      <t>ヒョウジ</t>
    </rPh>
    <rPh sb="9" eb="11">
      <t>キリカエ</t>
    </rPh>
    <rPh sb="12" eb="14">
      <t>ヒョウジ</t>
    </rPh>
    <rPh sb="14" eb="15">
      <t>キ</t>
    </rPh>
    <rPh sb="16" eb="17">
      <t>カ</t>
    </rPh>
    <phoneticPr fontId="4"/>
  </si>
  <si>
    <t>各種コマンド</t>
    <rPh sb="0" eb="2">
      <t>カクシュ</t>
    </rPh>
    <phoneticPr fontId="4"/>
  </si>
  <si>
    <t>比較＠XXX</t>
    <rPh sb="0" eb="2">
      <t>ヒカク</t>
    </rPh>
    <phoneticPr fontId="4"/>
  </si>
  <si>
    <t>起動＠Vim</t>
    <rPh sb="0" eb="2">
      <t>キドウ</t>
    </rPh>
    <phoneticPr fontId="4"/>
  </si>
  <si>
    <t>起動＠秀丸</t>
    <rPh sb="0" eb="2">
      <t>キドウ</t>
    </rPh>
    <rPh sb="3" eb="5">
      <t>ヒデマル</t>
    </rPh>
    <phoneticPr fontId="4"/>
  </si>
  <si>
    <t>起動＠Excel</t>
    <rPh sb="0" eb="2">
      <t>キドウ</t>
    </rPh>
    <phoneticPr fontId="4"/>
  </si>
  <si>
    <t>更新,コミット,ログ表示＠TortoseSvn</t>
    <rPh sb="0" eb="2">
      <t>コウシン</t>
    </rPh>
    <rPh sb="10" eb="12">
      <t>ヒョウジ</t>
    </rPh>
    <phoneticPr fontId="4"/>
  </si>
  <si>
    <t>検索＠FFXII/Everything</t>
    <rPh sb="0" eb="2">
      <t>ケンサク</t>
    </rPh>
    <phoneticPr fontId="4"/>
  </si>
  <si>
    <t>Grep検索＠TresGrep</t>
    <rPh sb="4" eb="6">
      <t>ケンサク</t>
    </rPh>
    <phoneticPr fontId="4"/>
  </si>
  <si>
    <t>閉じたタブを開く</t>
    <rPh sb="0" eb="1">
      <t>ト</t>
    </rPh>
    <rPh sb="6" eb="7">
      <t>ヒラ</t>
    </rPh>
    <phoneticPr fontId="4"/>
  </si>
  <si>
    <t>フォルダの作成</t>
    <rPh sb="5" eb="7">
      <t>サクセイ</t>
    </rPh>
    <phoneticPr fontId="4"/>
  </si>
  <si>
    <t>ショートカット/シンボリックリンク作成</t>
    <rPh sb="17" eb="19">
      <t>サクセイ</t>
    </rPh>
    <phoneticPr fontId="4"/>
  </si>
  <si>
    <t>ファイルパスコピー</t>
    <phoneticPr fontId="4"/>
  </si>
  <si>
    <t>ファイル名コピー</t>
    <rPh sb="4" eb="5">
      <t>メイ</t>
    </rPh>
    <phoneticPr fontId="4"/>
  </si>
  <si>
    <t>ファイル内容コピー</t>
    <rPh sb="4" eb="6">
      <t>ナイヨウ</t>
    </rPh>
    <phoneticPr fontId="4"/>
  </si>
  <si>
    <t>作業ファイルとしてコピー</t>
    <rPh sb="0" eb="2">
      <t>サギョウ</t>
    </rPh>
    <phoneticPr fontId="4"/>
  </si>
  <si>
    <t>圧縮/解凍＠7-Zip</t>
    <rPh sb="0" eb="2">
      <t>アッシュク</t>
    </rPh>
    <rPh sb="3" eb="5">
      <t>カイトウ</t>
    </rPh>
    <phoneticPr fontId="4"/>
  </si>
  <si>
    <t>名前でソート(昇順)</t>
    <rPh sb="0" eb="2">
      <t>ナマエ</t>
    </rPh>
    <rPh sb="7" eb="9">
      <t>ショウジュン</t>
    </rPh>
    <phoneticPr fontId="4"/>
  </si>
  <si>
    <t>名前でソート(降順)</t>
    <rPh sb="0" eb="2">
      <t>ナマエ</t>
    </rPh>
    <rPh sb="7" eb="9">
      <t>コウジュン</t>
    </rPh>
    <phoneticPr fontId="4"/>
  </si>
  <si>
    <t>-</t>
    <phoneticPr fontId="4"/>
  </si>
  <si>
    <t>左/右のタブに移動</t>
    <phoneticPr fontId="4"/>
  </si>
  <si>
    <t>ポップアップメニュー1</t>
    <phoneticPr fontId="4"/>
  </si>
  <si>
    <t>ポップアップメニュー2</t>
    <phoneticPr fontId="4"/>
  </si>
  <si>
    <t>お気に入りを開く</t>
    <rPh sb="1" eb="2">
      <t>キ</t>
    </rPh>
    <rPh sb="3" eb="4">
      <t>イ</t>
    </rPh>
    <rPh sb="6" eb="7">
      <t>ヒラ</t>
    </rPh>
    <phoneticPr fontId="4"/>
  </si>
  <si>
    <t>-（=）</t>
  </si>
  <si>
    <t>-（=）</t>
    <phoneticPr fontId="4"/>
  </si>
  <si>
    <t>^（~）</t>
  </si>
  <si>
    <t>^（~）</t>
    <phoneticPr fontId="4"/>
  </si>
  <si>
    <t>\（|）</t>
  </si>
  <si>
    <t>\（|）</t>
    <phoneticPr fontId="4"/>
  </si>
  <si>
    <t>@（`）</t>
  </si>
  <si>
    <t>@（`）</t>
    <phoneticPr fontId="4"/>
  </si>
  <si>
    <t>[（{）</t>
  </si>
  <si>
    <t>[（{）</t>
    <phoneticPr fontId="4"/>
  </si>
  <si>
    <t>]（}）</t>
  </si>
  <si>
    <t>]（}）</t>
    <phoneticPr fontId="4"/>
  </si>
  <si>
    <t>;（+）</t>
  </si>
  <si>
    <t>;（+）</t>
    <phoneticPr fontId="4"/>
  </si>
  <si>
    <t>:（*）</t>
  </si>
  <si>
    <t>:（*）</t>
    <phoneticPr fontId="4"/>
  </si>
  <si>
    <t>,（&lt;）</t>
  </si>
  <si>
    <t>,（&lt;）</t>
    <phoneticPr fontId="4"/>
  </si>
  <si>
    <t>.（&gt;）</t>
  </si>
  <si>
    <t>.（&gt;）</t>
    <phoneticPr fontId="4"/>
  </si>
  <si>
    <t>/（?）</t>
  </si>
  <si>
    <t>/（?）</t>
    <phoneticPr fontId="4"/>
  </si>
  <si>
    <t>\（_）</t>
  </si>
  <si>
    <t>\（_）</t>
    <phoneticPr fontId="4"/>
  </si>
  <si>
    <t>[（{）/]（}）</t>
    <phoneticPr fontId="8"/>
  </si>
  <si>
    <t>,（&lt;）/.（&gt;）</t>
    <phoneticPr fontId="8"/>
  </si>
  <si>
    <t>移動</t>
    <rPh sb="0" eb="2">
      <t>イドウ</t>
    </rPh>
    <phoneticPr fontId="4"/>
  </si>
  <si>
    <t>選択</t>
    <rPh sb="0" eb="2">
      <t>センタク</t>
    </rPh>
    <phoneticPr fontId="4"/>
  </si>
  <si>
    <t>フォーカスを上に移動</t>
    <rPh sb="6" eb="7">
      <t>ウエ</t>
    </rPh>
    <rPh sb="8" eb="10">
      <t>イドウ</t>
    </rPh>
    <phoneticPr fontId="4"/>
  </si>
  <si>
    <t>フォーカスを下に移動</t>
    <rPh sb="6" eb="7">
      <t>シタ</t>
    </rPh>
    <rPh sb="8" eb="10">
      <t>イドウ</t>
    </rPh>
    <phoneticPr fontId="4"/>
  </si>
  <si>
    <t>選択範囲変更(上)</t>
    <rPh sb="0" eb="2">
      <t>センタク</t>
    </rPh>
    <rPh sb="2" eb="4">
      <t>ハンイ</t>
    </rPh>
    <rPh sb="4" eb="6">
      <t>ヘンコウ</t>
    </rPh>
    <rPh sb="7" eb="8">
      <t>ウエ</t>
    </rPh>
    <phoneticPr fontId="4"/>
  </si>
  <si>
    <t>選択範囲変更(下)</t>
    <rPh sb="0" eb="2">
      <t>センタク</t>
    </rPh>
    <rPh sb="2" eb="4">
      <t>ハンイ</t>
    </rPh>
    <rPh sb="4" eb="6">
      <t>ヘンコウ</t>
    </rPh>
    <rPh sb="7" eb="8">
      <t>シタ</t>
    </rPh>
    <phoneticPr fontId="4"/>
  </si>
  <si>
    <t>カタ/ひら/ローマ</t>
    <phoneticPr fontId="8"/>
  </si>
  <si>
    <t>左クリック</t>
    <rPh sb="0" eb="1">
      <t>ヒダリ</t>
    </rPh>
    <phoneticPr fontId="4"/>
  </si>
  <si>
    <t>左ダブルクリック</t>
    <phoneticPr fontId="4"/>
  </si>
  <si>
    <t>右ダブルクリック</t>
    <phoneticPr fontId="4"/>
  </si>
  <si>
    <t>左トリプルクリック</t>
    <phoneticPr fontId="4"/>
  </si>
  <si>
    <t>右トリプルクリック</t>
    <phoneticPr fontId="4"/>
  </si>
  <si>
    <t>ホイールクリック</t>
    <phoneticPr fontId="4"/>
  </si>
  <si>
    <t>ショートカットキー実行</t>
    <rPh sb="9" eb="11">
      <t>ジッコウ</t>
    </rPh>
    <phoneticPr fontId="4"/>
  </si>
  <si>
    <t>各ペインにフォーカスを当てる</t>
  </si>
  <si>
    <t>テーブル挿入</t>
  </si>
  <si>
    <t>オブジェクト 表示/非表示 切り替え</t>
  </si>
  <si>
    <t>アウトライン記号 表示/非表示 切り替え</t>
  </si>
  <si>
    <t>選択行内のアクティブセル値不一致セルを選択</t>
  </si>
  <si>
    <t>【値入力時】行末までテキスト削除</t>
    <phoneticPr fontId="4"/>
  </si>
  <si>
    <t>【文字入力時】数式→値 変換、【数式入力時】編集モード⇔入力モード切替</t>
    <phoneticPr fontId="4"/>
  </si>
  <si>
    <t>直前の操作を繰り返す、【文字入力時】相対参照⇔絶対参照</t>
    <phoneticPr fontId="4"/>
  </si>
  <si>
    <t>選択範囲の追加/削除</t>
  </si>
  <si>
    <t>再計算（ブック 変更セルのみ）</t>
    <phoneticPr fontId="4"/>
  </si>
  <si>
    <t>再計算（シート 変更セルのみ）</t>
    <phoneticPr fontId="4"/>
  </si>
  <si>
    <t>一画面分左に横スクロール</t>
    <phoneticPr fontId="4"/>
  </si>
  <si>
    <t>一画面分右に横スクロール</t>
    <phoneticPr fontId="4"/>
  </si>
  <si>
    <t>ハイパーリンクジャンプ 進む</t>
    <phoneticPr fontId="4"/>
  </si>
  <si>
    <t>ハイパーリンクジャンプ 戻る</t>
    <phoneticPr fontId="4"/>
  </si>
  <si>
    <t>選択行を非表示</t>
    <phoneticPr fontId="4"/>
  </si>
  <si>
    <t>選択行を表示</t>
    <phoneticPr fontId="4"/>
  </si>
  <si>
    <t>選択列を非表示</t>
    <phoneticPr fontId="4"/>
  </si>
  <si>
    <t>選択列を表示</t>
    <phoneticPr fontId="4"/>
  </si>
  <si>
    <t>表示形式 [%]</t>
  </si>
  <si>
    <t>表示形式 [日付]</t>
  </si>
  <si>
    <t>表示形式 [標準]</t>
  </si>
  <si>
    <t>表示切替 値⇔数式</t>
  </si>
  <si>
    <t>コメントが入力されている全セル選択</t>
  </si>
  <si>
    <t>数式バー 展開⇔折りたたみ</t>
    <phoneticPr fontId="4"/>
  </si>
  <si>
    <t>選択セルから名前付き範囲を作成</t>
  </si>
  <si>
    <t>グループ化</t>
    <phoneticPr fontId="4"/>
  </si>
  <si>
    <t>グループ化解除</t>
    <phoneticPr fontId="4"/>
  </si>
  <si>
    <t>ブックのスタイルを設定</t>
  </si>
  <si>
    <t>再計算（全シート全セル）</t>
  </si>
  <si>
    <t>再計算（参照先の数式を含め全シート全セル）</t>
  </si>
  <si>
    <t>範囲を維持したままセルコピー</t>
    <rPh sb="0" eb="2">
      <t>ハンイ</t>
    </rPh>
    <rPh sb="3" eb="5">
      <t>イジ</t>
    </rPh>
    <phoneticPr fontId="4"/>
  </si>
  <si>
    <t>一行にまとめてセルコピー</t>
    <rPh sb="0" eb="2">
      <t>イチギョウ</t>
    </rPh>
    <phoneticPr fontId="4"/>
  </si>
  <si>
    <t>全シート名をコピー</t>
    <rPh sb="0" eb="1">
      <t>ゼン</t>
    </rPh>
    <rPh sb="4" eb="5">
      <t>メイ</t>
    </rPh>
    <phoneticPr fontId="4"/>
  </si>
  <si>
    <t>シート選択ウィンドウを表示</t>
    <rPh sb="3" eb="5">
      <t>センタク</t>
    </rPh>
    <rPh sb="11" eb="13">
      <t>ヒョウジ</t>
    </rPh>
    <phoneticPr fontId="4"/>
  </si>
  <si>
    <t>先頭シートへジャンプ</t>
    <rPh sb="0" eb="2">
      <t>セントウ</t>
    </rPh>
    <phoneticPr fontId="4"/>
  </si>
  <si>
    <t>末尾シートへジャンプ</t>
    <rPh sb="0" eb="2">
      <t>マツビ</t>
    </rPh>
    <phoneticPr fontId="4"/>
  </si>
  <si>
    <t>インデントを上げる</t>
    <rPh sb="6" eb="7">
      <t>ア</t>
    </rPh>
    <phoneticPr fontId="4"/>
  </si>
  <si>
    <t>インデントを下げる</t>
    <rPh sb="6" eb="7">
      <t>サ</t>
    </rPh>
    <phoneticPr fontId="4"/>
  </si>
  <si>
    <t>ハイパーリンクの先に飛ぶ</t>
    <rPh sb="8" eb="9">
      <t>サキ</t>
    </rPh>
    <rPh sb="10" eb="11">
      <t>ト</t>
    </rPh>
    <phoneticPr fontId="4"/>
  </si>
  <si>
    <t>【オブジェクト選択時】最背面へ移動</t>
    <rPh sb="7" eb="9">
      <t>センタク</t>
    </rPh>
    <rPh sb="9" eb="10">
      <t>ジ</t>
    </rPh>
    <rPh sb="11" eb="12">
      <t>サイ</t>
    </rPh>
    <rPh sb="12" eb="14">
      <t>ハイメン</t>
    </rPh>
    <rPh sb="15" eb="17">
      <t>イドウ</t>
    </rPh>
    <phoneticPr fontId="4"/>
  </si>
  <si>
    <t>文字入力</t>
    <rPh sb="0" eb="2">
      <t>モジ</t>
    </rPh>
    <rPh sb="2" eb="4">
      <t>ニュウリョク</t>
    </rPh>
    <phoneticPr fontId="4"/>
  </si>
  <si>
    <t>文字入力</t>
    <rPh sb="0" eb="2">
      <t>モジ</t>
    </rPh>
    <rPh sb="2" eb="4">
      <t>ニュウリョク</t>
    </rPh>
    <phoneticPr fontId="4"/>
  </si>
  <si>
    <t>[セルの書式設定]</t>
    <phoneticPr fontId="4"/>
  </si>
  <si>
    <t>下線の書式を設定/解除</t>
    <phoneticPr fontId="4"/>
  </si>
  <si>
    <t>取り消し線の設定/解除</t>
    <phoneticPr fontId="4"/>
  </si>
  <si>
    <t>[標準] ツールバー 表示/非表示</t>
    <phoneticPr fontId="4"/>
  </si>
  <si>
    <t>[名前の管理]</t>
    <phoneticPr fontId="4"/>
  </si>
  <si>
    <t>リボン 表示/非表示</t>
    <phoneticPr fontId="4"/>
  </si>
  <si>
    <t>印刷プレビュー</t>
    <phoneticPr fontId="4"/>
  </si>
  <si>
    <t>アクティブなブックウィンドウが元のサイズに戻る</t>
    <phoneticPr fontId="4"/>
  </si>
  <si>
    <t>ブックウィンドウを切り替える</t>
    <phoneticPr fontId="4"/>
  </si>
  <si>
    <t>ブックウィンドウが最大化されていない場合、[移動]コマンドが実行される</t>
    <phoneticPr fontId="4"/>
  </si>
  <si>
    <t>ブックウィンドウが最大化されていない場合、[サイズ]コマンドが実行される</t>
    <phoneticPr fontId="4"/>
  </si>
  <si>
    <t>最小化</t>
    <phoneticPr fontId="4"/>
  </si>
  <si>
    <t>最大化するor元に戻す</t>
    <phoneticPr fontId="4"/>
  </si>
  <si>
    <t>マクロシート挿入</t>
    <phoneticPr fontId="4"/>
  </si>
  <si>
    <t>=Ctrl+o</t>
    <phoneticPr fontId="4"/>
  </si>
  <si>
    <t>ヘルプ</t>
    <phoneticPr fontId="4"/>
  </si>
  <si>
    <t>拡張選択モードのON/OFF切り替え</t>
    <phoneticPr fontId="4"/>
  </si>
  <si>
    <t>=Alt</t>
    <phoneticPr fontId="4"/>
  </si>
  <si>
    <t>グラフを作成</t>
    <phoneticPr fontId="4"/>
  </si>
  <si>
    <t>関数の挿入</t>
    <phoneticPr fontId="4"/>
  </si>
  <si>
    <t>セルコメント追加/編集</t>
    <rPh sb="9" eb="11">
      <t>ヘンシュウ</t>
    </rPh>
    <phoneticPr fontId="4"/>
  </si>
  <si>
    <t>=Ctrl+F</t>
    <phoneticPr fontId="4"/>
  </si>
  <si>
    <t>フォーカスを移動</t>
    <phoneticPr fontId="4"/>
  </si>
  <si>
    <t>類義語辞典 表示</t>
    <phoneticPr fontId="4"/>
  </si>
  <si>
    <t>コンテキストメニュー表示</t>
    <rPh sb="10" eb="12">
      <t>ヒョウジ</t>
    </rPh>
    <phoneticPr fontId="4"/>
  </si>
  <si>
    <t>=Ctrl+S</t>
    <phoneticPr fontId="4"/>
  </si>
  <si>
    <t>ポップヒントを表示</t>
    <phoneticPr fontId="4"/>
  </si>
  <si>
    <t xml:space="preserve"> [名前を付けて保存]</t>
    <phoneticPr fontId="4"/>
  </si>
  <si>
    <t>文書を閉じる</t>
    <phoneticPr fontId="4"/>
  </si>
  <si>
    <t>VBE</t>
    <phoneticPr fontId="4"/>
  </si>
  <si>
    <t>１つ上のセルの数式の計算結果をコピー</t>
    <phoneticPr fontId="4"/>
  </si>
  <si>
    <t>表示形式 [桁区切り]</t>
    <rPh sb="0" eb="2">
      <t>ヒョウジ</t>
    </rPh>
    <rPh sb="2" eb="4">
      <t>ケイシキ</t>
    </rPh>
    <phoneticPr fontId="4"/>
  </si>
  <si>
    <t>表示形式 [通貨]</t>
    <rPh sb="6" eb="8">
      <t>ツウカ</t>
    </rPh>
    <phoneticPr fontId="4"/>
  </si>
  <si>
    <t>外枠罫線</t>
    <phoneticPr fontId="4"/>
  </si>
  <si>
    <t>１つ上のセルの数式を参照先を変えずにコピー</t>
    <phoneticPr fontId="4"/>
  </si>
  <si>
    <t>ウィンドウを最大化しリボンを非表示</t>
    <phoneticPr fontId="4"/>
  </si>
  <si>
    <t>複数のブックを開いている時、前のブックのウィンドウを表示する</t>
    <phoneticPr fontId="4"/>
  </si>
  <si>
    <t>リボンを選択する</t>
    <phoneticPr fontId="4"/>
  </si>
  <si>
    <t>新規ワークシートの作成</t>
    <phoneticPr fontId="4"/>
  </si>
  <si>
    <t>[エラーチェック]</t>
    <phoneticPr fontId="4"/>
  </si>
  <si>
    <t>ズームUP</t>
    <phoneticPr fontId="4"/>
  </si>
  <si>
    <t>ズームDOWN</t>
    <phoneticPr fontId="4"/>
  </si>
  <si>
    <t>削除</t>
    <rPh sb="0" eb="2">
      <t>サクジョ</t>
    </rPh>
    <phoneticPr fontId="4"/>
  </si>
  <si>
    <t>日付入力</t>
    <rPh sb="0" eb="2">
      <t>ヒヅケ</t>
    </rPh>
    <rPh sb="2" eb="4">
      <t>ニュウリョク</t>
    </rPh>
    <phoneticPr fontId="4"/>
  </si>
  <si>
    <t>時刻入力</t>
    <rPh sb="0" eb="2">
      <t>ジコク</t>
    </rPh>
    <rPh sb="2" eb="4">
      <t>ニュウリョク</t>
    </rPh>
    <phoneticPr fontId="4"/>
  </si>
  <si>
    <t>太字</t>
    <rPh sb="0" eb="2">
      <t>フトジ</t>
    </rPh>
    <phoneticPr fontId="4"/>
  </si>
  <si>
    <t>上のセルからコピー</t>
    <rPh sb="0" eb="1">
      <t>ウエ</t>
    </rPh>
    <phoneticPr fontId="4"/>
  </si>
  <si>
    <t>検索</t>
    <rPh sb="0" eb="2">
      <t>ケンサク</t>
    </rPh>
    <phoneticPr fontId="4"/>
  </si>
  <si>
    <t>ジャンプダイアログ</t>
    <phoneticPr fontId="4"/>
  </si>
  <si>
    <t>置換</t>
    <rPh sb="0" eb="2">
      <t>チカン</t>
    </rPh>
    <phoneticPr fontId="4"/>
  </si>
  <si>
    <t>イタリック</t>
    <phoneticPr fontId="4"/>
  </si>
  <si>
    <t>ハイパーリンクの挿入</t>
    <rPh sb="8" eb="10">
      <t>ソウニュウ</t>
    </rPh>
    <phoneticPr fontId="4"/>
  </si>
  <si>
    <t>テーブル変換</t>
    <rPh sb="4" eb="6">
      <t>ヘンカン</t>
    </rPh>
    <phoneticPr fontId="4"/>
  </si>
  <si>
    <t>新規ブックを開く</t>
    <rPh sb="0" eb="2">
      <t>シンキ</t>
    </rPh>
    <rPh sb="6" eb="7">
      <t>ヒラ</t>
    </rPh>
    <phoneticPr fontId="4"/>
  </si>
  <si>
    <t>ブックを開く</t>
    <rPh sb="4" eb="5">
      <t>ヒラ</t>
    </rPh>
    <phoneticPr fontId="4"/>
  </si>
  <si>
    <t>印刷プレビュー</t>
    <rPh sb="0" eb="2">
      <t>インサツ</t>
    </rPh>
    <phoneticPr fontId="4"/>
  </si>
  <si>
    <t>左のセルからコピー</t>
    <rPh sb="0" eb="1">
      <t>ヒダリ</t>
    </rPh>
    <phoneticPr fontId="4"/>
  </si>
  <si>
    <t>保存</t>
    <rPh sb="0" eb="2">
      <t>ホゾン</t>
    </rPh>
    <phoneticPr fontId="4"/>
  </si>
  <si>
    <t>下線</t>
    <rPh sb="0" eb="1">
      <t>シタ</t>
    </rPh>
    <rPh sb="1" eb="2">
      <t>セン</t>
    </rPh>
    <phoneticPr fontId="4"/>
  </si>
  <si>
    <t>ブックを閉じる</t>
    <rPh sb="4" eb="5">
      <t>ト</t>
    </rPh>
    <phoneticPr fontId="4"/>
  </si>
  <si>
    <t>やり直し</t>
    <rPh sb="2" eb="3">
      <t>ナオ</t>
    </rPh>
    <phoneticPr fontId="4"/>
  </si>
  <si>
    <t>列選択</t>
    <rPh sb="0" eb="1">
      <t>レツ</t>
    </rPh>
    <rPh sb="1" eb="3">
      <t>センタク</t>
    </rPh>
    <phoneticPr fontId="4"/>
  </si>
  <si>
    <t>行選択</t>
    <rPh sb="0" eb="1">
      <t>ギョウ</t>
    </rPh>
    <rPh sb="1" eb="3">
      <t>センタク</t>
    </rPh>
    <phoneticPr fontId="4"/>
  </si>
  <si>
    <t>範囲選択</t>
    <rPh sb="0" eb="2">
      <t>ハンイ</t>
    </rPh>
    <rPh sb="2" eb="4">
      <t>センタク</t>
    </rPh>
    <phoneticPr fontId="4"/>
  </si>
  <si>
    <t>左のセルへ移動</t>
    <rPh sb="0" eb="1">
      <t>ヒダリ</t>
    </rPh>
    <rPh sb="5" eb="7">
      <t>イドウ</t>
    </rPh>
    <phoneticPr fontId="4"/>
  </si>
  <si>
    <t>上のセルへ移動</t>
    <rPh sb="0" eb="1">
      <t>ウエ</t>
    </rPh>
    <rPh sb="5" eb="7">
      <t>イドウ</t>
    </rPh>
    <phoneticPr fontId="4"/>
  </si>
  <si>
    <t>セル移動</t>
    <rPh sb="2" eb="4">
      <t>イドウ</t>
    </rPh>
    <phoneticPr fontId="4"/>
  </si>
  <si>
    <t>右のセルへ移動</t>
    <rPh sb="0" eb="1">
      <t>ミギ</t>
    </rPh>
    <rPh sb="5" eb="7">
      <t>イドウ</t>
    </rPh>
    <phoneticPr fontId="4"/>
  </si>
  <si>
    <t>下のセルへ移動</t>
    <rPh sb="0" eb="1">
      <t>シタ</t>
    </rPh>
    <rPh sb="5" eb="7">
      <t>イドウ</t>
    </rPh>
    <phoneticPr fontId="4"/>
  </si>
  <si>
    <t>セルクリア</t>
    <phoneticPr fontId="4"/>
  </si>
  <si>
    <t>先頭へ移動</t>
    <rPh sb="0" eb="2">
      <t>セントウ</t>
    </rPh>
    <rPh sb="3" eb="5">
      <t>イドウ</t>
    </rPh>
    <phoneticPr fontId="4"/>
  </si>
  <si>
    <t>末尾へ移動</t>
    <rPh sb="0" eb="2">
      <t>マツビ</t>
    </rPh>
    <rPh sb="3" eb="5">
      <t>イドウ</t>
    </rPh>
    <phoneticPr fontId="4"/>
  </si>
  <si>
    <t>右端へ移動</t>
    <rPh sb="0" eb="2">
      <t>ミギハシ</t>
    </rPh>
    <rPh sb="3" eb="5">
      <t>イドウ</t>
    </rPh>
    <phoneticPr fontId="4"/>
  </si>
  <si>
    <t>左端へ移動</t>
    <rPh sb="0" eb="2">
      <t>ヒダリハシ</t>
    </rPh>
    <rPh sb="3" eb="5">
      <t>イドウ</t>
    </rPh>
    <phoneticPr fontId="4"/>
  </si>
  <si>
    <t>左上端へ移動</t>
    <rPh sb="0" eb="1">
      <t>ヒダリ</t>
    </rPh>
    <rPh sb="1" eb="2">
      <t>ウエ</t>
    </rPh>
    <rPh sb="2" eb="3">
      <t>ハシ</t>
    </rPh>
    <rPh sb="4" eb="6">
      <t>イドウ</t>
    </rPh>
    <phoneticPr fontId="4"/>
  </si>
  <si>
    <t>右下端へ移動</t>
    <rPh sb="0" eb="2">
      <t>ミギシタ</t>
    </rPh>
    <rPh sb="2" eb="3">
      <t>ハシ</t>
    </rPh>
    <rPh sb="4" eb="6">
      <t>イドウ</t>
    </rPh>
    <phoneticPr fontId="4"/>
  </si>
  <si>
    <t>前のシートへ</t>
    <rPh sb="0" eb="1">
      <t>マエ</t>
    </rPh>
    <phoneticPr fontId="4"/>
  </si>
  <si>
    <t>次のシートへ</t>
    <rPh sb="0" eb="1">
      <t>ツギ</t>
    </rPh>
    <phoneticPr fontId="4"/>
  </si>
  <si>
    <t>貼り付け＋履歴戻し</t>
    <rPh sb="0" eb="1">
      <t>ハ</t>
    </rPh>
    <rPh sb="2" eb="3">
      <t>ツ</t>
    </rPh>
    <rPh sb="5" eb="7">
      <t>リレキ</t>
    </rPh>
    <rPh sb="7" eb="8">
      <t>モド</t>
    </rPh>
    <phoneticPr fontId="4"/>
  </si>
  <si>
    <t>上書き入力モード</t>
    <phoneticPr fontId="4"/>
  </si>
  <si>
    <t>[名前の貼り付け]</t>
    <rPh sb="1" eb="3">
      <t>ナマエ</t>
    </rPh>
    <rPh sb="4" eb="5">
      <t>ハ</t>
    </rPh>
    <rPh sb="6" eb="7">
      <t>ツ</t>
    </rPh>
    <phoneticPr fontId="4"/>
  </si>
  <si>
    <t>前のシートの選択を追加</t>
    <rPh sb="0" eb="1">
      <t>マエ</t>
    </rPh>
    <rPh sb="6" eb="8">
      <t>センタク</t>
    </rPh>
    <rPh sb="9" eb="11">
      <t>ツイカ</t>
    </rPh>
    <phoneticPr fontId="4"/>
  </si>
  <si>
    <t>次のシートの選択を追加</t>
    <rPh sb="0" eb="1">
      <t>ツギ</t>
    </rPh>
    <rPh sb="6" eb="8">
      <t>センタク</t>
    </rPh>
    <rPh sb="9" eb="11">
      <t>ツイカ</t>
    </rPh>
    <phoneticPr fontId="4"/>
  </si>
  <si>
    <t>[ジャンプ]</t>
  </si>
  <si>
    <t>[スペルチェック]</t>
  </si>
  <si>
    <t>[マクロ]</t>
  </si>
  <si>
    <t>[形式を選択して貼り付け]</t>
  </si>
  <si>
    <t>=Ctrl+p</t>
    <phoneticPr fontId="4"/>
  </si>
  <si>
    <t>Excel方眼紙</t>
    <rPh sb="5" eb="8">
      <t>ホウガンシ</t>
    </rPh>
    <phoneticPr fontId="4"/>
  </si>
  <si>
    <t>Excel数式整形化解除</t>
    <phoneticPr fontId="4"/>
  </si>
  <si>
    <t>Excel数式整形化実施</t>
    <phoneticPr fontId="4"/>
  </si>
  <si>
    <t>背景色をトグル</t>
  </si>
  <si>
    <t>フォント色をトグル</t>
    <phoneticPr fontId="4"/>
  </si>
  <si>
    <t>(標準の動作:単語補完)</t>
    <phoneticPr fontId="4"/>
  </si>
  <si>
    <t>単語補完</t>
    <phoneticPr fontId="4"/>
  </si>
  <si>
    <t>アドインマクロ実行</t>
    <phoneticPr fontId="4"/>
  </si>
  <si>
    <t>【オブジェクト選択時】最前面へ移動 or 検索文字の文字色を変更</t>
    <rPh sb="7" eb="9">
      <t>センタク</t>
    </rPh>
    <rPh sb="9" eb="10">
      <t>ジ</t>
    </rPh>
    <rPh sb="11" eb="12">
      <t>サイ</t>
    </rPh>
    <rPh sb="12" eb="14">
      <t>ゼンメン</t>
    </rPh>
    <rPh sb="15" eb="17">
      <t>イドウ</t>
    </rPh>
    <phoneticPr fontId="4"/>
  </si>
  <si>
    <t>蛍光ペン黄色</t>
    <rPh sb="0" eb="2">
      <t>ケイコウ</t>
    </rPh>
    <rPh sb="4" eb="6">
      <t>キイロ</t>
    </rPh>
    <phoneticPr fontId="4"/>
  </si>
  <si>
    <t>蛍光ペン緑色</t>
    <rPh sb="0" eb="2">
      <t>ケイコウ</t>
    </rPh>
    <rPh sb="4" eb="6">
      <t>ミドリイロ</t>
    </rPh>
    <phoneticPr fontId="4"/>
  </si>
  <si>
    <t>書式の貼り付け</t>
    <phoneticPr fontId="4"/>
  </si>
  <si>
    <t>値の貼り付け</t>
  </si>
  <si>
    <t>マーク/マーク解除</t>
    <phoneticPr fontId="4"/>
  </si>
  <si>
    <t>マーク上検索/下検索</t>
    <rPh sb="3" eb="4">
      <t>ウエ</t>
    </rPh>
    <rPh sb="4" eb="6">
      <t>ケンサク</t>
    </rPh>
    <rPh sb="7" eb="8">
      <t>シタ</t>
    </rPh>
    <rPh sb="8" eb="10">
      <t>ケンサク</t>
    </rPh>
    <phoneticPr fontId="8"/>
  </si>
  <si>
    <t>ﾏｸﾛ:カーソル位置の単語色付け</t>
    <phoneticPr fontId="4"/>
  </si>
  <si>
    <t>ﾏｸﾛ:カーソル位置のGrep検索.mac</t>
  </si>
  <si>
    <t>ﾏｸﾛ:タグジャンプ＆ダイレクトタグジ</t>
    <phoneticPr fontId="4"/>
  </si>
  <si>
    <t>ﾏｸﾛ:カーソル位置の検索.mac</t>
  </si>
  <si>
    <t>ﾏｸﾛ:タブ→空白変換後にコピー</t>
    <phoneticPr fontId="4"/>
  </si>
  <si>
    <t>ﾏｸﾛ:複数行→１行変換.mac</t>
    <phoneticPr fontId="4"/>
  </si>
  <si>
    <t>(標準の動作:ﾏｸﾛ1)</t>
    <phoneticPr fontId="4"/>
  </si>
  <si>
    <t>(標準の動作:ﾏｸﾛ2)</t>
    <phoneticPr fontId="4"/>
  </si>
  <si>
    <t>(標準の動作:ﾏｸﾛ3)</t>
    <phoneticPr fontId="4"/>
  </si>
  <si>
    <t>(標準の動作:ﾏｸﾛ4)</t>
    <phoneticPr fontId="8"/>
  </si>
  <si>
    <t>(標準の動作:ﾏｸﾛ5)</t>
    <phoneticPr fontId="4"/>
  </si>
  <si>
    <t>(標準の動作:ﾏｸﾛ6)</t>
    <phoneticPr fontId="4"/>
  </si>
  <si>
    <t>(標準の動作:ﾏｸﾛ7)</t>
    <phoneticPr fontId="4"/>
  </si>
  <si>
    <t>(標準の動作:ﾏｸﾛ8)</t>
    <phoneticPr fontId="4"/>
  </si>
  <si>
    <t>(標準の動作:ﾏｸﾛ9)</t>
    <phoneticPr fontId="4"/>
  </si>
  <si>
    <t>(標準の動作:ﾏｸﾛ10)</t>
    <phoneticPr fontId="4"/>
  </si>
  <si>
    <t>ﾏｸﾛ:コピー(ファイルパス)</t>
    <phoneticPr fontId="4"/>
  </si>
  <si>
    <t>ﾏｸﾛ:コピー(ファイル名)</t>
    <phoneticPr fontId="4"/>
  </si>
  <si>
    <t>ﾏｸﾛ:コピー(相対ファイルパス)</t>
  </si>
  <si>
    <t>ﾏｸﾛ:コピー(フォルダパス)</t>
    <phoneticPr fontId="4"/>
  </si>
  <si>
    <t>ﾏｸﾛ:コピー(拡張子)</t>
    <rPh sb="8" eb="11">
      <t>カクチョウシ</t>
    </rPh>
    <phoneticPr fontId="4"/>
  </si>
  <si>
    <t>ﾏｸﾛ:コピー(行番号)</t>
    <rPh sb="8" eb="11">
      <t>ギョウバンゴウ</t>
    </rPh>
    <phoneticPr fontId="4"/>
  </si>
  <si>
    <t>バッファリスト作成</t>
    <phoneticPr fontId="4"/>
  </si>
  <si>
    <t>タグリスト作成</t>
    <phoneticPr fontId="4"/>
  </si>
  <si>
    <t>現在のプログラムを実行</t>
    <phoneticPr fontId="4"/>
  </si>
  <si>
    <t>全体をコピー</t>
    <phoneticPr fontId="4"/>
  </si>
  <si>
    <t>フォントサイズをトグル</t>
    <phoneticPr fontId="4"/>
  </si>
  <si>
    <t>ウィンドウサイズをトグル</t>
    <phoneticPr fontId="4"/>
  </si>
  <si>
    <t>タブ⇒空白 変換</t>
    <phoneticPr fontId="4"/>
  </si>
  <si>
    <t>空白⇒タブ 変換</t>
    <phoneticPr fontId="4"/>
  </si>
  <si>
    <t>現在行番号コピー</t>
    <phoneticPr fontId="4"/>
  </si>
  <si>
    <t>現在ファイル拡張子コピー</t>
    <phoneticPr fontId="4"/>
  </si>
  <si>
    <t>現在フォルダパスコピー</t>
    <phoneticPr fontId="4"/>
  </si>
  <si>
    <t>現在ファイル名コピー</t>
    <phoneticPr fontId="4"/>
  </si>
  <si>
    <t>現在ファイルパスコピー</t>
    <phoneticPr fontId="4"/>
  </si>
  <si>
    <t>俯瞰モード</t>
    <phoneticPr fontId="4"/>
  </si>
  <si>
    <t>タグファイル更新</t>
    <phoneticPr fontId="4"/>
  </si>
  <si>
    <t>現在相対ファイルパスコピー</t>
    <phoneticPr fontId="4"/>
  </si>
  <si>
    <t>前行の単語をコピーしてインクリメント</t>
    <phoneticPr fontId="4"/>
  </si>
  <si>
    <t>【テーブル時】フィルタ設定表示</t>
    <rPh sb="5" eb="6">
      <t>ジ</t>
    </rPh>
    <rPh sb="11" eb="13">
      <t>セッテイ</t>
    </rPh>
    <rPh sb="13" eb="15">
      <t>ヒョウジ</t>
    </rPh>
    <phoneticPr fontId="4"/>
  </si>
  <si>
    <t>フリガナ編集</t>
    <rPh sb="4" eb="6">
      <t>ヘンシュウ</t>
    </rPh>
    <phoneticPr fontId="4"/>
  </si>
  <si>
    <t>選択しながら先頭へ移動</t>
    <rPh sb="0" eb="2">
      <t>センタク</t>
    </rPh>
    <rPh sb="6" eb="8">
      <t>セントウ</t>
    </rPh>
    <rPh sb="9" eb="11">
      <t>イドウ</t>
    </rPh>
    <phoneticPr fontId="4"/>
  </si>
  <si>
    <t>選択しながら末尾へ移動</t>
    <phoneticPr fontId="4"/>
  </si>
  <si>
    <t>選択しながら右端へ移動</t>
    <phoneticPr fontId="4"/>
  </si>
  <si>
    <t>選択しながら左端へ移動</t>
    <phoneticPr fontId="4"/>
  </si>
  <si>
    <t>画面を上に移動</t>
  </si>
  <si>
    <t>画面を下に移動</t>
    <rPh sb="3" eb="4">
      <t>シタ</t>
    </rPh>
    <phoneticPr fontId="4"/>
  </si>
  <si>
    <t>画面を右に移動</t>
    <rPh sb="3" eb="4">
      <t>ミギ</t>
    </rPh>
    <phoneticPr fontId="4"/>
  </si>
  <si>
    <t>画面を左に移動</t>
    <rPh sb="3" eb="4">
      <t>ヒダリ</t>
    </rPh>
    <phoneticPr fontId="4"/>
  </si>
  <si>
    <t>コマンド/ファイル名補完</t>
  </si>
  <si>
    <t>コマンド履歴検索</t>
  </si>
  <si>
    <t>文字入替(現在⇔1つ前)</t>
  </si>
  <si>
    <t>貼付け（上記Ctrl + w,Ctrl + kなどで削除した文字列をペーストできる）</t>
  </si>
  <si>
    <t>ENTERと同じ</t>
  </si>
  <si>
    <t>全画面モード</t>
  </si>
  <si>
    <t>タブ複製</t>
  </si>
  <si>
    <t>新規タブ作成</t>
  </si>
  <si>
    <t>コマンドパレット表示</t>
  </si>
  <si>
    <t>画面クリア</t>
  </si>
  <si>
    <t>実行中プログラム強制終了</t>
  </si>
  <si>
    <t>終了</t>
  </si>
  <si>
    <t>ドロップダウンメニュー表示</t>
  </si>
  <si>
    <t>t</t>
  </si>
  <si>
    <t>d</t>
  </si>
  <si>
    <t>y</t>
  </si>
  <si>
    <t>c</t>
  </si>
  <si>
    <t>文字削除(カーソル左側/右側全て)</t>
    <rPh sb="12" eb="14">
      <t>ミギガワ</t>
    </rPh>
    <phoneticPr fontId="4"/>
  </si>
  <si>
    <t>u/k</t>
  </si>
  <si>
    <t>m/j/o</t>
  </si>
  <si>
    <t>p/n</t>
    <phoneticPr fontId="4"/>
  </si>
  <si>
    <t>カーソル移動(1個右/左)</t>
    <phoneticPr fontId="4"/>
  </si>
  <si>
    <t>カーソル移動(単語単位右/左)</t>
    <phoneticPr fontId="4"/>
  </si>
  <si>
    <t>a/e</t>
    <phoneticPr fontId="4"/>
  </si>
  <si>
    <t>カーソル移動(行頭/行末)</t>
    <phoneticPr fontId="4"/>
  </si>
  <si>
    <t>方向キー</t>
    <rPh sb="0" eb="2">
      <t>ホウコウ</t>
    </rPh>
    <phoneticPr fontId="4"/>
  </si>
  <si>
    <t>コマンド履歴呼出し(1つ前/1つ先)</t>
  </si>
  <si>
    <t>画面更新 停止/再開</t>
    <rPh sb="8" eb="10">
      <t>サイカイ</t>
    </rPh>
    <phoneticPr fontId="4"/>
  </si>
  <si>
    <t>s/q</t>
    <phoneticPr fontId="4"/>
  </si>
  <si>
    <t>文字削除(カーソル左/カーソル位置)</t>
    <phoneticPr fontId="4"/>
  </si>
  <si>
    <t>h/d</t>
    <phoneticPr fontId="4"/>
  </si>
  <si>
    <t>Ctrl/</t>
    <phoneticPr fontId="4"/>
  </si>
  <si>
    <t>/Alt</t>
    <phoneticPr fontId="4"/>
  </si>
  <si>
    <t>単語削除(カーソル左/右)</t>
    <phoneticPr fontId="4"/>
  </si>
  <si>
    <t>/Shift</t>
    <phoneticPr fontId="4"/>
  </si>
  <si>
    <t>タブ切替え 順方向/逆方向</t>
    <rPh sb="6" eb="9">
      <t>ジュンホウコウ</t>
    </rPh>
    <rPh sb="10" eb="11">
      <t>ギャク</t>
    </rPh>
    <rPh sb="11" eb="13">
      <t>ホウコウ</t>
    </rPh>
    <phoneticPr fontId="4"/>
  </si>
  <si>
    <t>画面スクロール 上/下（WSL2のみ？）</t>
    <rPh sb="0" eb="2">
      <t>ガメン</t>
    </rPh>
    <rPh sb="8" eb="9">
      <t>ウエ</t>
    </rPh>
    <rPh sb="10" eb="11">
      <t>シタ</t>
    </rPh>
    <phoneticPr fontId="4"/>
  </si>
  <si>
    <t>フォントサイズ変更(拡大/縮小)</t>
    <rPh sb="7" eb="9">
      <t>ヘンコウ</t>
    </rPh>
    <rPh sb="10" eb="12">
      <t>カクダイ</t>
    </rPh>
    <rPh sb="13" eb="15">
      <t>シュクショウ</t>
    </rPh>
    <phoneticPr fontId="4"/>
  </si>
  <si>
    <t>w</t>
    <phoneticPr fontId="4"/>
  </si>
  <si>
    <t>列1</t>
  </si>
  <si>
    <t>列1</t>
    <phoneticPr fontId="4"/>
  </si>
  <si>
    <t>Linuxシェル</t>
    <phoneticPr fontId="4"/>
  </si>
  <si>
    <t>動作</t>
    <rPh sb="0" eb="2">
      <t>ドウサ</t>
    </rPh>
    <phoneticPr fontId="4"/>
  </si>
  <si>
    <t>ソフト名</t>
    <rPh sb="3" eb="4">
      <t>メイ</t>
    </rPh>
    <phoneticPr fontId="4"/>
  </si>
  <si>
    <t>ショートカットキー</t>
    <phoneticPr fontId="4"/>
  </si>
  <si>
    <t>タブ内分割削除</t>
    <rPh sb="5" eb="7">
      <t>サクジョ</t>
    </rPh>
    <phoneticPr fontId="4"/>
  </si>
  <si>
    <t>タブ内分割追加(垂直/水平)</t>
    <rPh sb="2" eb="3">
      <t>ナイ</t>
    </rPh>
    <rPh sb="5" eb="7">
      <t>ツイカ</t>
    </rPh>
    <rPh sb="11" eb="13">
      <t>スイヘイ</t>
    </rPh>
    <phoneticPr fontId="4"/>
  </si>
  <si>
    <t>タブ内分割移動</t>
    <phoneticPr fontId="4"/>
  </si>
  <si>
    <t>タブ内分割サイズ変更</t>
    <phoneticPr fontId="4"/>
  </si>
  <si>
    <t>tab</t>
    <phoneticPr fontId="4"/>
  </si>
  <si>
    <t>/Shift</t>
    <phoneticPr fontId="4"/>
  </si>
  <si>
    <t>ペイン移動 次/前へ</t>
    <rPh sb="3" eb="5">
      <t>イドウ</t>
    </rPh>
    <rPh sb="6" eb="7">
      <t>ツギ</t>
    </rPh>
    <rPh sb="8" eb="9">
      <t>マエ</t>
    </rPh>
    <phoneticPr fontId="4"/>
  </si>
  <si>
    <t>検索ボックス移動</t>
    <rPh sb="0" eb="2">
      <t>ケンサク</t>
    </rPh>
    <rPh sb="6" eb="8">
      <t>イドウ</t>
    </rPh>
    <phoneticPr fontId="4"/>
  </si>
  <si>
    <t>f</t>
    <phoneticPr fontId="4"/>
  </si>
  <si>
    <t>アドレス帳</t>
    <rPh sb="4" eb="5">
      <t>チョウ</t>
    </rPh>
    <phoneticPr fontId="4"/>
  </si>
  <si>
    <t>b</t>
    <phoneticPr fontId="4"/>
  </si>
  <si>
    <t>開封/未開封 切替</t>
    <rPh sb="3" eb="6">
      <t>ミカイフウ</t>
    </rPh>
    <rPh sb="7" eb="9">
      <t>キリカエ</t>
    </rPh>
    <phoneticPr fontId="4"/>
  </si>
  <si>
    <t>q/u</t>
    <phoneticPr fontId="4"/>
  </si>
  <si>
    <t>a</t>
  </si>
  <si>
    <t>拡大/縮小</t>
    <phoneticPr fontId="4"/>
  </si>
  <si>
    <t>手のひらツール</t>
  </si>
  <si>
    <t>選択ツール</t>
  </si>
  <si>
    <t>マーキーズームツール</t>
  </si>
  <si>
    <t>ズームツールの切り替え</t>
  </si>
  <si>
    <t>オブジェクト選択ツール</t>
  </si>
  <si>
    <t>フォーム編集の開始／終了</t>
  </si>
  <si>
    <t>トリミングツール</t>
  </si>
  <si>
    <t>リンクツール</t>
  </si>
  <si>
    <t>テキストフィールドツール</t>
  </si>
  <si>
    <t>墨消し</t>
  </si>
  <si>
    <t>ノート注釈ツール</t>
  </si>
  <si>
    <t>テキスト注釈ツール</t>
  </si>
  <si>
    <t>スタンプツール</t>
  </si>
  <si>
    <t>雲型ツール</t>
  </si>
  <si>
    <t>テキストボックスツール</t>
  </si>
  <si>
    <t>手のひらツール（一時的）</t>
  </si>
  <si>
    <t>オブジェクト編集ツール</t>
  </si>
  <si>
    <t>文書テキスト編集ツール</t>
  </si>
  <si>
    <t>ハイライトツール</t>
  </si>
  <si>
    <t>ハイライトツール切り替え(ハイライト→下線→取り消し線→…)</t>
  </si>
  <si>
    <t>描画マークアップツール</t>
  </si>
  <si>
    <t>描画マークアップツール切り替え</t>
  </si>
  <si>
    <t>注釈返信</t>
  </si>
  <si>
    <t>ズームインツール選択（一時的）</t>
  </si>
  <si>
    <t>h</t>
  </si>
  <si>
    <t>v</t>
  </si>
  <si>
    <t>z</t>
  </si>
  <si>
    <t>o</t>
  </si>
  <si>
    <t>k</t>
  </si>
  <si>
    <t>q</t>
  </si>
  <si>
    <t>x</t>
  </si>
  <si>
    <t>space</t>
    <phoneticPr fontId="4"/>
  </si>
  <si>
    <t>一時的ズームアウト＠マーキーズームツール</t>
    <phoneticPr fontId="4"/>
  </si>
  <si>
    <t>y</t>
    <phoneticPr fontId="4"/>
  </si>
  <si>
    <t>文書のプロパティ表示</t>
    <rPh sb="0" eb="2">
      <t>ブンショ</t>
    </rPh>
    <rPh sb="8" eb="10">
      <t>ヒョウジ</t>
    </rPh>
    <phoneticPr fontId="4"/>
  </si>
  <si>
    <t>しおり展開/閉じる</t>
    <rPh sb="3" eb="5">
      <t>テンカイ</t>
    </rPh>
    <rPh sb="6" eb="7">
      <t>ト</t>
    </rPh>
    <phoneticPr fontId="4"/>
  </si>
  <si>
    <t>F5</t>
    <phoneticPr fontId="4"/>
  </si>
  <si>
    <t>パネル表示切り替え(ナビゲーションパネル)</t>
    <phoneticPr fontId="4"/>
  </si>
  <si>
    <t>パネル表示切り替え(タスクパネル)</t>
    <rPh sb="3" eb="5">
      <t>ヒョウジ</t>
    </rPh>
    <rPh sb="5" eb="6">
      <t>キ</t>
    </rPh>
    <rPh sb="7" eb="8">
      <t>カ</t>
    </rPh>
    <phoneticPr fontId="4"/>
  </si>
  <si>
    <t>フォーカス切り替え(ナビゲーションパネル)</t>
    <rPh sb="5" eb="6">
      <t>キ</t>
    </rPh>
    <rPh sb="7" eb="8">
      <t>カ</t>
    </rPh>
    <phoneticPr fontId="4"/>
  </si>
  <si>
    <t>フォーカス切り替え(文書パネル)</t>
    <phoneticPr fontId="4"/>
  </si>
  <si>
    <t>パネル表示切り替え(メニューバー)</t>
    <phoneticPr fontId="4"/>
  </si>
  <si>
    <t>全しおり展開</t>
    <rPh sb="0" eb="1">
      <t>ゼン</t>
    </rPh>
    <rPh sb="4" eb="6">
      <t>テンカイ</t>
    </rPh>
    <phoneticPr fontId="4"/>
  </si>
  <si>
    <t>ドラッグ</t>
    <phoneticPr fontId="4"/>
  </si>
  <si>
    <t>矩形選択</t>
    <rPh sb="0" eb="2">
      <t>クケイ</t>
    </rPh>
    <rPh sb="2" eb="4">
      <t>センタク</t>
    </rPh>
    <phoneticPr fontId="4"/>
  </si>
  <si>
    <t>貼り付け($CLIPBOARD)</t>
    <rPh sb="0" eb="1">
      <t>ハ</t>
    </rPh>
    <rPh sb="2" eb="3">
      <t>ツ</t>
    </rPh>
    <phoneticPr fontId="4"/>
  </si>
  <si>
    <t>F10</t>
    <phoneticPr fontId="4"/>
  </si>
  <si>
    <t>ブックマーク追加</t>
    <rPh sb="6" eb="8">
      <t>ツイカ</t>
    </rPh>
    <phoneticPr fontId="4"/>
  </si>
  <si>
    <t>ツリー・パネル切替え</t>
    <phoneticPr fontId="4"/>
  </si>
  <si>
    <t>ディレクトリ移動(ルート)</t>
    <rPh sb="6" eb="8">
      <t>イドウ</t>
    </rPh>
    <phoneticPr fontId="4"/>
  </si>
  <si>
    <t>ディレクトリ移動(ホーム)</t>
    <rPh sb="6" eb="8">
      <t>イドウ</t>
    </rPh>
    <phoneticPr fontId="4"/>
  </si>
  <si>
    <t>ディレクトリ移動(戻る/進む/親)</t>
    <rPh sb="6" eb="8">
      <t>イドウ</t>
    </rPh>
    <rPh sb="9" eb="10">
      <t>モド</t>
    </rPh>
    <rPh sb="12" eb="13">
      <t>ススム</t>
    </rPh>
    <rPh sb="15" eb="16">
      <t>オヤ</t>
    </rPh>
    <phoneticPr fontId="4"/>
  </si>
  <si>
    <t>←/→/↑</t>
    <phoneticPr fontId="4"/>
  </si>
  <si>
    <t>分割を閉じる($PANE_DELETE)</t>
    <phoneticPr fontId="4"/>
  </si>
  <si>
    <t>o</t>
    <phoneticPr fontId="4"/>
  </si>
  <si>
    <t>接続開く($FILE_NEW)</t>
    <phoneticPr fontId="4"/>
  </si>
  <si>
    <t>接続閉じる($FILE_CLOSE)</t>
    <phoneticPr fontId="4"/>
  </si>
  <si>
    <t>.（&gt;）</t>
    <phoneticPr fontId="8"/>
  </si>
  <si>
    <t>カーソル移動(一文字) 左(\033[D)</t>
    <phoneticPr fontId="4"/>
  </si>
  <si>
    <t>カーソル移動(一文字) 右(\033[C)</t>
    <phoneticPr fontId="4"/>
  </si>
  <si>
    <t>オプション設定($OPTION_SET)</t>
    <phoneticPr fontId="4"/>
  </si>
  <si>
    <t>ウィンドウ整理(並べて表示)($PANE_TILEHORZ)</t>
    <phoneticPr fontId="4"/>
  </si>
  <si>
    <t>ウィンドウ整理(重ねて表示)($PANE_CASCADE)</t>
    <phoneticPr fontId="4"/>
  </si>
  <si>
    <t>F11</t>
    <phoneticPr fontId="4"/>
  </si>
  <si>
    <t>F12</t>
    <phoneticPr fontId="4"/>
  </si>
  <si>
    <t>n/w</t>
    <phoneticPr fontId="4"/>
  </si>
  <si>
    <t>フィルタ</t>
    <phoneticPr fontId="4"/>
  </si>
  <si>
    <t>f</t>
    <phoneticPr fontId="4"/>
  </si>
  <si>
    <t>\</t>
    <phoneticPr fontId="4"/>
  </si>
  <si>
    <t>フォルダ作成</t>
    <rPh sb="4" eb="6">
      <t>サクセイ</t>
    </rPh>
    <phoneticPr fontId="4"/>
  </si>
  <si>
    <t>ファイル作成</t>
    <rPh sb="4" eb="6">
      <t>サクセイ</t>
    </rPh>
    <phoneticPr fontId="4"/>
  </si>
  <si>
    <t>c</t>
    <phoneticPr fontId="4"/>
  </si>
  <si>
    <t>ファイル名コピー</t>
    <rPh sb="4" eb="5">
      <t>メイ</t>
    </rPh>
    <phoneticPr fontId="4"/>
  </si>
  <si>
    <t>ファイルパスコピー</t>
    <phoneticPr fontId="4"/>
  </si>
  <si>
    <t>h</t>
    <phoneticPr fontId="4"/>
  </si>
  <si>
    <t>t</t>
    <phoneticPr fontId="4"/>
  </si>
  <si>
    <t>F7</t>
    <phoneticPr fontId="4"/>
  </si>
  <si>
    <t>ショートカットファイル作成</t>
  </si>
  <si>
    <t>F6</t>
    <phoneticPr fontId="4"/>
  </si>
  <si>
    <t>F3</t>
    <phoneticPr fontId="4"/>
  </si>
  <si>
    <t>ソート(名前)</t>
  </si>
  <si>
    <t>[</t>
    <phoneticPr fontId="4"/>
  </si>
  <si>
    <t>]</t>
    <phoneticPr fontId="4"/>
  </si>
  <si>
    <t>e</t>
    <phoneticPr fontId="4"/>
  </si>
  <si>
    <t>エクスプローラで開く(ローカルパネルのみ)</t>
    <rPh sb="8" eb="9">
      <t>ヒラ</t>
    </rPh>
    <phoneticPr fontId="4"/>
  </si>
  <si>
    <t>フォルダパスコピー(ローカルパネル)</t>
    <phoneticPr fontId="4"/>
  </si>
  <si>
    <t>フォルダパスコピー(リモートパネル)</t>
    <phoneticPr fontId="4"/>
  </si>
  <si>
    <t>ブックマークウィンドウ表示</t>
    <rPh sb="11" eb="13">
      <t>ヒョウジ</t>
    </rPh>
    <phoneticPr fontId="4"/>
  </si>
  <si>
    <t>隠しファイル表示/非表示切替え</t>
    <rPh sb="0" eb="1">
      <t>カク</t>
    </rPh>
    <rPh sb="6" eb="8">
      <t>ヒョウジ</t>
    </rPh>
    <rPh sb="9" eb="12">
      <t>ヒヒョウジ</t>
    </rPh>
    <rPh sb="12" eb="13">
      <t>キ</t>
    </rPh>
    <rPh sb="13" eb="14">
      <t>カ</t>
    </rPh>
    <phoneticPr fontId="4"/>
  </si>
  <si>
    <t>ツリーパネル表示/非表示切替え</t>
    <rPh sb="6" eb="8">
      <t>ヒョウジ</t>
    </rPh>
    <rPh sb="9" eb="12">
      <t>ヒヒョウジ</t>
    </rPh>
    <rPh sb="12" eb="13">
      <t>キ</t>
    </rPh>
    <rPh sb="13" eb="14">
      <t>カ</t>
    </rPh>
    <phoneticPr fontId="4"/>
  </si>
  <si>
    <t>カーソル移動(単語) 左(\033b)</t>
    <phoneticPr fontId="4"/>
  </si>
  <si>
    <t>カーソル移動(単語) 右(\033f)</t>
    <phoneticPr fontId="4"/>
  </si>
  <si>
    <t>カーソル移動(行頭)(\001)</t>
    <rPh sb="7" eb="9">
      <t>ギョウトウ</t>
    </rPh>
    <phoneticPr fontId="4"/>
  </si>
  <si>
    <t>カーソル移動(行末)(\005)</t>
    <rPh sb="7" eb="9">
      <t>ギョウマツ</t>
    </rPh>
    <phoneticPr fontId="4"/>
  </si>
  <si>
    <t>文字削除 カーソル右</t>
    <rPh sb="0" eb="2">
      <t>モジ</t>
    </rPh>
    <rPh sb="2" eb="4">
      <t>サクジョ</t>
    </rPh>
    <rPh sb="9" eb="10">
      <t>ミギ</t>
    </rPh>
    <phoneticPr fontId="4"/>
  </si>
  <si>
    <t>文字削除 カーソル左</t>
    <rPh sb="0" eb="2">
      <t>モジ</t>
    </rPh>
    <rPh sb="2" eb="4">
      <t>サクジョ</t>
    </rPh>
    <rPh sb="9" eb="10">
      <t>ヒダリ</t>
    </rPh>
    <phoneticPr fontId="4"/>
  </si>
  <si>
    <t>文字削除 単語左(\027)</t>
    <rPh sb="0" eb="2">
      <t>モジ</t>
    </rPh>
    <rPh sb="2" eb="4">
      <t>サクジョ</t>
    </rPh>
    <rPh sb="5" eb="7">
      <t>タンゴ</t>
    </rPh>
    <rPh sb="7" eb="8">
      <t>ヒダリ</t>
    </rPh>
    <phoneticPr fontId="4"/>
  </si>
  <si>
    <t>カーソル移動 行頭(\001)/行末(\005)</t>
    <phoneticPr fontId="4"/>
  </si>
  <si>
    <t>,/.</t>
    <phoneticPr fontId="4"/>
  </si>
  <si>
    <t>h/d</t>
    <phoneticPr fontId="4"/>
  </si>
  <si>
    <t>文字削除 カーソル左/右</t>
    <rPh sb="9" eb="10">
      <t>ヒダリ</t>
    </rPh>
    <phoneticPr fontId="4"/>
  </si>
  <si>
    <t>文字削除 単語左(\027)/単語右(\033d)</t>
    <phoneticPr fontId="4"/>
  </si>
  <si>
    <t>カーソル移動(単語) 左(\033b)/右(\033f)</t>
    <rPh sb="4" eb="6">
      <t>イドウ</t>
    </rPh>
    <rPh sb="7" eb="9">
      <t>タンゴ</t>
    </rPh>
    <rPh sb="11" eb="12">
      <t>ヒダリ</t>
    </rPh>
    <rPh sb="20" eb="21">
      <t>ミギ</t>
    </rPh>
    <phoneticPr fontId="4"/>
  </si>
  <si>
    <t>文字削除 行末まで</t>
    <rPh sb="0" eb="2">
      <t>モジ</t>
    </rPh>
    <rPh sb="2" eb="4">
      <t>サクジョ</t>
    </rPh>
    <rPh sb="5" eb="7">
      <t>ギョウマツ</t>
    </rPh>
    <phoneticPr fontId="4"/>
  </si>
  <si>
    <t>文字削除 行頭まで</t>
    <rPh sb="0" eb="2">
      <t>モジ</t>
    </rPh>
    <rPh sb="2" eb="4">
      <t>サクジョ</t>
    </rPh>
    <rPh sb="5" eb="7">
      <t>ギョウトウ</t>
    </rPh>
    <phoneticPr fontId="4"/>
  </si>
  <si>
    <t>カーソル移動(一文字) 左(\033\[D)/右(\033\[C)</t>
    <rPh sb="4" eb="6">
      <t>イドウ</t>
    </rPh>
    <rPh sb="7" eb="10">
      <t>イチモジ</t>
    </rPh>
    <rPh sb="12" eb="13">
      <t>ヒダリ</t>
    </rPh>
    <rPh sb="23" eb="24">
      <t>ミギ</t>
    </rPh>
    <phoneticPr fontId="4"/>
  </si>
  <si>
    <t>オプション設定($OPTION\_SET)</t>
    <rPh sb="5" eb="7">
      <t>セッテイ</t>
    </rPh>
    <phoneticPr fontId="4"/>
  </si>
  <si>
    <t>検索($SEARCH\_REG)</t>
    <rPh sb="0" eb="2">
      <t>ケンサク</t>
    </rPh>
    <phoneticPr fontId="4"/>
  </si>
  <si>
    <t>SFTPダイアログを開く($VIEW\_SFTP)</t>
    <rPh sb="10" eb="11">
      <t>ヒラ</t>
    </rPh>
    <phoneticPr fontId="4"/>
  </si>
  <si>
    <t>接続追加(複製)＋同ペイン($SPLIT\_OVER)</t>
    <rPh sb="2" eb="4">
      <t>ツイカ</t>
    </rPh>
    <rPh sb="9" eb="10">
      <t>ドウ</t>
    </rPh>
    <phoneticPr fontId="4"/>
  </si>
  <si>
    <t>接続追加(複製)＋縦($SPLIT\_HEIGHT)/横分割($SPLIT\_WIDTH)</t>
    <rPh sb="9" eb="10">
      <t>タテ</t>
    </rPh>
    <rPh sb="27" eb="28">
      <t>ヨコ</t>
    </rPh>
    <rPh sb="28" eb="30">
      <t>ブンカツ</t>
    </rPh>
    <phoneticPr fontId="4"/>
  </si>
  <si>
    <t>接続追加(新規)＋縦($SPLIT\_HEIGHTNEW)/横分割($SPLIT\_WIDTHNEW)</t>
    <rPh sb="9" eb="10">
      <t>タテ</t>
    </rPh>
    <rPh sb="30" eb="31">
      <t>ヨコ</t>
    </rPh>
    <rPh sb="31" eb="33">
      <t>ブンカツ</t>
    </rPh>
    <phoneticPr fontId="4"/>
  </si>
  <si>
    <t>ペイン移動($PANE\_ROTATION)</t>
  </si>
  <si>
    <t>ウィンドウ整理(並べて表示($PANE\_TILEHORZ))</t>
    <rPh sb="5" eb="7">
      <t>セイリ</t>
    </rPh>
    <rPh sb="8" eb="9">
      <t>ナラ</t>
    </rPh>
    <rPh sb="11" eb="13">
      <t>ヒョウジ</t>
    </rPh>
    <phoneticPr fontId="4"/>
  </si>
  <si>
    <t>ウィンドウ整理(重ねて表示($PANE\_CASCADE)</t>
    <rPh sb="5" eb="7">
      <t>セイリ</t>
    </rPh>
    <rPh sb="8" eb="9">
      <t>カサ</t>
    </rPh>
    <rPh sb="11" eb="13">
      <t>ヒョウジ</t>
    </rPh>
    <phoneticPr fontId="4"/>
  </si>
  <si>
    <t>分割を閉じる($PANE\_DELETE)</t>
  </si>
  <si>
    <t>接続開く($FILE\_NEW)/閉じる($FILE\_CLOSE)</t>
    <rPh sb="0" eb="2">
      <t>セツゾク</t>
    </rPh>
    <rPh sb="2" eb="3">
      <t>ヒラ</t>
    </rPh>
    <rPh sb="17" eb="18">
      <t>ト</t>
    </rPh>
    <phoneticPr fontId="4"/>
  </si>
  <si>
    <t>★アウトライン解析の枠に移動</t>
    <rPh sb="7" eb="9">
      <t>カイセキ</t>
    </rPh>
    <rPh sb="10" eb="11">
      <t>ワク</t>
    </rPh>
    <rPh sb="12" eb="14">
      <t>イドウ</t>
    </rPh>
    <phoneticPr fontId="4"/>
  </si>
  <si>
    <t>★TAB→空白</t>
    <rPh sb="5" eb="7">
      <t>クウハク</t>
    </rPh>
    <phoneticPr fontId="4"/>
  </si>
  <si>
    <t>★空白→TAB</t>
    <rPh sb="1" eb="3">
      <t>クウハク</t>
    </rPh>
    <phoneticPr fontId="4"/>
  </si>
  <si>
    <t>メニュー1</t>
  </si>
  <si>
    <t>メニュー2</t>
  </si>
  <si>
    <t>メニュー3</t>
  </si>
  <si>
    <t>メニュー4</t>
  </si>
  <si>
    <t>メニュー5</t>
  </si>
  <si>
    <t>メニュー6</t>
  </si>
  <si>
    <t>メニュー7</t>
  </si>
  <si>
    <t>メニュー8</t>
  </si>
  <si>
    <t>メニュー9</t>
  </si>
  <si>
    <t>ブラウズ</t>
  </si>
  <si>
    <t>単語切り取り</t>
  </si>
  <si>
    <t>キーマクロの読み込み</t>
  </si>
  <si>
    <t>キーマクロの保存</t>
  </si>
  <si>
    <t>キー割り当て一覧をコピー</t>
  </si>
  <si>
    <t>現在位置の単語選択</t>
  </si>
  <si>
    <t>右クリックメニュー</t>
  </si>
  <si>
    <t>オートスクロール</t>
  </si>
  <si>
    <t>1行選択</t>
  </si>
  <si>
    <t>ホイール左</t>
  </si>
  <si>
    <t>ホイール右</t>
  </si>
  <si>
    <t>タグジャンプ</t>
  </si>
  <si>
    <t>タグジャンプバック</t>
  </si>
  <si>
    <t>上下に分割／分割解除</t>
  </si>
  <si>
    <t>左右に分割／分割解除</t>
  </si>
  <si>
    <t>ファイルツリー</t>
  </si>
  <si>
    <t>アウトライン解析(トグル)...</t>
  </si>
  <si>
    <t>TABインデント</t>
  </si>
  <si>
    <t>各種モードの取り消し</t>
  </si>
  <si>
    <t>カーソル前を削除</t>
  </si>
  <si>
    <t>挿入／上書きモード切り替え</t>
  </si>
  <si>
    <t>削除</t>
  </si>
  <si>
    <t>SPACEインデント</t>
  </si>
  <si>
    <t>前を検索</t>
  </si>
  <si>
    <t>逆TABインデント</t>
  </si>
  <si>
    <t>行削除(折り返し単位)</t>
  </si>
  <si>
    <t>逆SPACEインデント</t>
  </si>
  <si>
    <t>フォントサイズ拡大</t>
  </si>
  <si>
    <t>フォントサイズ縮小</t>
  </si>
  <si>
    <t>ファイル内容比較...</t>
  </si>
  <si>
    <t>行頭まで削除(改行単位)</t>
  </si>
  <si>
    <t>行末まで削除(改行単位)</t>
  </si>
  <si>
    <t>入力補完</t>
  </si>
  <si>
    <t>行切り取り(折り返し単位)</t>
  </si>
  <si>
    <t>Grep...</t>
  </si>
  <si>
    <t>行の二重化(折り返し単位)</t>
  </si>
  <si>
    <t>指定行へジャンプ...</t>
  </si>
  <si>
    <t>行末まで切り取り(改行単位)</t>
  </si>
  <si>
    <t>行頭まで切り取り(改行単位)</t>
  </si>
  <si>
    <t>このファイル名をコピー</t>
  </si>
  <si>
    <t>このファイルのパス名とカーソル位置をコピー</t>
  </si>
  <si>
    <t>このファイルのパス名をコピー</t>
  </si>
  <si>
    <t>選択範囲内全行コピー</t>
  </si>
  <si>
    <t>対括弧の検索</t>
  </si>
  <si>
    <t>選択範囲内全行行番号付きコピー</t>
  </si>
  <si>
    <t>タグファイルの作成...</t>
  </si>
  <si>
    <t>同名のC/C++ヘッダ(ソース)を開く</t>
  </si>
  <si>
    <t>単語削除</t>
  </si>
  <si>
    <t>キーマクロの記録開始／終了</t>
  </si>
  <si>
    <t>印刷プレビュー</t>
  </si>
  <si>
    <t>名前を付けて保存...</t>
  </si>
  <si>
    <t>キーマクロの実行</t>
  </si>
  <si>
    <t>ファイルのプロパティ</t>
  </si>
  <si>
    <t>メニュー10</t>
  </si>
  <si>
    <t>選択行の昇順ソート</t>
  </si>
  <si>
    <t>選択行の降順ソート</t>
  </si>
  <si>
    <t>左(先頭)の空白を削除</t>
  </si>
  <si>
    <t>連続した重複行の削除(uniq)</t>
  </si>
  <si>
    <t>移動履歴: 次へ</t>
  </si>
  <si>
    <t>移動履歴: 前へ</t>
  </si>
  <si>
    <t>右(末尾)の空白を削除</t>
  </si>
  <si>
    <t>日付挿入</t>
  </si>
  <si>
    <t>時刻挿入</t>
  </si>
  <si>
    <t>重ねて表示</t>
  </si>
  <si>
    <t>上下に並べて表示</t>
  </si>
  <si>
    <t>小文字</t>
  </si>
  <si>
    <t>印刷ページ設定...</t>
  </si>
  <si>
    <t>指定桁で折り返す</t>
  </si>
  <si>
    <t>左右に並べて表示</t>
  </si>
  <si>
    <t>折り返し桁数</t>
  </si>
  <si>
    <t>右端で折り返す</t>
  </si>
  <si>
    <t>折り返さない</t>
  </si>
  <si>
    <t>アプリキー</t>
    <phoneticPr fontId="4"/>
  </si>
  <si>
    <t>ホイール左</t>
    <phoneticPr fontId="4"/>
  </si>
  <si>
    <t>ホイール右</t>
    <phoneticPr fontId="4"/>
  </si>
  <si>
    <t>中クリック</t>
    <phoneticPr fontId="4"/>
  </si>
  <si>
    <t>右クリック</t>
    <phoneticPr fontId="4"/>
  </si>
  <si>
    <t>カーソル上/下移動</t>
    <phoneticPr fontId="4"/>
  </si>
  <si>
    <t>(選択)カーソル上/下移動</t>
    <rPh sb="10" eb="11">
      <t>シタ</t>
    </rPh>
    <phoneticPr fontId="4"/>
  </si>
  <si>
    <t>１ページアップ/ダウン</t>
    <phoneticPr fontId="4"/>
  </si>
  <si>
    <t>(矩形選択)カーソル上/下移動</t>
    <rPh sb="12" eb="13">
      <t>シタ</t>
    </rPh>
    <phoneticPr fontId="4"/>
  </si>
  <si>
    <t>前/次のブックマークへ</t>
    <rPh sb="2" eb="3">
      <t>ツギ</t>
    </rPh>
    <phoneticPr fontId="4"/>
  </si>
  <si>
    <t>(矩形選択)カーソル上/下移動(２行ごと)</t>
    <rPh sb="12" eb="13">
      <t>シタ</t>
    </rPh>
    <phoneticPr fontId="4"/>
  </si>
  <si>
    <t>カーソル右/左移動</t>
    <rPh sb="6" eb="7">
      <t>ヒダリ</t>
    </rPh>
    <phoneticPr fontId="4"/>
  </si>
  <si>
    <t>(選択)カーソル右/左移動</t>
    <phoneticPr fontId="4"/>
  </si>
  <si>
    <t>単語の右端/左端に移動</t>
    <rPh sb="6" eb="7">
      <t>ヒダリ</t>
    </rPh>
    <rPh sb="7" eb="8">
      <t>ハジ</t>
    </rPh>
    <phoneticPr fontId="4"/>
  </si>
  <si>
    <t>(矩形選択)カーソル右/左移動</t>
    <rPh sb="12" eb="13">
      <t>ヒダリ</t>
    </rPh>
    <phoneticPr fontId="4"/>
  </si>
  <si>
    <t>(選択)単語の右端/左端に移動</t>
    <rPh sb="10" eb="11">
      <t>ヒダリ</t>
    </rPh>
    <rPh sb="11" eb="12">
      <t>ハジ</t>
    </rPh>
    <phoneticPr fontId="4"/>
  </si>
  <si>
    <t>行末/行頭に移動(折り返し単位)</t>
    <rPh sb="3" eb="5">
      <t>ギョウトウ</t>
    </rPh>
    <phoneticPr fontId="4"/>
  </si>
  <si>
    <t>TAB/逆TABインデント</t>
    <phoneticPr fontId="4"/>
  </si>
  <si>
    <t>Home/End</t>
  </si>
  <si>
    <t>行頭/行末に移動(折り返し単位)</t>
    <rPh sb="3" eb="5">
      <t>ギョウマツ</t>
    </rPh>
    <phoneticPr fontId="4"/>
  </si>
  <si>
    <t>(選択)行頭/行末に移動(折り返し単位)</t>
    <phoneticPr fontId="4"/>
  </si>
  <si>
    <t>ファイルの先頭/最後に移動</t>
    <rPh sb="8" eb="10">
      <t>サイゴ</t>
    </rPh>
    <phoneticPr fontId="4"/>
  </si>
  <si>
    <t>(矩形選択)行頭/行末に移動(折り返し単位)</t>
    <rPh sb="9" eb="11">
      <t>ギョウマツ</t>
    </rPh>
    <phoneticPr fontId="4"/>
  </si>
  <si>
    <t>(選択)ファイルの先頭/最後に移動</t>
    <rPh sb="12" eb="14">
      <t>サイゴ</t>
    </rPh>
    <phoneticPr fontId="4"/>
  </si>
  <si>
    <t>(矩形選択)ファイルの先頭/最後に移動</t>
    <rPh sb="14" eb="16">
      <t>サイゴ</t>
    </rPh>
    <phoneticPr fontId="4"/>
  </si>
  <si>
    <t>PgUp/PgDn</t>
  </si>
  <si>
    <t>(選択)１ページアップ/ダウン</t>
    <phoneticPr fontId="4"/>
  </si>
  <si>
    <t>半ページアップ/ダウン</t>
    <phoneticPr fontId="4"/>
  </si>
  <si>
    <t>(矩形選択)１ページアップ/ダウン</t>
    <phoneticPr fontId="4"/>
  </si>
  <si>
    <t>(選択)半ページアップ/ダウン</t>
    <phoneticPr fontId="4"/>
  </si>
  <si>
    <t>(矩形選択)半ページアップ/ダウン</t>
    <phoneticPr fontId="4"/>
  </si>
  <si>
    <t>左クアドラプルクリック</t>
    <phoneticPr fontId="4"/>
  </si>
  <si>
    <t>Grepして置換...</t>
    <phoneticPr fontId="4"/>
  </si>
  <si>
    <t>閉じる</t>
    <rPh sb="0" eb="1">
      <t>ト</t>
    </rPh>
    <phoneticPr fontId="4"/>
  </si>
  <si>
    <t>ウィンドウ切り替え(上)($PANE_UP)</t>
    <rPh sb="5" eb="6">
      <t>キ</t>
    </rPh>
    <rPh sb="7" eb="8">
      <t>カ</t>
    </rPh>
    <rPh sb="10" eb="11">
      <t>ウエ</t>
    </rPh>
    <phoneticPr fontId="4"/>
  </si>
  <si>
    <t>ウィンドウ切り替え(下)($PANE_DOWN)</t>
    <rPh sb="5" eb="6">
      <t>キ</t>
    </rPh>
    <rPh sb="7" eb="8">
      <t>カ</t>
    </rPh>
    <rPh sb="10" eb="11">
      <t>シタ</t>
    </rPh>
    <phoneticPr fontId="4"/>
  </si>
  <si>
    <t>ウィンドウ切り替え(右)($PANE_RIGHT)</t>
    <phoneticPr fontId="4"/>
  </si>
  <si>
    <t>ウィンドウ切り替え(左)($PANE_LEFT)</t>
    <rPh sb="5" eb="6">
      <t>キ</t>
    </rPh>
    <rPh sb="7" eb="8">
      <t>カ</t>
    </rPh>
    <rPh sb="10" eb="11">
      <t>ヒダリ</t>
    </rPh>
    <phoneticPr fontId="4"/>
  </si>
  <si>
    <t>ウィンドウ切り替え(次)</t>
    <rPh sb="10" eb="11">
      <t>ツギ</t>
    </rPh>
    <phoneticPr fontId="8"/>
  </si>
  <si>
    <t>ウィンドウ切り替え(前)</t>
    <rPh sb="5" eb="6">
      <t>キ</t>
    </rPh>
    <rPh sb="7" eb="8">
      <t>カ</t>
    </rPh>
    <rPh sb="10" eb="11">
      <t>マエ</t>
    </rPh>
    <phoneticPr fontId="8"/>
  </si>
  <si>
    <t>JavaScript のコンソールを表示</t>
  </si>
  <si>
    <t>すべてのコマンドペインを切り替え</t>
  </si>
  <si>
    <t>すべてのコメントを表示</t>
  </si>
  <si>
    <t>すべてのツールバーを切り替え</t>
  </si>
  <si>
    <t>すべて選択(A)</t>
  </si>
  <si>
    <t>やり直し(R)</t>
  </si>
  <si>
    <t>アンドゥ(U)</t>
  </si>
  <si>
    <t>ガイド表示</t>
  </si>
  <si>
    <t>グリッド表示</t>
  </si>
  <si>
    <t>コピー(C)</t>
  </si>
  <si>
    <t>コメント(C)</t>
  </si>
  <si>
    <t>コンテンツ</t>
  </si>
  <si>
    <t>サムネイル（T）</t>
  </si>
  <si>
    <t>スナップを有効にする</t>
  </si>
  <si>
    <t>スナップショットツール</t>
  </si>
  <si>
    <t>スペルチェック</t>
  </si>
  <si>
    <t>タイプライターツール</t>
  </si>
  <si>
    <t>テキスト強調ツール</t>
  </si>
  <si>
    <t>テキスト選択</t>
  </si>
  <si>
    <t>ドキュメントカラーを上書き</t>
  </si>
  <si>
    <t>ドキュメントプロパティ(D)</t>
  </si>
  <si>
    <t>ドキュメント情報バー</t>
  </si>
  <si>
    <t>フィールド(F)</t>
  </si>
  <si>
    <t>フィールドを強調</t>
  </si>
  <si>
    <t>フルスクリーンモード</t>
  </si>
  <si>
    <t>フルパスをコピー</t>
  </si>
  <si>
    <t>ブックマーク(B)</t>
  </si>
  <si>
    <t>ブックマークに移動(G)</t>
  </si>
  <si>
    <t>ブックマークを追加</t>
  </si>
  <si>
    <t>プロパティツールバー</t>
  </si>
  <si>
    <t>プロパティペイン(P)</t>
  </si>
  <si>
    <t>ページの回転</t>
  </si>
  <si>
    <t>ページを合わせる（P）</t>
  </si>
  <si>
    <t>ページを抽出</t>
  </si>
  <si>
    <t>ページを移動</t>
  </si>
  <si>
    <t>ページコンテンツを合わせる（V）</t>
  </si>
  <si>
    <t>ページ間に余白を表示する(G)</t>
  </si>
  <si>
    <t>メニューバー</t>
  </si>
  <si>
    <t>ルーラー表示</t>
  </si>
  <si>
    <t>レイヤ(L)</t>
  </si>
  <si>
    <t>上に移動</t>
  </si>
  <si>
    <t>下に移動</t>
  </si>
  <si>
    <t>下線ツール</t>
  </si>
  <si>
    <t>付箋を追加</t>
  </si>
  <si>
    <t>付箋ツール</t>
  </si>
  <si>
    <t>保存（S）</t>
  </si>
  <si>
    <t>倍率を指定</t>
  </si>
  <si>
    <t>全てのコメントを非表示</t>
  </si>
  <si>
    <t>切り取り(t)</t>
  </si>
  <si>
    <t>削除(D)</t>
  </si>
  <si>
    <t>前のスペルミス</t>
  </si>
  <si>
    <t>前のドキュメント</t>
  </si>
  <si>
    <t>前のページ</t>
  </si>
  <si>
    <t>前の表示</t>
  </si>
  <si>
    <t>単一ページ(S)</t>
  </si>
  <si>
    <t>印刷(P)</t>
  </si>
  <si>
    <t>反時計回り（W）</t>
  </si>
  <si>
    <t>取り消し線</t>
  </si>
  <si>
    <t>名前の変更(m)</t>
  </si>
  <si>
    <t>名前を付けて保存(A)</t>
  </si>
  <si>
    <t>実際のサイズ（A）</t>
  </si>
  <si>
    <t>幅を合わせる</t>
  </si>
  <si>
    <t>拡大</t>
  </si>
  <si>
    <t>拡大表示</t>
  </si>
  <si>
    <t>新しいブックマーク</t>
  </si>
  <si>
    <t>時計回り(C)</t>
  </si>
  <si>
    <t>最初のページ</t>
  </si>
  <si>
    <t>最後のページ</t>
  </si>
  <si>
    <t>最近閉じたドキュメントを再オープン(R)</t>
  </si>
  <si>
    <t>検索ペイン(S)</t>
  </si>
  <si>
    <t>検索（F）</t>
  </si>
  <si>
    <t>楕円形ツール</t>
  </si>
  <si>
    <t>次のドキュメント</t>
  </si>
  <si>
    <t>次のページ</t>
  </si>
  <si>
    <t>次の表示</t>
  </si>
  <si>
    <t>添付ファイル(A)</t>
  </si>
  <si>
    <t>矩形ツール</t>
  </si>
  <si>
    <t>移動(G)</t>
  </si>
  <si>
    <t>終了(x)</t>
  </si>
  <si>
    <t>縮小</t>
  </si>
  <si>
    <t>縮小表示</t>
  </si>
  <si>
    <t>自動スクロール(Y)</t>
  </si>
  <si>
    <t>見開き(T)</t>
  </si>
  <si>
    <t>見開き連続表示(W)</t>
  </si>
  <si>
    <t>設定(n)</t>
  </si>
  <si>
    <t>貼り付け(P)</t>
  </si>
  <si>
    <t>連続(C)</t>
  </si>
  <si>
    <t>選択したものを実行</t>
  </si>
  <si>
    <t>選択箇所を反転</t>
  </si>
  <si>
    <t>選択範囲にズーム</t>
  </si>
  <si>
    <t>鉛筆ツール</t>
  </si>
  <si>
    <t>閉じる(C)</t>
  </si>
  <si>
    <t>開く(O)</t>
  </si>
  <si>
    <t>^</t>
  </si>
  <si>
    <t>@</t>
  </si>
  <si>
    <t>[</t>
  </si>
  <si>
    <t>]</t>
  </si>
  <si>
    <t>"Num -"</t>
    <phoneticPr fontId="4"/>
  </si>
  <si>
    <t>"Num +"</t>
    <phoneticPr fontId="4"/>
  </si>
  <si>
    <t>"Num *"</t>
    <phoneticPr fontId="4"/>
  </si>
  <si>
    <t>Delete</t>
    <phoneticPr fontId="8"/>
  </si>
  <si>
    <t>Insert</t>
    <phoneticPr fontId="8"/>
  </si>
  <si>
    <t>ドキュメントのプロパティ</t>
    <phoneticPr fontId="4"/>
  </si>
  <si>
    <t>全状態保存($FILE\_ALLSAVE)</t>
  </si>
  <si>
    <t>v</t>
    <phoneticPr fontId="4"/>
  </si>
  <si>
    <t>縦分割($PANE_HSPLIT)/横分割($PANE_WSPLIT)</t>
    <phoneticPr fontId="4"/>
  </si>
  <si>
    <t>ブロードキャスト送信($BROADCAST)</t>
  </si>
  <si>
    <t>ブロードキャスト送信($BROADCAST)</t>
    <rPh sb="8" eb="10">
      <t>ソウシン</t>
    </rPh>
    <phoneticPr fontId="4"/>
  </si>
  <si>
    <t>b</t>
    <phoneticPr fontId="4"/>
  </si>
  <si>
    <t>h/v</t>
    <phoneticPr fontId="4"/>
  </si>
  <si>
    <t>d/r</t>
    <phoneticPr fontId="4"/>
  </si>
  <si>
    <t>ウィンドウ切り替え(次/前)</t>
    <rPh sb="5" eb="6">
      <t>キ</t>
    </rPh>
    <rPh sb="7" eb="8">
      <t>カ</t>
    </rPh>
    <phoneticPr fontId="4"/>
  </si>
  <si>
    <t>方向キー</t>
    <rPh sb="0" eb="2">
      <t>ホウコウ</t>
    </rPh>
    <phoneticPr fontId="4"/>
  </si>
  <si>
    <t>ウィンドウ切り替え</t>
    <rPh sb="5" eb="6">
      <t>キ</t>
    </rPh>
    <rPh sb="7" eb="8">
      <t>カ</t>
    </rPh>
    <phoneticPr fontId="4"/>
  </si>
  <si>
    <t>u/k</t>
    <phoneticPr fontId="4"/>
  </si>
  <si>
    <t>文字削除(行頭まで/行末まで)</t>
    <phoneticPr fontId="4"/>
  </si>
  <si>
    <t>SFTPダイアログを開く($VIEW_SFTP)</t>
    <phoneticPr fontId="4"/>
  </si>
  <si>
    <t>前の検索結果($SEARCH_BACK)</t>
    <rPh sb="0" eb="1">
      <t>マエ</t>
    </rPh>
    <rPh sb="2" eb="4">
      <t>ケンサク</t>
    </rPh>
    <rPh sb="4" eb="6">
      <t>ケッカ</t>
    </rPh>
    <phoneticPr fontId="4"/>
  </si>
  <si>
    <t>次の検索結果($SEARCH_NEXT)</t>
    <rPh sb="0" eb="1">
      <t>ツギ</t>
    </rPh>
    <rPh sb="2" eb="4">
      <t>ケンサク</t>
    </rPh>
    <rPh sb="4" eb="6">
      <t>ケッカ</t>
    </rPh>
    <phoneticPr fontId="4"/>
  </si>
  <si>
    <t>F3</t>
    <phoneticPr fontId="4"/>
  </si>
  <si>
    <t>Ctrl/</t>
    <phoneticPr fontId="4"/>
  </si>
  <si>
    <t>/Shift</t>
    <phoneticPr fontId="4"/>
  </si>
  <si>
    <t>次/前の検索結果($SEARCH_NEXT/$SEARCH_BACK)</t>
    <rPh sb="0" eb="1">
      <t>ツギ</t>
    </rPh>
    <rPh sb="2" eb="3">
      <t>マエ</t>
    </rPh>
    <phoneticPr fontId="4"/>
  </si>
  <si>
    <t>.</t>
    <phoneticPr fontId="4"/>
  </si>
  <si>
    <t>選択範囲四隅セル移動</t>
  </si>
  <si>
    <t>選択範囲四隅セル移動</t>
    <phoneticPr fontId="4"/>
  </si>
  <si>
    <t>ウィンドウサイズ変更 上</t>
    <rPh sb="8" eb="10">
      <t>ヘンコウ</t>
    </rPh>
    <rPh sb="11" eb="12">
      <t>ウエ</t>
    </rPh>
    <phoneticPr fontId="4"/>
  </si>
  <si>
    <t>ウィンドウサイズ変更 下</t>
    <rPh sb="8" eb="10">
      <t>ヘンコウ</t>
    </rPh>
    <rPh sb="11" eb="12">
      <t>シタ</t>
    </rPh>
    <phoneticPr fontId="4"/>
  </si>
  <si>
    <t>ウィンドウサイズ変更 左</t>
    <rPh sb="8" eb="10">
      <t>ヘンコウ</t>
    </rPh>
    <rPh sb="11" eb="12">
      <t>ヒダリ</t>
    </rPh>
    <phoneticPr fontId="4"/>
  </si>
  <si>
    <t>ウィンドウサイズ変更 右</t>
    <rPh sb="8" eb="10">
      <t>ヘンコウ</t>
    </rPh>
    <rPh sb="11" eb="12">
      <t>ミギ</t>
    </rPh>
    <phoneticPr fontId="4"/>
  </si>
  <si>
    <t>ウィンドウ水平分割</t>
    <rPh sb="5" eb="7">
      <t>スイヘイ</t>
    </rPh>
    <rPh sb="7" eb="9">
      <t>ブンカツ</t>
    </rPh>
    <phoneticPr fontId="4"/>
  </si>
  <si>
    <t>ウィンドウ垂直分割</t>
    <rPh sb="5" eb="7">
      <t>スイチョク</t>
    </rPh>
    <rPh sb="7" eb="9">
      <t>ブンカツ</t>
    </rPh>
    <phoneticPr fontId="4"/>
  </si>
  <si>
    <t>ウィンドウを閉じる</t>
    <rPh sb="6" eb="7">
      <t>ト</t>
    </rPh>
    <phoneticPr fontId="4"/>
  </si>
  <si>
    <t>コマンドパレット切り替え</t>
    <rPh sb="8" eb="9">
      <t>キ</t>
    </rPh>
    <rPh sb="10" eb="11">
      <t>カ</t>
    </rPh>
    <phoneticPr fontId="4"/>
  </si>
  <si>
    <t>タブ切り替え1</t>
  </si>
  <si>
    <t>タブ切り替え2</t>
  </si>
  <si>
    <t>タブ切り替え3</t>
  </si>
  <si>
    <t>タブ切り替え4</t>
  </si>
  <si>
    <t>タブ切り替え5</t>
  </si>
  <si>
    <t>タブ切り替え6</t>
  </si>
  <si>
    <t>タブ切り替え7</t>
  </si>
  <si>
    <t>タブ切り替え8</t>
  </si>
  <si>
    <t>タブ複製</t>
    <rPh sb="2" eb="4">
      <t>フクセイ</t>
    </rPh>
    <phoneticPr fontId="4"/>
  </si>
  <si>
    <t>カーソル移動 一文字 左</t>
    <rPh sb="4" eb="6">
      <t>イドウ</t>
    </rPh>
    <rPh sb="7" eb="10">
      <t>イチモジ</t>
    </rPh>
    <rPh sb="11" eb="12">
      <t>ヒダリ</t>
    </rPh>
    <phoneticPr fontId="4"/>
  </si>
  <si>
    <t>カーソル移動 一文字 右</t>
    <rPh sb="4" eb="6">
      <t>イドウ</t>
    </rPh>
    <rPh sb="11" eb="12">
      <t>ミギ</t>
    </rPh>
    <phoneticPr fontId="4"/>
  </si>
  <si>
    <t>カーソル移動 単語 左</t>
    <rPh sb="4" eb="6">
      <t>イドウ</t>
    </rPh>
    <rPh sb="7" eb="9">
      <t>タンゴ</t>
    </rPh>
    <rPh sb="10" eb="11">
      <t>ヒダリ</t>
    </rPh>
    <phoneticPr fontId="4"/>
  </si>
  <si>
    <t>カーソル移動 単語 右</t>
    <rPh sb="4" eb="6">
      <t>イドウ</t>
    </rPh>
    <rPh sb="7" eb="9">
      <t>タンゴ</t>
    </rPh>
    <rPh sb="10" eb="11">
      <t>ミギ</t>
    </rPh>
    <phoneticPr fontId="4"/>
  </si>
  <si>
    <t>カーソル移動 行頭</t>
    <rPh sb="4" eb="6">
      <t>イドウ</t>
    </rPh>
    <rPh sb="7" eb="9">
      <t>ギョウトウ</t>
    </rPh>
    <phoneticPr fontId="4"/>
  </si>
  <si>
    <t>カーソル移動 行末</t>
    <rPh sb="4" eb="6">
      <t>イドウ</t>
    </rPh>
    <rPh sb="7" eb="9">
      <t>ギョウマツ</t>
    </rPh>
    <phoneticPr fontId="4"/>
  </si>
  <si>
    <t>フォントサイズ リセット</t>
    <phoneticPr fontId="4"/>
  </si>
  <si>
    <t>フォントサイズ 拡大</t>
    <rPh sb="8" eb="10">
      <t>カクダイ</t>
    </rPh>
    <phoneticPr fontId="4"/>
  </si>
  <si>
    <t>フォントサイズ 縮小</t>
    <rPh sb="8" eb="10">
      <t>シュクショウ</t>
    </rPh>
    <phoneticPr fontId="4"/>
  </si>
  <si>
    <t>スクロール 上</t>
    <phoneticPr fontId="4"/>
  </si>
  <si>
    <t>スクロール 下</t>
    <rPh sb="6" eb="7">
      <t>シタ</t>
    </rPh>
    <phoneticPr fontId="4"/>
  </si>
  <si>
    <t>全画面表示</t>
    <rPh sb="0" eb="3">
      <t>ゼンガメン</t>
    </rPh>
    <rPh sb="3" eb="5">
      <t>ヒョウジ</t>
    </rPh>
    <phoneticPr fontId="4"/>
  </si>
  <si>
    <t>新しいタブ ドロップダウン</t>
    <rPh sb="0" eb="1">
      <t>アタラ</t>
    </rPh>
    <phoneticPr fontId="4"/>
  </si>
  <si>
    <t>新しいタブ1</t>
  </si>
  <si>
    <t>新しいタブ2</t>
  </si>
  <si>
    <t>新しいタブ3</t>
  </si>
  <si>
    <t>新しいタブ4</t>
  </si>
  <si>
    <t>新しいタブ5</t>
  </si>
  <si>
    <t>新しいタブ6</t>
  </si>
  <si>
    <t>新しいタブ7</t>
  </si>
  <si>
    <t>新しいタブ8</t>
  </si>
  <si>
    <t>新しいタブ9</t>
  </si>
  <si>
    <t/>
  </si>
  <si>
    <t>新しいウィンドウ</t>
    <rPh sb="0" eb="1">
      <t>アタラ</t>
    </rPh>
    <phoneticPr fontId="4"/>
  </si>
  <si>
    <t>新しいタブ</t>
    <rPh sb="0" eb="1">
      <t>アタラ</t>
    </rPh>
    <phoneticPr fontId="4"/>
  </si>
  <si>
    <t>タブ切り替え 最後</t>
    <rPh sb="2" eb="3">
      <t>キ</t>
    </rPh>
    <rPh sb="4" eb="5">
      <t>カ</t>
    </rPh>
    <rPh sb="7" eb="9">
      <t>サイゴ</t>
    </rPh>
    <phoneticPr fontId="4"/>
  </si>
  <si>
    <t>履歴スクロール 一番上/下</t>
    <rPh sb="0" eb="2">
      <t>リレキ</t>
    </rPh>
    <rPh sb="8" eb="10">
      <t>イチバン</t>
    </rPh>
    <rPh sb="10" eb="11">
      <t>ウエ</t>
    </rPh>
    <rPh sb="12" eb="13">
      <t>シタ</t>
    </rPh>
    <phoneticPr fontId="4"/>
  </si>
  <si>
    <t>ページスクロール 上/下</t>
    <rPh sb="11" eb="12">
      <t>シタ</t>
    </rPh>
    <phoneticPr fontId="4"/>
  </si>
  <si>
    <t>[（{）</t>
    <phoneticPr fontId="8"/>
  </si>
  <si>
    <t>]（}）</t>
    <phoneticPr fontId="8"/>
  </si>
  <si>
    <t>文字削除 単語左</t>
    <rPh sb="0" eb="2">
      <t>モジ</t>
    </rPh>
    <rPh sb="2" eb="4">
      <t>サクジョ</t>
    </rPh>
    <rPh sb="5" eb="7">
      <t>タンゴ</t>
    </rPh>
    <rPh sb="7" eb="8">
      <t>ヒダリ</t>
    </rPh>
    <phoneticPr fontId="4"/>
  </si>
  <si>
    <t>ウィンドウ切り替え 上</t>
    <rPh sb="5" eb="6">
      <t>キ</t>
    </rPh>
    <rPh sb="7" eb="8">
      <t>カ</t>
    </rPh>
    <rPh sb="10" eb="11">
      <t>ウエ</t>
    </rPh>
    <phoneticPr fontId="4"/>
  </si>
  <si>
    <t>ウィンドウ切り替え 下</t>
    <rPh sb="5" eb="6">
      <t>キ</t>
    </rPh>
    <rPh sb="7" eb="8">
      <t>カ</t>
    </rPh>
    <rPh sb="10" eb="11">
      <t>シタ</t>
    </rPh>
    <phoneticPr fontId="4"/>
  </si>
  <si>
    <t>ウィンドウ切り替え 右</t>
    <rPh sb="5" eb="6">
      <t>キ</t>
    </rPh>
    <rPh sb="7" eb="8">
      <t>カ</t>
    </rPh>
    <rPh sb="10" eb="11">
      <t>ミギ</t>
    </rPh>
    <phoneticPr fontId="4"/>
  </si>
  <si>
    <t>ウィンドウ切り替え 左</t>
    <rPh sb="5" eb="6">
      <t>キ</t>
    </rPh>
    <rPh sb="7" eb="8">
      <t>カ</t>
    </rPh>
    <rPh sb="10" eb="11">
      <t>ヒダリ</t>
    </rPh>
    <phoneticPr fontId="4"/>
  </si>
  <si>
    <t>ウィンドウ切り替え 前回使用</t>
    <rPh sb="5" eb="6">
      <t>キ</t>
    </rPh>
    <rPh sb="7" eb="8">
      <t>カ</t>
    </rPh>
    <rPh sb="10" eb="12">
      <t>ゼンカイ</t>
    </rPh>
    <rPh sb="12" eb="14">
      <t>シヨウ</t>
    </rPh>
    <phoneticPr fontId="4"/>
  </si>
  <si>
    <t>選択範囲解除</t>
    <phoneticPr fontId="4"/>
  </si>
  <si>
    <t>タブ切り替え 前</t>
    <rPh sb="2" eb="3">
      <t>キ</t>
    </rPh>
    <rPh sb="4" eb="5">
      <t>カ</t>
    </rPh>
    <rPh sb="7" eb="8">
      <t>マエ</t>
    </rPh>
    <phoneticPr fontId="4"/>
  </si>
  <si>
    <t>タブ切り替え 次</t>
    <rPh sb="2" eb="3">
      <t>キ</t>
    </rPh>
    <rPh sb="4" eb="5">
      <t>カ</t>
    </rPh>
    <rPh sb="7" eb="8">
      <t>ツギ</t>
    </rPh>
    <phoneticPr fontId="4"/>
  </si>
  <si>
    <t>設定ファイル開く</t>
    <phoneticPr fontId="4"/>
  </si>
  <si>
    <t>-</t>
    <phoneticPr fontId="4"/>
  </si>
  <si>
    <t>接続追加(複製)($SPLIT_OVER)</t>
    <phoneticPr fontId="4"/>
  </si>
  <si>
    <t>設定を開く</t>
    <phoneticPr fontId="4"/>
  </si>
  <si>
    <t>検索($SEARCH_REG)</t>
    <phoneticPr fontId="4"/>
  </si>
  <si>
    <t>ペイン移動($PANE_ROTATION)</t>
    <phoneticPr fontId="4"/>
  </si>
  <si>
    <t>貼り付け($CLIPBOARD)</t>
    <phoneticPr fontId="4"/>
  </si>
  <si>
    <t>接続追加(複製)＋垂直分割($SPLIT_WIDTH)</t>
    <rPh sb="9" eb="11">
      <t>スイチョク</t>
    </rPh>
    <phoneticPr fontId="4"/>
  </si>
  <si>
    <t>接続追加(複製)＋水平分割($SPLIT_HEIGHT)</t>
    <rPh sb="9" eb="11">
      <t>スイヘイ</t>
    </rPh>
    <phoneticPr fontId="4"/>
  </si>
  <si>
    <t>ウィンドウ複製(*1)</t>
    <rPh sb="5" eb="7">
      <t>フクセイ</t>
    </rPh>
    <phoneticPr fontId="4"/>
  </si>
  <si>
    <t>(*1) 分割の順番は「垂直→水平→垂直→水平→…」となる</t>
    <rPh sb="5" eb="7">
      <t>ブンカツ</t>
    </rPh>
    <rPh sb="8" eb="10">
      <t>ジュンバン</t>
    </rPh>
    <rPh sb="12" eb="14">
      <t>スイチョク</t>
    </rPh>
    <rPh sb="15" eb="17">
      <t>スイヘイ</t>
    </rPh>
    <rPh sb="18" eb="20">
      <t>スイチョク</t>
    </rPh>
    <rPh sb="21" eb="23">
      <t>スイヘイ</t>
    </rPh>
    <phoneticPr fontId="4"/>
  </si>
  <si>
    <t>Quakeウィンドウ呼び出し</t>
  </si>
  <si>
    <t>ScrollLock</t>
  </si>
  <si>
    <t>1(NumPad)</t>
  </si>
  <si>
    <t>2(NumPad)</t>
  </si>
  <si>
    <t>3(NumPad)</t>
  </si>
  <si>
    <t>4(NumPad)</t>
  </si>
  <si>
    <t>5(NumPad)</t>
  </si>
  <si>
    <t>6(NumPad)</t>
  </si>
  <si>
    <t>7(NumPad)</t>
  </si>
  <si>
    <t>8(NumPad)</t>
  </si>
  <si>
    <t>9(NumPad)</t>
  </si>
  <si>
    <t>0(NumPad)</t>
  </si>
  <si>
    <t>Enter(NumPad)</t>
  </si>
  <si>
    <t>-（=）(NumPad)</t>
  </si>
  <si>
    <t>^（~）(NumPad)</t>
  </si>
  <si>
    <t>\（|）(NumPad)</t>
  </si>
  <si>
    <t>@（`）(NumPad)</t>
  </si>
  <si>
    <t>[（{）(NumPad)</t>
  </si>
  <si>
    <t>]（}）(NumPad)</t>
  </si>
  <si>
    <t>;（+）(NumPad)</t>
  </si>
  <si>
    <t>:（*）(NumPad)</t>
  </si>
  <si>
    <t>,（&lt;）(NumPad)</t>
  </si>
  <si>
    <t>.（&gt;）(NumPad)</t>
  </si>
  <si>
    <t>/（?）(NumPad)</t>
  </si>
  <si>
    <t>\（_）(NumPad)</t>
  </si>
  <si>
    <t>NumLock(NumPad)</t>
  </si>
  <si>
    <t>-</t>
    <phoneticPr fontId="4"/>
  </si>
  <si>
    <t>新しい接続を開く</t>
    <phoneticPr fontId="4"/>
  </si>
  <si>
    <t>セッションの複製（SSH, telnetのみ）</t>
    <phoneticPr fontId="4"/>
  </si>
  <si>
    <t>Cygwin接続</t>
    <phoneticPr fontId="4"/>
  </si>
  <si>
    <t>Num pad NumLockキー押下</t>
  </si>
  <si>
    <t>Num pad '/' キー押下</t>
  </si>
  <si>
    <t>Num pad '*' キー押下</t>
  </si>
  <si>
    <t>Num pad '-' キー押下</t>
  </si>
  <si>
    <t>ブレーク信号送出</t>
    <phoneticPr fontId="4"/>
  </si>
  <si>
    <t>Tera Term 終了</t>
    <phoneticPr fontId="4"/>
  </si>
  <si>
    <t>クリップボードの中の文字列をホストへ送出し、続いて改行コードも送出</t>
    <phoneticPr fontId="4"/>
  </si>
  <si>
    <t>Telnet の AYT (Are You There) コマンドを送出</t>
    <phoneticPr fontId="4"/>
  </si>
  <si>
    <t>切断</t>
    <phoneticPr fontId="4"/>
  </si>
  <si>
    <t>印刷(現在画面or選択文字)</t>
    <phoneticPr fontId="4"/>
  </si>
  <si>
    <t>TeraTerm終了</t>
    <phoneticPr fontId="4"/>
  </si>
  <si>
    <t>ペースト</t>
    <phoneticPr fontId="4"/>
  </si>
  <si>
    <t>アプリケーション切替</t>
    <phoneticPr fontId="4"/>
  </si>
  <si>
    <t>ウィンドウ移動(前)</t>
    <phoneticPr fontId="4"/>
  </si>
  <si>
    <t>ウィンドウ移動(次)</t>
    <rPh sb="8" eb="9">
      <t>ツギ</t>
    </rPh>
    <phoneticPr fontId="4"/>
  </si>
  <si>
    <t>スクロール先頭/末尾</t>
    <rPh sb="8" eb="10">
      <t>マツビ</t>
    </rPh>
    <phoneticPr fontId="4"/>
  </si>
  <si>
    <t>スクロールアップ/ダウン(一ページ)</t>
    <phoneticPr fontId="4"/>
  </si>
  <si>
    <t>スクロールダウン(一行)</t>
    <phoneticPr fontId="4"/>
  </si>
  <si>
    <t>スクロールアップ(一行)</t>
    <phoneticPr fontId="4"/>
  </si>
  <si>
    <t>ウィンドウ最大化(トグル)</t>
    <phoneticPr fontId="4"/>
  </si>
  <si>
    <t>フラッシュフィル</t>
    <phoneticPr fontId="4"/>
  </si>
  <si>
    <t>前回の検索を繰り返す(前)</t>
    <rPh sb="11" eb="12">
      <t>マエ</t>
    </rPh>
    <phoneticPr fontId="4"/>
  </si>
  <si>
    <t>前回の検索を繰り返す(次)</t>
    <rPh sb="11" eb="12">
      <t>ツギ</t>
    </rPh>
    <phoneticPr fontId="4"/>
  </si>
  <si>
    <t>アクティブセル領域選択</t>
    <phoneticPr fontId="4"/>
  </si>
  <si>
    <t>●設定変更●一行にまとめてセルコピー</t>
    <phoneticPr fontId="4"/>
  </si>
  <si>
    <t>シート追加カスタム</t>
    <rPh sb="3" eb="5">
      <t>ツイカ</t>
    </rPh>
    <phoneticPr fontId="4"/>
  </si>
  <si>
    <t>●設定変更●背景色をトグルの色選択</t>
    <rPh sb="1" eb="3">
      <t>セッテイ</t>
    </rPh>
    <rPh sb="3" eb="5">
      <t>ヘンコウ</t>
    </rPh>
    <rPh sb="6" eb="9">
      <t>ハイケイショク</t>
    </rPh>
    <rPh sb="14" eb="15">
      <t>イロ</t>
    </rPh>
    <rPh sb="15" eb="17">
      <t>センタク</t>
    </rPh>
    <phoneticPr fontId="4"/>
  </si>
  <si>
    <t>●設定変更●背景色をトグルの色スポイト</t>
    <rPh sb="1" eb="3">
      <t>セッテイ</t>
    </rPh>
    <rPh sb="3" eb="5">
      <t>ヘンコウ</t>
    </rPh>
    <rPh sb="6" eb="9">
      <t>ハイケイショク</t>
    </rPh>
    <rPh sb="14" eb="15">
      <t>イロ</t>
    </rPh>
    <phoneticPr fontId="4"/>
  </si>
  <si>
    <t>●設定変更●フォント色をトグルの色選択</t>
    <phoneticPr fontId="4"/>
  </si>
  <si>
    <t>●設定変更●フォント色をトグルの色スポイト</t>
    <phoneticPr fontId="4"/>
  </si>
  <si>
    <t>●設定変更●アクティブセルコメントのみ表示</t>
    <phoneticPr fontId="4"/>
  </si>
  <si>
    <t>Diff色付け</t>
    <phoneticPr fontId="4"/>
  </si>
  <si>
    <t>セルの書式設定</t>
    <rPh sb="3" eb="5">
      <t>ショシキ</t>
    </rPh>
    <rPh sb="5" eb="7">
      <t>セッテイ</t>
    </rPh>
    <phoneticPr fontId="4"/>
  </si>
  <si>
    <t>【セル選択時】オートフィルタ</t>
    <rPh sb="3" eb="5">
      <t>センタク</t>
    </rPh>
    <rPh sb="5" eb="6">
      <t>ジ</t>
    </rPh>
    <phoneticPr fontId="4"/>
  </si>
  <si>
    <t>クリップボード値貼り付け</t>
    <phoneticPr fontId="4"/>
  </si>
  <si>
    <t>F8</t>
    <phoneticPr fontId="4"/>
  </si>
  <si>
    <t>[パスワード表示](https://www.itmedia.co.jp/news/spv/2301/20/news129_2.html)</t>
    <phoneticPr fontId="4"/>
  </si>
  <si>
    <t>ターミナル表示/非表示</t>
    <rPh sb="5" eb="7">
      <t>ヒョウジ</t>
    </rPh>
    <rPh sb="8" eb="11">
      <t>ヒヒョウジ</t>
    </rPh>
    <phoneticPr fontId="4"/>
  </si>
  <si>
    <t>新しいターミナル追加</t>
    <rPh sb="0" eb="1">
      <t>アタラ</t>
    </rPh>
    <rPh sb="8" eb="10">
      <t>ツイカ</t>
    </rPh>
    <phoneticPr fontId="4"/>
  </si>
  <si>
    <t>フォーカス移動toサイドペイン</t>
    <rPh sb="5" eb="7">
      <t>イドウ</t>
    </rPh>
    <phoneticPr fontId="4"/>
  </si>
  <si>
    <t>★キーバインド割り当て</t>
    <rPh sb="7" eb="8">
      <t>ワ</t>
    </rPh>
    <rPh sb="9" eb="10">
      <t>ア</t>
    </rPh>
    <phoneticPr fontId="4"/>
  </si>
  <si>
    <t>★フォーカス移動toターミナル（terminal.focus）</t>
    <rPh sb="6" eb="8">
      <t>イドウ</t>
    </rPh>
    <phoneticPr fontId="4"/>
  </si>
  <si>
    <t>サイドバー表示/非表示</t>
    <rPh sb="5" eb="7">
      <t>ヒョウジ</t>
    </rPh>
    <rPh sb="8" eb="11">
      <t>ヒヒョウジ</t>
    </rPh>
    <phoneticPr fontId="4"/>
  </si>
  <si>
    <t>設定を開く</t>
    <rPh sb="0" eb="2">
      <t>セッテイ</t>
    </rPh>
    <rPh sb="3" eb="4">
      <t>ヒラ</t>
    </rPh>
    <phoneticPr fontId="4"/>
  </si>
  <si>
    <t>フォーカス移動 EditerGroup 1</t>
  </si>
  <si>
    <t>フォーカス移動 EditerGroup 2</t>
  </si>
  <si>
    <t>フォーカス移動 EditerGroup 3</t>
  </si>
  <si>
    <t>フォーカス移動 EditerGroup 4</t>
  </si>
  <si>
    <t>フォーカス移動 EditerGroup 5</t>
  </si>
  <si>
    <t>フォーカス移動 EditerGroup 6</t>
  </si>
  <si>
    <t>フォーカス移動 EditerGroup 7</t>
  </si>
  <si>
    <t>-</t>
    <phoneticPr fontId="4"/>
  </si>
  <si>
    <t>フォーカス移動 EditerGroup 8</t>
    <phoneticPr fontId="4"/>
  </si>
  <si>
    <t>フォーカス移動 EditerGroup</t>
    <phoneticPr fontId="4"/>
  </si>
  <si>
    <t>EditerGroup 横/縦分割切り替え</t>
    <rPh sb="15" eb="17">
      <t>ブンカツ</t>
    </rPh>
    <phoneticPr fontId="4"/>
  </si>
  <si>
    <t>ソース管理を開く</t>
    <phoneticPr fontId="4"/>
  </si>
  <si>
    <t>拡張機能を開く</t>
    <rPh sb="0" eb="2">
      <t>カクチョウ</t>
    </rPh>
    <rPh sb="2" eb="4">
      <t>キノウ</t>
    </rPh>
    <rPh sb="5" eb="6">
      <t>ヒラ</t>
    </rPh>
    <phoneticPr fontId="4"/>
  </si>
  <si>
    <t>ファイルエクスプローラーを開く</t>
    <rPh sb="13" eb="14">
      <t>ヒラ</t>
    </rPh>
    <phoneticPr fontId="4"/>
  </si>
  <si>
    <t>デバッグを開く</t>
    <phoneticPr fontId="4"/>
  </si>
  <si>
    <t>コマンドパレット表示</t>
    <rPh sb="8" eb="10">
      <t>ヒョウジ</t>
    </rPh>
    <phoneticPr fontId="4"/>
  </si>
  <si>
    <t>クイックオープン表示</t>
    <rPh sb="8" eb="10">
      <t>ヒョウジ</t>
    </rPh>
    <phoneticPr fontId="4"/>
  </si>
  <si>
    <t>対応括弧ジャンプ</t>
    <rPh sb="0" eb="2">
      <t>タイオウ</t>
    </rPh>
    <rPh sb="2" eb="4">
      <t>カッコ</t>
    </rPh>
    <phoneticPr fontId="4"/>
  </si>
  <si>
    <t>行削除</t>
    <rPh sb="0" eb="1">
      <t>ギョウ</t>
    </rPh>
    <rPh sb="1" eb="3">
      <t>サクジョ</t>
    </rPh>
    <phoneticPr fontId="4"/>
  </si>
  <si>
    <t>キーボードショートカット表示</t>
    <phoneticPr fontId="4"/>
  </si>
  <si>
    <t>ウィンドウ／インスタンスを閉じる</t>
    <phoneticPr fontId="4"/>
  </si>
  <si>
    <t>新しいウィンドウ／インスタンスを作成する</t>
    <phoneticPr fontId="4"/>
  </si>
  <si>
    <t>行挿入(下行)</t>
  </si>
  <si>
    <t>行挿入(上行)</t>
    <rPh sb="4" eb="5">
      <t>ウエ</t>
    </rPh>
    <phoneticPr fontId="4"/>
  </si>
  <si>
    <t>クリップボードの内容と比較</t>
    <rPh sb="8" eb="10">
      <t>ナイヨウ</t>
    </rPh>
    <rPh sb="11" eb="13">
      <t>ヒカク</t>
    </rPh>
    <phoneticPr fontId="4"/>
  </si>
  <si>
    <t>行コメント追加</t>
    <phoneticPr fontId="4"/>
  </si>
  <si>
    <t>行コメント削除</t>
    <rPh sb="5" eb="7">
      <t>サクジョ</t>
    </rPh>
    <phoneticPr fontId="4"/>
  </si>
  <si>
    <t>ターミナル分割、【選択時】コメント⇔解除切替え(行)</t>
    <rPh sb="5" eb="7">
      <t>ブンカツ</t>
    </rPh>
    <rPh sb="9" eb="11">
      <t>センタク</t>
    </rPh>
    <rPh sb="11" eb="12">
      <t>ジ</t>
    </rPh>
    <phoneticPr fontId="4"/>
  </si>
  <si>
    <t>コメント⇔解除切替え(ブロック)</t>
    <phoneticPr fontId="4"/>
  </si>
  <si>
    <t>■ショートカットキー一覧</t>
    <rPh sb="10" eb="12">
      <t>イチラン</t>
    </rPh>
    <phoneticPr fontId="4"/>
  </si>
  <si>
    <t>▼ソフトウェア名</t>
    <rPh sb="7" eb="8">
      <t>メイ</t>
    </rPh>
    <phoneticPr fontId="4"/>
  </si>
  <si>
    <t>▽ソフトウェア名</t>
    <phoneticPr fontId="4"/>
  </si>
  <si>
    <t>各ソフトウェアのショートカットキーの一覧をまとめる。</t>
    <rPh sb="0" eb="1">
      <t>カク</t>
    </rPh>
    <rPh sb="18" eb="20">
      <t>イチラン</t>
    </rPh>
    <phoneticPr fontId="4"/>
  </si>
  <si>
    <t>・空いているショートカットキーを確認するため</t>
    <rPh sb="1" eb="2">
      <t>ア</t>
    </rPh>
    <rPh sb="16" eb="18">
      <t>カクニン</t>
    </rPh>
    <phoneticPr fontId="4"/>
  </si>
  <si>
    <t>・ショートカットキー同士の対応関係を整理するため</t>
    <phoneticPr fontId="4"/>
  </si>
  <si>
    <t>目的は以下。</t>
    <rPh sb="0" eb="2">
      <t>モクテキ</t>
    </rPh>
    <rPh sb="3" eb="5">
      <t>イカ</t>
    </rPh>
    <phoneticPr fontId="4"/>
  </si>
  <si>
    <t>ショートカットキーをキー×修飾キーの星取表形式でまとめた表。</t>
    <rPh sb="13" eb="15">
      <t>シュウショク</t>
    </rPh>
    <rPh sb="18" eb="21">
      <t>ホシトリヒョウ</t>
    </rPh>
    <rPh sb="21" eb="23">
      <t>ケイシキ</t>
    </rPh>
    <rPh sb="28" eb="29">
      <t>ヒョウ</t>
    </rPh>
    <phoneticPr fontId="4"/>
  </si>
  <si>
    <t>・実行したい機能に対応するキーを素早く探すため</t>
    <rPh sb="1" eb="3">
      <t>ジッコウ</t>
    </rPh>
    <rPh sb="6" eb="8">
      <t>キノウ</t>
    </rPh>
    <rPh sb="9" eb="11">
      <t>タイオウ</t>
    </rPh>
    <rPh sb="16" eb="18">
      <t>スバヤ</t>
    </rPh>
    <rPh sb="19" eb="20">
      <t>サガ</t>
    </rPh>
    <phoneticPr fontId="4"/>
  </si>
  <si>
    <t>シート名の命名規則は以下の通り。</t>
    <rPh sb="3" eb="4">
      <t>メイ</t>
    </rPh>
    <rPh sb="5" eb="7">
      <t>メイメイ</t>
    </rPh>
    <rPh sb="7" eb="9">
      <t>キソク</t>
    </rPh>
    <rPh sb="10" eb="12">
      <t>イカ</t>
    </rPh>
    <rPh sb="13" eb="14">
      <t>トオ</t>
    </rPh>
    <phoneticPr fontId="4"/>
  </si>
  <si>
    <t>ショートカットキーをキー×機能でまとめた表。</t>
    <rPh sb="13" eb="15">
      <t>キノウ</t>
    </rPh>
    <rPh sb="20" eb="21">
      <t>ヒョウ</t>
    </rPh>
    <phoneticPr fontId="4"/>
  </si>
  <si>
    <t>折り返しする/しないの切り替え</t>
    <phoneticPr fontId="4"/>
  </si>
  <si>
    <t>指定行ジャンプ</t>
    <rPh sb="0" eb="2">
      <t>シテイ</t>
    </rPh>
    <rPh sb="2" eb="3">
      <t>ギョウ</t>
    </rPh>
    <phoneticPr fontId="4"/>
  </si>
  <si>
    <t>最後の編集位置にジャンプ</t>
    <rPh sb="0" eb="2">
      <t>サイゴ</t>
    </rPh>
    <rPh sb="3" eb="5">
      <t>ヘンシュウ</t>
    </rPh>
    <rPh sb="5" eb="7">
      <t>イチ</t>
    </rPh>
    <phoneticPr fontId="4"/>
  </si>
  <si>
    <t>同一エディタ内でエディタ分割/解除</t>
  </si>
  <si>
    <t>アンカー設定</t>
    <rPh sb="4" eb="6">
      <t>セッテイ</t>
    </rPh>
    <phoneticPr fontId="4"/>
  </si>
  <si>
    <t>アンカーから現在位置まで選択</t>
    <rPh sb="6" eb="8">
      <t>ゲンザイ</t>
    </rPh>
    <rPh sb="8" eb="10">
      <t>イチ</t>
    </rPh>
    <rPh sb="12" eb="14">
      <t>センタク</t>
    </rPh>
    <phoneticPr fontId="4"/>
  </si>
  <si>
    <t>マルチカーソル範囲拡大</t>
    <rPh sb="7" eb="9">
      <t>ハンイ</t>
    </rPh>
    <rPh sb="9" eb="11">
      <t>カクダイ</t>
    </rPh>
    <phoneticPr fontId="4"/>
  </si>
  <si>
    <t>矩形選択 範囲拡大</t>
    <rPh sb="0" eb="2">
      <t>クケイ</t>
    </rPh>
    <rPh sb="2" eb="4">
      <t>センタク</t>
    </rPh>
    <rPh sb="5" eb="7">
      <t>ハンイ</t>
    </rPh>
    <rPh sb="7" eb="9">
      <t>カクダイ</t>
    </rPh>
    <phoneticPr fontId="4"/>
  </si>
  <si>
    <t>Grep置換</t>
    <rPh sb="4" eb="6">
      <t>チカン</t>
    </rPh>
    <phoneticPr fontId="4"/>
  </si>
  <si>
    <t>Grep検索</t>
    <rPh sb="4" eb="6">
      <t>ケンサク</t>
    </rPh>
    <phoneticPr fontId="4"/>
  </si>
  <si>
    <t>デバッグコンソールを開く</t>
    <rPh sb="10" eb="11">
      <t>ヒラ</t>
    </rPh>
    <phoneticPr fontId="4"/>
  </si>
  <si>
    <t>問題を開く</t>
    <phoneticPr fontId="4"/>
  </si>
  <si>
    <t>出力を開く</t>
    <phoneticPr fontId="4"/>
  </si>
  <si>
    <t>★ターミナルを開く</t>
    <rPh sb="7" eb="8">
      <t>ヒラ</t>
    </rPh>
    <phoneticPr fontId="4"/>
  </si>
  <si>
    <t>エディタを全て閉じる</t>
    <rPh sb="5" eb="6">
      <t>スベ</t>
    </rPh>
    <rPh sb="7" eb="8">
      <t>ト</t>
    </rPh>
    <phoneticPr fontId="4"/>
  </si>
  <si>
    <t>名前を付けて保存</t>
    <rPh sb="0" eb="2">
      <t>ナマエ</t>
    </rPh>
    <rPh sb="3" eb="4">
      <t>ツ</t>
    </rPh>
    <rPh sb="6" eb="8">
      <t>ホゾン</t>
    </rPh>
    <phoneticPr fontId="4"/>
  </si>
  <si>
    <t>全てのファイルを保存</t>
    <rPh sb="0" eb="1">
      <t>スベ</t>
    </rPh>
    <rPh sb="8" eb="10">
      <t>ホゾン</t>
    </rPh>
    <phoneticPr fontId="4"/>
  </si>
  <si>
    <t>差分ビューを開く</t>
    <rPh sb="0" eb="2">
      <t>サブン</t>
    </rPh>
    <rPh sb="6" eb="7">
      <t>ヒラ</t>
    </rPh>
    <phoneticPr fontId="4"/>
  </si>
  <si>
    <t>エディタ画面分割(垂直)</t>
    <rPh sb="4" eb="6">
      <t>ガメン</t>
    </rPh>
    <rPh sb="6" eb="8">
      <t>ブンカツ</t>
    </rPh>
    <rPh sb="9" eb="11">
      <t>スイチョク</t>
    </rPh>
    <phoneticPr fontId="4"/>
  </si>
  <si>
    <t>エディタ画面分割(水平)</t>
    <rPh sb="4" eb="6">
      <t>ガメン</t>
    </rPh>
    <rPh sb="6" eb="8">
      <t>ブンカツ</t>
    </rPh>
    <rPh sb="9" eb="11">
      <t>スイヘイ</t>
    </rPh>
    <phoneticPr fontId="4"/>
  </si>
  <si>
    <t>インデント折畳み(全て)</t>
    <rPh sb="5" eb="6">
      <t>オ</t>
    </rPh>
    <rPh sb="6" eb="7">
      <t>タタ</t>
    </rPh>
    <rPh sb="9" eb="10">
      <t>スベ</t>
    </rPh>
    <phoneticPr fontId="4"/>
  </si>
  <si>
    <t>インデント折畳み(1段目まで)</t>
  </si>
  <si>
    <t>インデント折畳み(2段目まで)</t>
  </si>
  <si>
    <t>インデント折畳み(3段目まで)</t>
  </si>
  <si>
    <t>インデント折畳み(4段目まで)</t>
  </si>
  <si>
    <t>インデント折畳み(5段目まで)</t>
  </si>
  <si>
    <t>インデント折畳み(6段目まで)</t>
  </si>
  <si>
    <t>インデント折畳み(7段目まで)</t>
  </si>
  <si>
    <t>インデント折畳み展開(全て)</t>
    <rPh sb="5" eb="6">
      <t>オ</t>
    </rPh>
    <rPh sb="6" eb="7">
      <t>タタ</t>
    </rPh>
    <rPh sb="8" eb="10">
      <t>テンカイ</t>
    </rPh>
    <rPh sb="11" eb="12">
      <t>スベ</t>
    </rPh>
    <phoneticPr fontId="4"/>
  </si>
  <si>
    <t>-</t>
    <phoneticPr fontId="4"/>
  </si>
  <si>
    <t>インデント折畳み(カーソル層配下全て)</t>
    <rPh sb="13" eb="14">
      <t>ソウ</t>
    </rPh>
    <rPh sb="14" eb="16">
      <t>ハイカ</t>
    </rPh>
    <rPh sb="16" eb="17">
      <t>スベ</t>
    </rPh>
    <phoneticPr fontId="4"/>
  </si>
  <si>
    <t>インデント折畳み展開(カーソル層配下全て)</t>
    <rPh sb="8" eb="10">
      <t>テンカイ</t>
    </rPh>
    <rPh sb="15" eb="16">
      <t>ソウ</t>
    </rPh>
    <rPh sb="16" eb="18">
      <t>ハイカ</t>
    </rPh>
    <rPh sb="18" eb="19">
      <t>スベ</t>
    </rPh>
    <phoneticPr fontId="4"/>
  </si>
  <si>
    <t>インデント折畳み/展開トグル(カーソル層配下全て)</t>
    <rPh sb="9" eb="11">
      <t>テンカイ</t>
    </rPh>
    <rPh sb="19" eb="20">
      <t>ソウ</t>
    </rPh>
    <rPh sb="20" eb="22">
      <t>ハイカ</t>
    </rPh>
    <rPh sb="22" eb="23">
      <t>スベ</t>
    </rPh>
    <phoneticPr fontId="4"/>
  </si>
  <si>
    <t>ブロックコメント折畳み(全て)</t>
    <rPh sb="8" eb="10">
      <t>オリタタ</t>
    </rPh>
    <rPh sb="12" eb="13">
      <t>スベ</t>
    </rPh>
    <phoneticPr fontId="4"/>
  </si>
  <si>
    <t>選択範囲折畳み</t>
    <rPh sb="4" eb="6">
      <t>オリタタ</t>
    </rPh>
    <phoneticPr fontId="4"/>
  </si>
  <si>
    <t>選択範囲折畳み展開</t>
    <rPh sb="4" eb="6">
      <t>オリタタ</t>
    </rPh>
    <rPh sb="7" eb="9">
      <t>テンカイ</t>
    </rPh>
    <phoneticPr fontId="4"/>
  </si>
  <si>
    <t>配色テーマ変更</t>
    <phoneticPr fontId="4"/>
  </si>
  <si>
    <t>フォントサイズ拡大</t>
    <rPh sb="7" eb="9">
      <t>カクダイ</t>
    </rPh>
    <phoneticPr fontId="4"/>
  </si>
  <si>
    <t>フォントサイズ縮小</t>
    <rPh sb="7" eb="9">
      <t>シュクショウ</t>
    </rPh>
    <phoneticPr fontId="4"/>
  </si>
  <si>
    <t>フォントサイズリセット</t>
    <phoneticPr fontId="4"/>
  </si>
  <si>
    <t>Vimで開く</t>
    <rPh sb="4" eb="5">
      <t>ヒラ</t>
    </rPh>
    <phoneticPr fontId="4"/>
  </si>
  <si>
    <t>F7/F8</t>
    <phoneticPr fontId="4"/>
  </si>
  <si>
    <t>前/次の差異へ移動</t>
  </si>
  <si>
    <t>ペイン切替え</t>
    <rPh sb="3" eb="4">
      <t>キ</t>
    </rPh>
    <rPh sb="4" eb="5">
      <t>カ</t>
    </rPh>
    <phoneticPr fontId="4"/>
  </si>
  <si>
    <t>マージモード切替え</t>
    <phoneticPr fontId="4"/>
  </si>
  <si>
    <t>最初/最後の差異へ移動</t>
    <rPh sb="3" eb="5">
      <t>サイゴ</t>
    </rPh>
    <phoneticPr fontId="4"/>
  </si>
  <si>
    <t>Up/Down</t>
    <phoneticPr fontId="4"/>
  </si>
  <si>
    <t>次のファイルへ移動</t>
    <phoneticPr fontId="4"/>
  </si>
  <si>
    <t>付録A ショートカットキー - WinMerge 2.16 ヘルプ</t>
  </si>
  <si>
    <t>★</t>
    <phoneticPr fontId="4"/>
  </si>
  <si>
    <t>D</t>
    <phoneticPr fontId="4"/>
  </si>
  <si>
    <t>カレンダー表示</t>
    <rPh sb="5" eb="7">
      <t>ヒョウジ</t>
    </rPh>
    <phoneticPr fontId="4"/>
  </si>
  <si>
    <t>絵文字入力</t>
    <rPh sb="0" eb="3">
      <t>エモジ</t>
    </rPh>
    <rPh sb="3" eb="5">
      <t>ニュウリョク</t>
    </rPh>
    <phoneticPr fontId="4"/>
  </si>
  <si>
    <t>起動＠コマンドプロンプト</t>
    <rPh sb="0" eb="2">
      <t>キドウ</t>
    </rPh>
    <phoneticPr fontId="4"/>
  </si>
  <si>
    <t>画像リサイズ</t>
    <rPh sb="0" eb="2">
      <t>ガゾウ</t>
    </rPh>
    <phoneticPr fontId="4"/>
  </si>
  <si>
    <t>リネーム用バッチファイル作成</t>
    <phoneticPr fontId="4"/>
  </si>
  <si>
    <t>コピー＆日時追加、リネーム＆日時追加</t>
    <phoneticPr fontId="4"/>
  </si>
  <si>
    <t>起動(配下の全ファイル)＠Vim</t>
    <phoneticPr fontId="4"/>
  </si>
  <si>
    <t>WSL2ファイルパスコピー</t>
    <phoneticPr fontId="4"/>
  </si>
  <si>
    <t>オブジェクトモード/編集モード切替</t>
    <rPh sb="10" eb="12">
      <t>ヘンシュウ</t>
    </rPh>
    <rPh sb="15" eb="17">
      <t>キリカエ</t>
    </rPh>
    <phoneticPr fontId="4"/>
  </si>
  <si>
    <t>オブジェクトのモード(例: 移動/回転)切替え</t>
    <rPh sb="11" eb="12">
      <t>レイ</t>
    </rPh>
    <rPh sb="14" eb="16">
      <t>イドウ</t>
    </rPh>
    <rPh sb="17" eb="19">
      <t>カイテン</t>
    </rPh>
    <rPh sb="20" eb="21">
      <t>キ</t>
    </rPh>
    <rPh sb="21" eb="22">
      <t>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</si>
</sst>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scheme val="minor"/>
    </font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9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6"/>
      <name val="ＭＳ ゴシック"/>
      <family val="3"/>
      <charset val="128"/>
    </font>
    <font>
      <strike/>
      <sz val="9"/>
      <color rgb="FFFF0000"/>
      <name val="ＭＳ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000000"/>
      <name val="ＭＳ ゴシック"/>
      <family val="3"/>
      <charset val="128"/>
    </font>
    <font>
      <sz val="12"/>
      <color theme="0"/>
      <name val="ＭＳ ゴシック"/>
      <family val="3"/>
      <charset val="128"/>
    </font>
    <font>
      <u/>
      <sz val="11"/>
      <color theme="10"/>
      <name val="ＭＳ Ｐゴシック"/>
      <family val="2"/>
      <scheme val="minor"/>
    </font>
    <font>
      <b/>
      <sz val="9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 style="dotted">
        <color indexed="64"/>
      </top>
      <bottom style="dotted">
        <color rgb="FF000000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3" fillId="0" borderId="0">
      <alignment vertical="top"/>
    </xf>
    <xf numFmtId="0" fontId="1" fillId="0" borderId="0">
      <alignment vertical="center"/>
    </xf>
    <xf numFmtId="0" fontId="15" fillId="0" borderId="0" applyNumberFormat="0" applyFill="0" applyBorder="0" applyAlignment="0" applyProtection="0"/>
  </cellStyleXfs>
  <cellXfs count="63">
    <xf numFmtId="0" fontId="0" fillId="0" borderId="0" xfId="0"/>
    <xf numFmtId="49" fontId="3" fillId="0" borderId="0" xfId="1" applyNumberFormat="1" applyFont="1" applyAlignment="1">
      <alignment horizontal="center" vertical="center"/>
    </xf>
    <xf numFmtId="49" fontId="3" fillId="0" borderId="0" xfId="1" applyNumberFormat="1" applyFont="1">
      <alignment vertical="center"/>
    </xf>
    <xf numFmtId="0" fontId="3" fillId="0" borderId="0" xfId="1" applyFont="1">
      <alignment vertical="center"/>
    </xf>
    <xf numFmtId="49" fontId="3" fillId="2" borderId="0" xfId="1" applyNumberFormat="1" applyFont="1" applyFill="1" applyAlignment="1">
      <alignment horizontal="center" vertical="center"/>
    </xf>
    <xf numFmtId="49" fontId="3" fillId="2" borderId="0" xfId="1" applyNumberFormat="1" applyFont="1" applyFill="1">
      <alignment vertical="center"/>
    </xf>
    <xf numFmtId="49" fontId="3" fillId="0" borderId="0" xfId="1" quotePrefix="1" applyNumberFormat="1" applyFont="1">
      <alignment vertical="center"/>
    </xf>
    <xf numFmtId="49" fontId="3" fillId="0" borderId="0" xfId="1" applyNumberFormat="1" applyFont="1" applyAlignment="1">
      <alignment vertical="center" wrapText="1"/>
    </xf>
    <xf numFmtId="20" fontId="3" fillId="0" borderId="0" xfId="1" applyNumberFormat="1" applyFont="1" applyAlignment="1">
      <alignment horizontal="center" vertical="center"/>
    </xf>
    <xf numFmtId="11" fontId="3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0" fontId="3" fillId="0" borderId="0" xfId="2">
      <alignment vertical="top"/>
    </xf>
    <xf numFmtId="0" fontId="6" fillId="0" borderId="1" xfId="2" applyFont="1" applyBorder="1">
      <alignment vertical="top"/>
    </xf>
    <xf numFmtId="0" fontId="6" fillId="4" borderId="1" xfId="2" applyFont="1" applyFill="1" applyBorder="1">
      <alignment vertical="top"/>
    </xf>
    <xf numFmtId="0" fontId="6" fillId="0" borderId="0" xfId="2" applyFont="1">
      <alignment vertical="top"/>
    </xf>
    <xf numFmtId="0" fontId="7" fillId="0" borderId="0" xfId="2" applyFont="1">
      <alignment vertical="top"/>
    </xf>
    <xf numFmtId="0" fontId="9" fillId="0" borderId="0" xfId="2" applyFont="1">
      <alignment vertical="top"/>
    </xf>
    <xf numFmtId="49" fontId="3" fillId="5" borderId="0" xfId="1" applyNumberFormat="1" applyFont="1" applyFill="1">
      <alignment vertical="center"/>
    </xf>
    <xf numFmtId="0" fontId="6" fillId="0" borderId="8" xfId="2" applyFont="1" applyBorder="1">
      <alignment vertical="top"/>
    </xf>
    <xf numFmtId="0" fontId="6" fillId="6" borderId="1" xfId="2" applyFont="1" applyFill="1" applyBorder="1">
      <alignment vertical="top"/>
    </xf>
    <xf numFmtId="0" fontId="11" fillId="3" borderId="2" xfId="2" applyFont="1" applyFill="1" applyBorder="1" applyAlignment="1">
      <alignment horizontal="center" vertical="top" wrapText="1"/>
    </xf>
    <xf numFmtId="0" fontId="12" fillId="3" borderId="4" xfId="2" applyFont="1" applyFill="1" applyBorder="1">
      <alignment vertical="top"/>
    </xf>
    <xf numFmtId="49" fontId="11" fillId="3" borderId="4" xfId="2" applyNumberFormat="1" applyFont="1" applyFill="1" applyBorder="1">
      <alignment vertical="top"/>
    </xf>
    <xf numFmtId="0" fontId="11" fillId="3" borderId="4" xfId="2" applyFont="1" applyFill="1" applyBorder="1">
      <alignment vertical="top"/>
    </xf>
    <xf numFmtId="0" fontId="11" fillId="3" borderId="7" xfId="2" applyFont="1" applyFill="1" applyBorder="1">
      <alignment vertical="top"/>
    </xf>
    <xf numFmtId="0" fontId="11" fillId="3" borderId="3" xfId="2" applyFont="1" applyFill="1" applyBorder="1" applyAlignment="1">
      <alignment horizontal="center" vertical="top"/>
    </xf>
    <xf numFmtId="0" fontId="11" fillId="3" borderId="5" xfId="2" applyFont="1" applyFill="1" applyBorder="1" applyAlignment="1">
      <alignment horizontal="center" vertical="top"/>
    </xf>
    <xf numFmtId="0" fontId="6" fillId="4" borderId="6" xfId="2" applyFont="1" applyFill="1" applyBorder="1">
      <alignment vertical="top"/>
    </xf>
    <xf numFmtId="0" fontId="6" fillId="4" borderId="9" xfId="2" applyFont="1" applyFill="1" applyBorder="1">
      <alignment vertical="top"/>
    </xf>
    <xf numFmtId="0" fontId="6" fillId="6" borderId="6" xfId="2" applyFont="1" applyFill="1" applyBorder="1">
      <alignment vertical="top"/>
    </xf>
    <xf numFmtId="0" fontId="6" fillId="6" borderId="9" xfId="2" applyFont="1" applyFill="1" applyBorder="1">
      <alignment vertical="top"/>
    </xf>
    <xf numFmtId="0" fontId="12" fillId="3" borderId="1" xfId="2" applyFont="1" applyFill="1" applyBorder="1">
      <alignment vertical="top"/>
    </xf>
    <xf numFmtId="49" fontId="11" fillId="3" borderId="1" xfId="2" applyNumberFormat="1" applyFont="1" applyFill="1" applyBorder="1">
      <alignment vertical="top"/>
    </xf>
    <xf numFmtId="0" fontId="11" fillId="3" borderId="1" xfId="2" applyFont="1" applyFill="1" applyBorder="1">
      <alignment vertical="top"/>
    </xf>
    <xf numFmtId="0" fontId="11" fillId="3" borderId="1" xfId="2" quotePrefix="1" applyFont="1" applyFill="1" applyBorder="1">
      <alignment vertical="top"/>
    </xf>
    <xf numFmtId="0" fontId="11" fillId="3" borderId="1" xfId="2" applyFont="1" applyFill="1" applyBorder="1" applyAlignment="1">
      <alignment horizontal="center" vertical="top" wrapText="1"/>
    </xf>
    <xf numFmtId="0" fontId="11" fillId="3" borderId="1" xfId="2" applyFont="1" applyFill="1" applyBorder="1" applyAlignment="1">
      <alignment horizontal="center" vertical="top"/>
    </xf>
    <xf numFmtId="0" fontId="11" fillId="3" borderId="4" xfId="2" quotePrefix="1" applyFont="1" applyFill="1" applyBorder="1">
      <alignment vertical="top"/>
    </xf>
    <xf numFmtId="14" fontId="6" fillId="0" borderId="1" xfId="2" applyNumberFormat="1" applyFont="1" applyBorder="1">
      <alignment vertical="top"/>
    </xf>
    <xf numFmtId="3" fontId="6" fillId="0" borderId="1" xfId="2" applyNumberFormat="1" applyFont="1" applyBorder="1">
      <alignment vertical="top"/>
    </xf>
    <xf numFmtId="14" fontId="3" fillId="0" borderId="0" xfId="2" applyNumberFormat="1">
      <alignment vertical="top"/>
    </xf>
    <xf numFmtId="0" fontId="6" fillId="0" borderId="1" xfId="2" applyFont="1" applyBorder="1" applyAlignment="1">
      <alignment horizontal="left" vertical="top"/>
    </xf>
    <xf numFmtId="0" fontId="6" fillId="0" borderId="1" xfId="2" quotePrefix="1" applyFont="1" applyBorder="1">
      <alignment vertical="top"/>
    </xf>
    <xf numFmtId="11" fontId="6" fillId="0" borderId="1" xfId="2" applyNumberFormat="1" applyFont="1" applyBorder="1">
      <alignment vertical="top"/>
    </xf>
    <xf numFmtId="20" fontId="6" fillId="0" borderId="1" xfId="2" applyNumberFormat="1" applyFont="1" applyBorder="1">
      <alignment vertical="top"/>
    </xf>
    <xf numFmtId="0" fontId="6" fillId="7" borderId="1" xfId="2" applyFont="1" applyFill="1" applyBorder="1">
      <alignment vertical="top"/>
    </xf>
    <xf numFmtId="0" fontId="6" fillId="7" borderId="1" xfId="2" applyFont="1" applyFill="1" applyBorder="1" applyAlignment="1">
      <alignment horizontal="left" vertical="top"/>
    </xf>
    <xf numFmtId="0" fontId="13" fillId="0" borderId="0" xfId="1" applyFont="1">
      <alignment vertical="center"/>
    </xf>
    <xf numFmtId="49" fontId="13" fillId="0" borderId="0" xfId="1" applyNumberFormat="1" applyFont="1">
      <alignment vertical="center"/>
    </xf>
    <xf numFmtId="49" fontId="7" fillId="0" borderId="0" xfId="1" applyNumberFormat="1" applyFont="1">
      <alignment vertical="center"/>
    </xf>
    <xf numFmtId="4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49" fontId="6" fillId="0" borderId="0" xfId="1" applyNumberFormat="1" applyFont="1" applyAlignment="1">
      <alignment horizontal="center" vertical="center"/>
    </xf>
    <xf numFmtId="0" fontId="6" fillId="0" borderId="0" xfId="1" applyFont="1">
      <alignment vertical="center"/>
    </xf>
    <xf numFmtId="0" fontId="7" fillId="0" borderId="1" xfId="2" applyFont="1" applyBorder="1">
      <alignment vertical="top"/>
    </xf>
    <xf numFmtId="0" fontId="6" fillId="8" borderId="1" xfId="2" applyFont="1" applyFill="1" applyBorder="1">
      <alignment vertical="top"/>
    </xf>
    <xf numFmtId="0" fontId="3" fillId="0" borderId="0" xfId="2" applyAlignment="1">
      <alignment horizontal="left" vertical="top" indent="1"/>
    </xf>
    <xf numFmtId="0" fontId="6" fillId="5" borderId="1" xfId="2" applyFont="1" applyFill="1" applyBorder="1">
      <alignment vertical="top"/>
    </xf>
    <xf numFmtId="0" fontId="6" fillId="0" borderId="1" xfId="2" applyFont="1" applyBorder="1" applyAlignment="1">
      <alignment vertical="top" wrapText="1"/>
    </xf>
    <xf numFmtId="0" fontId="3" fillId="0" borderId="0" xfId="0" applyFont="1"/>
    <xf numFmtId="0" fontId="14" fillId="9" borderId="0" xfId="0" applyFont="1" applyFill="1"/>
    <xf numFmtId="0" fontId="15" fillId="0" borderId="0" xfId="4"/>
    <xf numFmtId="0" fontId="16" fillId="0" borderId="1" xfId="2" applyFont="1" applyBorder="1">
      <alignment vertical="top"/>
    </xf>
  </cellXfs>
  <cellStyles count="5">
    <cellStyle name="ハイパーリンク" xfId="4" builtinId="8"/>
    <cellStyle name="標準" xfId="0" builtinId="0"/>
    <cellStyle name="標準 2" xfId="1" xr:uid="{00000000-0005-0000-0000-000001000000}"/>
    <cellStyle name="標準 3" xfId="2" xr:uid="{6574F17E-666C-4C25-887B-BEC40B73B388}"/>
    <cellStyle name="標準 4" xfId="3" xr:uid="{6F24FA43-F5C8-47AC-8D09-3CBCB56FE905}"/>
  </cellStyles>
  <dxfs count="2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family val="3"/>
        <charset val="128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family val="3"/>
        <charset val="128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ＭＳ ゴシック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ＭＳ ゴシック"/>
        <scheme val="none"/>
      </font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テーブル1345" displayName="テーブル1345" ref="A1:G87" headerRowDxfId="265" dataDxfId="264">
  <autoFilter ref="A1:G87" xr:uid="{00000000-0009-0000-0100-000004000000}"/>
  <tableColumns count="7">
    <tableColumn id="1" xr3:uid="{00000000-0010-0000-0000-000001000000}" name="Ctrl" totalsRowLabel="集計" dataDxfId="263" totalsRowDxfId="262"/>
    <tableColumn id="2" xr3:uid="{00000000-0010-0000-0000-000002000000}" name="Shift" dataDxfId="261" totalsRowDxfId="260"/>
    <tableColumn id="8" xr3:uid="{00000000-0010-0000-0000-000008000000}" name="Alt" dataDxfId="259" totalsRowDxfId="258" dataCellStyle="標準 2"/>
    <tableColumn id="3" xr3:uid="{00000000-0010-0000-0000-000003000000}" name="Win" dataDxfId="257" totalsRowDxfId="256"/>
    <tableColumn id="4" xr3:uid="{00000000-0010-0000-0000-000004000000}" name="Key" dataDxfId="255" totalsRowDxfId="254"/>
    <tableColumn id="5" xr3:uid="{00000000-0010-0000-0000-000005000000}" name="機能" dataDxfId="253" totalsRowDxfId="252"/>
    <tableColumn id="7" xr3:uid="{00000000-0010-0000-0000-000007000000}" name="|Ctrl|Shift|Alt|Win|Key|機能|" totalsRowFunction="count" dataDxfId="251" totalsRowDxfId="250" dataCellStyle="標準 2">
      <calculatedColumnFormula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D9DF68C-926B-4ABF-87EC-2BE15B3EDBDB}" name="テーブル1716" displayName="テーブル1716" ref="A1:I93" headerRowDxfId="249" dataDxfId="248">
  <autoFilter ref="A1:I93" xr:uid="{00000000-0009-0000-0100-000001000000}"/>
  <tableColumns count="9">
    <tableColumn id="1" xr3:uid="{3E147AE7-D0C8-41DF-A4E2-0268C41F44F6}" name="Ctrl" totalsRowLabel="集計" dataDxfId="247" totalsRowDxfId="246"/>
    <tableColumn id="2" xr3:uid="{4B9FC3C4-17EE-475E-9219-3391B5ABF30B}" name="Shift" dataDxfId="245" totalsRowDxfId="244"/>
    <tableColumn id="3" xr3:uid="{46A18348-8F0B-4779-88BB-730AF7B856AC}" name="Alt" dataDxfId="243" totalsRowDxfId="242"/>
    <tableColumn id="4" xr3:uid="{0F2B1969-7969-4132-96AD-0CA04323D1A0}" name="Key" dataDxfId="241" totalsRowDxfId="240"/>
    <tableColumn id="5" xr3:uid="{0297C143-EEA0-428C-A549-6D4881A1076B}" name="機能" dataDxfId="239" totalsRowDxfId="238"/>
    <tableColumn id="7" xr3:uid="{938135D4-7AE7-47A0-AD6A-EDEB24C14E63}" name="|Ctrl|Shift|Alt|Key|機能|" totalsRowFunction="count" dataDxfId="237" totalsRowDxfId="236" dataCellStyle="標準 2">
      <calculatedColumnFormula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calculatedColumnFormula>
    </tableColumn>
    <tableColumn id="8" xr3:uid="{1E9D4DD2-9737-4143-957E-F319F30E0B34}" name="動作" dataDxfId="235" totalsRowDxfId="234" dataCellStyle="標準 2">
      <calculatedColumnFormula>テーブル1716[[#This Row],[機能]]</calculatedColumnFormula>
    </tableColumn>
    <tableColumn id="9" xr3:uid="{15AC32E6-0DDA-41BB-9F12-D1D0E6E9DB8B}" name="ソフト名" dataDxfId="233" totalsRowDxfId="232" dataCellStyle="標準 2"/>
    <tableColumn id="6" xr3:uid="{F8D06D54-E796-4E6D-B14F-DAD3A48F2538}" name="ショートカットキー" dataDxfId="231" totalsRowDxfId="230">
      <calculatedColumnFormula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B3D110-E258-4597-BB86-3913C990E2CB}" name="テーブル17" displayName="テーブル17" ref="A1:F98" headerRowDxfId="229" dataDxfId="228">
  <autoFilter ref="A1:F98" xr:uid="{00000000-0009-0000-0100-000001000000}"/>
  <tableColumns count="6">
    <tableColumn id="1" xr3:uid="{A339EFE5-6258-4149-86B3-E1CEAA4BEE00}" name="Ctrl" totalsRowLabel="集計" dataDxfId="227" totalsRowDxfId="226"/>
    <tableColumn id="2" xr3:uid="{95FE279B-8D22-4BC8-8A2E-858DDB73272E}" name="Shift" dataDxfId="225" totalsRowDxfId="224"/>
    <tableColumn id="3" xr3:uid="{38818F14-8583-4816-90BC-42EC8E0CEF9E}" name="Alt" dataDxfId="223" totalsRowDxfId="222"/>
    <tableColumn id="4" xr3:uid="{59B72529-4238-4F15-B172-C15FB4893E65}" name="Key" dataDxfId="221" totalsRowDxfId="220"/>
    <tableColumn id="5" xr3:uid="{1D07021F-1DC8-467F-922D-781773F86854}" name="機能" dataDxfId="219" totalsRowDxfId="218"/>
    <tableColumn id="7" xr3:uid="{B99A910B-404C-4E9F-ABC8-6C1CF3E22617}" name="|Ctrl|Shift|Alt|Key|機能|" totalsRowFunction="count" dataDxfId="217" totalsRowDxfId="216" dataCellStyle="標準 2">
      <calculatedColumnFormula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51D7F7-A056-4B9F-A254-BC10C8DFD165}" name="テーブル178" displayName="テーブル178" ref="A1:G105" headerRowDxfId="215" dataDxfId="214">
  <autoFilter ref="A1:G105" xr:uid="{00000000-0009-0000-0100-000001000000}"/>
  <tableColumns count="7">
    <tableColumn id="1" xr3:uid="{68752F33-5B3F-4E9C-B091-B22CC2989F38}" name="Ctrl" totalsRowLabel="集計" dataDxfId="213" totalsRowDxfId="212"/>
    <tableColumn id="2" xr3:uid="{5167CBDE-CFFA-48FA-949C-7754DEBB5471}" name="Shift" dataDxfId="211" totalsRowDxfId="210"/>
    <tableColumn id="3" xr3:uid="{A2117648-5D51-418A-8399-3A653EB882CF}" name="Alt" dataDxfId="209" totalsRowDxfId="208"/>
    <tableColumn id="4" xr3:uid="{2372578A-8AA5-480D-AA77-FC8F0A78D0EA}" name="Key" dataDxfId="207" totalsRowDxfId="206"/>
    <tableColumn id="5" xr3:uid="{3BE13509-C9C9-46C8-8667-7EAECC678335}" name="機能" dataDxfId="205" totalsRowDxfId="204"/>
    <tableColumn id="7" xr3:uid="{AE1A202E-0809-4E6C-9470-DFFA229D9669}" name="|Ctrl|Shift|Alt|Key|機能|" totalsRowFunction="count" dataDxfId="203" totalsRowDxfId="202" dataCellStyle="標準 2">
      <calculatedColumnFormula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calculatedColumnFormula>
    </tableColumn>
    <tableColumn id="6" xr3:uid="{4FE1A9C3-DE35-4CAE-87CE-F88C1F9C3BF9}" name="列1" dataDxfId="201" totalsRowDxfId="200">
      <calculatedColumnFormula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717FDD-4026-4F7F-936C-BEEC867C938B}" name="テーブル17814" displayName="テーブル17814" ref="A1:C92" headerRowDxfId="199" dataDxfId="198">
  <autoFilter ref="A1:C92" xr:uid="{4CB39E0E-759A-4F48-9321-000A7B6C0DCA}"/>
  <tableColumns count="3">
    <tableColumn id="2" xr3:uid="{3AEEA09D-295D-4DA2-B1DC-7199FAFF0781}" name="Key" dataDxfId="197" totalsRowDxfId="196" dataCellStyle="標準 2"/>
    <tableColumn id="5" xr3:uid="{A76CCD34-8166-44D0-8998-F212D2DFCFFB}" name="機能" dataDxfId="195" totalsRowDxfId="194" dataCellStyle="標準 2"/>
    <tableColumn id="7" xr3:uid="{6F6BD55F-093D-4EEF-8239-C97ACF4A285C}" name="| Key | 機能 |" totalsRowFunction="count" dataDxfId="193" totalsRowDxfId="192" dataCellStyle="標準 2">
      <calculatedColumnFormula>IF(ISBLANK(テーブル17814[[#This Row],[機能]]),"","|"&amp;テーブル17814[[#This Row],[Key]]&amp;"|"&amp;テーブル17814[[#This Row],[機能]]&amp;"|")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D3FDAAC-EA50-4891-82BC-D4E844A5127E}" name="テーブル17815" displayName="テーブル17815" ref="A1:F99" headerRowDxfId="191" dataDxfId="190">
  <autoFilter ref="A1:F99" xr:uid="{00000000-0009-0000-0100-000001000000}"/>
  <tableColumns count="6">
    <tableColumn id="1" xr3:uid="{ABB88C56-03A7-4AE9-BC2E-9C94F6123CED}" name="Ctrl" totalsRowLabel="集計" dataDxfId="189" totalsRowDxfId="188"/>
    <tableColumn id="2" xr3:uid="{54ED05C0-41E5-4D67-AC66-4C672B6FCEE0}" name="Shift" dataDxfId="187" totalsRowDxfId="186"/>
    <tableColumn id="3" xr3:uid="{460AE638-8C55-41C3-AAF9-5CA7AE00D46C}" name="Alt" dataDxfId="185" totalsRowDxfId="184"/>
    <tableColumn id="4" xr3:uid="{4A2D0730-8F61-4FC1-AD20-422CC8C8418A}" name="Key" dataDxfId="183" totalsRowDxfId="182"/>
    <tableColumn id="5" xr3:uid="{52A22859-FCDA-42B4-A9B3-A252BE1722B5}" name="機能" dataDxfId="181" totalsRowDxfId="180"/>
    <tableColumn id="7" xr3:uid="{FA9A7219-28FF-4D03-8D62-50F57A41243F}" name="|Ctrl|Shift|Alt|Key|機能|" totalsRowFunction="count" dataDxfId="179" totalsRowDxfId="178" dataCellStyle="標準 2">
      <calculatedColumnFormula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4C7855A-AE6E-4D1B-95FD-A0F7F70CC417}" name="テーブル1312" displayName="テーブル1312" ref="A1:G80" headerRowDxfId="177" dataDxfId="176">
  <autoFilter ref="A1:G80" xr:uid="{00000000-0009-0000-0100-000002000000}"/>
  <tableColumns count="7">
    <tableColumn id="1" xr3:uid="{3B675F56-1F29-4E78-BDB6-CA41FB9B1F5C}" name="Ctrl" totalsRowLabel="集計" dataDxfId="175" totalsRowDxfId="174"/>
    <tableColumn id="2" xr3:uid="{B7008E7C-6419-42EC-940A-5B6A0748F5B1}" name="Shift" dataDxfId="173" totalsRowDxfId="172"/>
    <tableColumn id="3" xr3:uid="{D10E9664-9EFA-48AC-A609-71DE9D6B26CA}" name="Alt" dataDxfId="171" totalsRowDxfId="170"/>
    <tableColumn id="4" xr3:uid="{04E5B1BB-D2DF-4C83-97E5-127E5BD91A73}" name="Key" dataDxfId="169" totalsRowDxfId="168"/>
    <tableColumn id="5" xr3:uid="{1EE32BB4-F6DB-4221-AFF6-F34183FE5769}" name="機能" dataDxfId="167" totalsRowDxfId="166"/>
    <tableColumn id="7" xr3:uid="{3266105D-4A94-4CBB-8500-927634878533}" name="|Ctrl|Shift|Alt|Key|機能|" totalsRowFunction="count" dataDxfId="165" totalsRowDxfId="164" dataCellStyle="標準 2">
      <calculatedColumnFormula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calculatedColumnFormula>
    </tableColumn>
    <tableColumn id="6" xr3:uid="{D6909347-BC13-4100-95FE-0E48520F1E01}" name="列1" dataDxfId="163" totalsRowDxfId="162">
      <calculatedColumnFormula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E3AAD5-252A-42BC-B735-5702B821C9F5}" name="テーブル17810" displayName="テーブル17810" ref="A1:F40" headerRowDxfId="161" dataDxfId="160">
  <autoFilter ref="A1:F40" xr:uid="{00000000-0009-0000-0100-000001000000}"/>
  <tableColumns count="6">
    <tableColumn id="1" xr3:uid="{AC738BBB-3009-41EE-B57C-C49F293EF770}" name="Ctrl" totalsRowLabel="集計" dataDxfId="159" totalsRowDxfId="158"/>
    <tableColumn id="2" xr3:uid="{0FA728AD-25AD-41FC-AC69-C8FD9D439BB0}" name="Shift" dataDxfId="157"/>
    <tableColumn id="3" xr3:uid="{A5C1728F-F016-41C4-894F-916122C25955}" name="Alt" dataDxfId="156" totalsRowDxfId="155" dataCellStyle="標準 2"/>
    <tableColumn id="4" xr3:uid="{7A760A73-B1FA-44DC-9BF4-F09C9E1325A2}" name="Key" dataDxfId="154" totalsRowDxfId="153"/>
    <tableColumn id="5" xr3:uid="{99F9108C-C22A-4625-A879-60C0A5850F2D}" name="機能" dataDxfId="152" totalsRowDxfId="151"/>
    <tableColumn id="7" xr3:uid="{0F2ABE32-0915-4657-86F2-4FEBDC3CD8A8}" name="|Ctrl|Shift|Alt|Key|機能|" totalsRowFunction="count" dataDxfId="150" totalsRowDxfId="149" dataCellStyle="標準 2">
      <calculatedColumnFormula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テーブル134" displayName="テーブル134" ref="A1:F91" headerRowDxfId="148" dataDxfId="147">
  <autoFilter ref="A1:F91" xr:uid="{00000000-0009-0000-0100-000003000000}"/>
  <tableColumns count="6">
    <tableColumn id="1" xr3:uid="{00000000-0010-0000-0100-000001000000}" name="Ctrl" totalsRowLabel="集計" dataDxfId="146" totalsRowDxfId="145"/>
    <tableColumn id="2" xr3:uid="{00000000-0010-0000-0100-000002000000}" name="Shift" dataDxfId="144" totalsRowDxfId="143"/>
    <tableColumn id="3" xr3:uid="{00000000-0010-0000-0100-000003000000}" name="Alt" dataDxfId="142" totalsRowDxfId="141"/>
    <tableColumn id="4" xr3:uid="{00000000-0010-0000-0100-000004000000}" name="Key" dataDxfId="140" totalsRowDxfId="139"/>
    <tableColumn id="5" xr3:uid="{00000000-0010-0000-0100-000005000000}" name="機能" dataDxfId="138" totalsRowDxfId="137"/>
    <tableColumn id="7" xr3:uid="{00000000-0010-0000-0100-000007000000}" name="|Ctrl|Shift|Alt|Key|機能|" totalsRowFunction="count" dataDxfId="136" totalsRowDxfId="135" dataCellStyle="標準 2">
      <calculatedColumnFormula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テーブル13" displayName="テーブル13" ref="A1:F90" headerRowDxfId="134" dataDxfId="133">
  <autoFilter ref="A1:F90" xr:uid="{00000000-0009-0000-0100-000002000000}"/>
  <tableColumns count="6">
    <tableColumn id="1" xr3:uid="{00000000-0010-0000-0200-000001000000}" name="Ctrl" totalsRowLabel="集計" dataDxfId="132" totalsRowDxfId="131"/>
    <tableColumn id="2" xr3:uid="{00000000-0010-0000-0200-000002000000}" name="Shift" dataDxfId="130" totalsRowDxfId="129"/>
    <tableColumn id="3" xr3:uid="{00000000-0010-0000-0200-000003000000}" name="Alt" dataDxfId="128" totalsRowDxfId="127"/>
    <tableColumn id="4" xr3:uid="{00000000-0010-0000-0200-000004000000}" name="Key" dataDxfId="126" totalsRowDxfId="125"/>
    <tableColumn id="5" xr3:uid="{00000000-0010-0000-0200-000005000000}" name="機能" dataDxfId="124" totalsRowDxfId="123"/>
    <tableColumn id="7" xr3:uid="{00000000-0010-0000-0200-000007000000}" name="|Ctrl|Shift|Alt|Key|機能|" totalsRowFunction="count" dataDxfId="122" totalsRowDxfId="121" dataCellStyle="標準 2">
      <calculatedColumnFormula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テーブル1" displayName="テーブル1" ref="A1:F99" headerRowDxfId="120" dataDxfId="119">
  <autoFilter ref="A1:F99" xr:uid="{00000000-0009-0000-0100-000001000000}"/>
  <tableColumns count="6">
    <tableColumn id="1" xr3:uid="{00000000-0010-0000-0300-000001000000}" name="Ctrl" totalsRowLabel="集計" dataDxfId="118" totalsRowDxfId="117"/>
    <tableColumn id="2" xr3:uid="{00000000-0010-0000-0300-000002000000}" name="Shift" dataDxfId="116" totalsRowDxfId="115"/>
    <tableColumn id="3" xr3:uid="{00000000-0010-0000-0300-000003000000}" name="Alt" dataDxfId="114" totalsRowDxfId="113"/>
    <tableColumn id="4" xr3:uid="{00000000-0010-0000-0300-000004000000}" name="Key" dataDxfId="112" totalsRowDxfId="111"/>
    <tableColumn id="5" xr3:uid="{00000000-0010-0000-0300-000005000000}" name="機能" dataDxfId="110" totalsRowDxfId="109"/>
    <tableColumn id="7" xr3:uid="{00000000-0010-0000-0300-000007000000}" name="|Ctrl|Shift|Alt|Key|機能|" totalsRowFunction="count" dataDxfId="108" totalsRowDxfId="107" dataCellStyle="標準 2">
      <calculatedColumnFormula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テーブル13456" displayName="テーブル13456" ref="A1:F78" headerRowDxfId="106" dataDxfId="105">
  <autoFilter ref="A1:F78" xr:uid="{00000000-0009-0000-0100-000005000000}"/>
  <tableColumns count="6">
    <tableColumn id="1" xr3:uid="{00000000-0010-0000-0400-000001000000}" name="Ctrl" totalsRowLabel="集計" dataDxfId="104" totalsRowDxfId="103"/>
    <tableColumn id="2" xr3:uid="{00000000-0010-0000-0400-000002000000}" name="Shift" dataDxfId="102" totalsRowDxfId="101"/>
    <tableColumn id="8" xr3:uid="{00000000-0010-0000-0400-000008000000}" name="Alt" dataDxfId="100" totalsRowDxfId="99" dataCellStyle="標準 2"/>
    <tableColumn id="4" xr3:uid="{00000000-0010-0000-0400-000004000000}" name="Key" dataDxfId="98" totalsRowDxfId="97"/>
    <tableColumn id="5" xr3:uid="{00000000-0010-0000-0400-000005000000}" name="機能" dataDxfId="96" totalsRowDxfId="95"/>
    <tableColumn id="7" xr3:uid="{00000000-0010-0000-0400-000007000000}" name="|Ctrl|Shift|Alt|Key|機能|" totalsRowFunction="count" dataDxfId="94" totalsRowDxfId="93" dataCellStyle="標準 2">
      <calculatedColumnFormula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961AA9-FFDE-4BB4-AA20-F26900B51FF1}" name="テーブル1713" displayName="テーブル1713" ref="A1:F98" headerRowDxfId="92" dataDxfId="91">
  <autoFilter ref="A1:F98" xr:uid="{00000000-0009-0000-0100-000001000000}"/>
  <tableColumns count="6">
    <tableColumn id="1" xr3:uid="{EBD26CAD-B172-41B3-A529-D3DA04293538}" name="Ctrl" totalsRowLabel="集計" dataDxfId="90" totalsRowDxfId="89"/>
    <tableColumn id="2" xr3:uid="{2FD7451F-B63D-4E98-A795-D79A894B4E94}" name="Shift" dataDxfId="88" totalsRowDxfId="87"/>
    <tableColumn id="3" xr3:uid="{A3D25D4C-366B-4D7B-84D3-B001BC845B0F}" name="Alt" dataDxfId="86" totalsRowDxfId="85"/>
    <tableColumn id="4" xr3:uid="{71ED80D6-715B-4D58-BD43-ABA33B7EA76E}" name="Key" dataDxfId="84" totalsRowDxfId="83"/>
    <tableColumn id="5" xr3:uid="{B8A9CB87-4538-4CB7-97B8-525338E383D6}" name="機能" dataDxfId="82" totalsRowDxfId="81"/>
    <tableColumn id="7" xr3:uid="{06A85E02-878A-446D-B0C0-EDAC09D07E76}" name="|Ctrl|Shift|Alt|Key|機能|" totalsRowFunction="count" dataDxfId="80" totalsRowDxfId="79" dataCellStyle="標準 2">
      <calculatedColumnFormula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162BA7-0E42-48B6-B99F-4D7F769D24F9}" name="テーブル1789" displayName="テーブル1789" ref="A1:F99" headerRowDxfId="78" dataDxfId="77">
  <autoFilter ref="A1:F99" xr:uid="{00000000-0009-0000-0100-000001000000}"/>
  <tableColumns count="6">
    <tableColumn id="1" xr3:uid="{62FA586D-EF03-4D43-A10E-78D2AF735C71}" name="Ctrl" totalsRowLabel="集計" dataDxfId="76" totalsRowDxfId="75"/>
    <tableColumn id="2" xr3:uid="{C5A7C3F6-4F42-4530-8FD3-1990CF3F9124}" name="Shift" dataDxfId="74" totalsRowDxfId="73"/>
    <tableColumn id="3" xr3:uid="{A05CE0D9-140D-45A0-888F-253BF948A770}" name="Alt" dataDxfId="72" totalsRowDxfId="71"/>
    <tableColumn id="4" xr3:uid="{7DA7D284-C06D-4102-9404-5695C13F122B}" name="Key" dataDxfId="70" totalsRowDxfId="69"/>
    <tableColumn id="5" xr3:uid="{3D010DA0-57B1-4C00-9C5F-DCCF15D9FD17}" name="機能" dataDxfId="68" totalsRowDxfId="67"/>
    <tableColumn id="7" xr3:uid="{E74BE0E9-7F88-484C-9AEE-D35FA3AED34A}" name="|Ctrl|Shift|Alt|Key|機能|" totalsRowFunction="count" dataDxfId="66" totalsRowDxfId="65" dataCellStyle="標準 2">
      <calculatedColumnFormula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EF7B9C-FAC1-42B1-BC95-AF668093141D}" name="テーブル1781011" displayName="テーブル1781011" ref="A1:F88" headerRowDxfId="64" dataDxfId="63">
  <autoFilter ref="A1:F88" xr:uid="{00000000-0009-0000-0100-000001000000}"/>
  <tableColumns count="6">
    <tableColumn id="1" xr3:uid="{10591B97-DA49-4E0D-BF23-0888174E098F}" name="Ctrl" totalsRowLabel="集計" dataDxfId="62" totalsRowDxfId="61"/>
    <tableColumn id="2" xr3:uid="{EDA168A4-45CB-47AC-9F73-DAC9B98B27C9}" name="Shift" dataDxfId="60"/>
    <tableColumn id="3" xr3:uid="{3CB7FF1C-24DD-4B0B-8123-C85716EAD21F}" name="Alt" dataDxfId="59" totalsRowDxfId="58" dataCellStyle="標準 2"/>
    <tableColumn id="4" xr3:uid="{8AEA5FCE-4FCC-42AA-A7BC-DD61C011D20F}" name="Key" dataDxfId="57" totalsRowDxfId="56"/>
    <tableColumn id="5" xr3:uid="{1A91CD22-6C43-43F8-AD49-13837BC29411}" name="機能" dataDxfId="55" totalsRowDxfId="54"/>
    <tableColumn id="7" xr3:uid="{B88C40F9-0361-4D7D-B3EE-F9FB5D80EF07}" name="|Ctrl|Shift|Alt|Key|機能|" totalsRowFunction="count" dataDxfId="53" totalsRowDxfId="52" dataCellStyle="標準 2">
      <calculatedColumnFormula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3B06C47-0783-4864-BFA7-B306B0811F6A}" name="テーブル178101117" displayName="テーブル178101117" ref="A1:F77" headerRowDxfId="51" dataDxfId="50">
  <autoFilter ref="A1:F77" xr:uid="{00000000-0009-0000-0100-000001000000}"/>
  <tableColumns count="6">
    <tableColumn id="1" xr3:uid="{7074AF62-75A2-46EA-8E94-9E786E84646D}" name="Ctrl" totalsRowLabel="集計" dataDxfId="49" totalsRowDxfId="48"/>
    <tableColumn id="2" xr3:uid="{F02671C4-0209-4380-B7DA-CF9B477E89B2}" name="Shift" dataDxfId="47"/>
    <tableColumn id="3" xr3:uid="{9B58AEF7-1D72-4FEE-A42F-93F443378C06}" name="Alt" dataDxfId="46" totalsRowDxfId="45" dataCellStyle="標準 2"/>
    <tableColumn id="4" xr3:uid="{D6259F1A-DA1E-493E-8B9D-E5E7A7F4A237}" name="Key" dataDxfId="44" totalsRowDxfId="43"/>
    <tableColumn id="5" xr3:uid="{845EF0DA-8876-435D-B447-45D9FDE96CB8}" name="機能" dataDxfId="42" totalsRowDxfId="41"/>
    <tableColumn id="7" xr3:uid="{73F62DE7-8594-4C51-868E-0808EC9462FA}" name="|Ctrl|Shift|Alt|Key|機能|" totalsRowFunction="count" dataDxfId="40" totalsRowDxfId="39" dataCellStyle="標準 2">
      <calculatedColumnFormula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4261FB-9C64-448C-9F25-19EE6AB0F0AD}" name="テーブル17810111718" displayName="テーブル17810111718" ref="A1:F87" headerRowDxfId="38" dataDxfId="37">
  <autoFilter ref="A1:F87" xr:uid="{00000000-0009-0000-0100-000001000000}"/>
  <tableColumns count="6">
    <tableColumn id="1" xr3:uid="{162A6882-854C-4B36-BAC7-6242ED6FC9CA}" name="Ctrl" totalsRowLabel="集計" dataDxfId="36" totalsRowDxfId="35"/>
    <tableColumn id="2" xr3:uid="{5A1827CA-FA25-42CF-8A80-A75C4BC329D4}" name="Shift" dataDxfId="34"/>
    <tableColumn id="3" xr3:uid="{DE18CCD6-FA82-4E00-AAC1-C76845B9238E}" name="Alt" dataDxfId="33" totalsRowDxfId="32" dataCellStyle="標準 2"/>
    <tableColumn id="4" xr3:uid="{0B51BB38-9C41-4F58-9BE6-6B40D4186466}" name="Key" dataDxfId="31" totalsRowDxfId="30"/>
    <tableColumn id="5" xr3:uid="{25751899-D56F-4317-B3BB-BE7B6603B360}" name="機能" dataDxfId="29" totalsRowDxfId="28"/>
    <tableColumn id="7" xr3:uid="{CC47A67F-93F0-47FE-ACDE-5B7D47EE09A3}" name="|Ctrl|Shift|Alt|Key|機能|" totalsRowFunction="count" dataDxfId="27" totalsRowDxfId="26" dataCellStyle="標準 2">
      <calculatedColumnFormula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618182-08FB-4942-8D51-0628E2D5519E}" name="テーブル1781011171819" displayName="テーブル1781011171819" ref="A1:F87" headerRowDxfId="25" dataDxfId="24">
  <autoFilter ref="A1:F87" xr:uid="{00000000-0009-0000-0100-000001000000}"/>
  <tableColumns count="6">
    <tableColumn id="1" xr3:uid="{1EC370EB-2CCF-471A-A9F1-8BFE3434C0C3}" name="Ctrl" totalsRowLabel="集計" dataDxfId="23" totalsRowDxfId="22"/>
    <tableColumn id="2" xr3:uid="{5C210C7B-C356-412C-AC20-253C981D7907}" name="Shift" dataDxfId="21"/>
    <tableColumn id="3" xr3:uid="{F351B8B0-0AF7-4680-B5A4-8F602D63915D}" name="Alt" dataDxfId="20" totalsRowDxfId="19" dataCellStyle="標準 2"/>
    <tableColumn id="4" xr3:uid="{53558A0C-5166-4CAA-B9DD-A3B5CCA169BC}" name="Key" dataDxfId="18" totalsRowDxfId="17"/>
    <tableColumn id="5" xr3:uid="{51E10D32-57E4-430D-8B5D-A54EA2FD9B5A}" name="機能" dataDxfId="16" totalsRowDxfId="15"/>
    <tableColumn id="7" xr3:uid="{2753E847-69A8-4872-9DF2-860498E8FBE6}" name="|Ctrl|Shift|Alt|Key|機能|" totalsRowFunction="count" dataDxfId="14" totalsRowDxfId="13" dataCellStyle="標準 2">
      <calculatedColumnFormula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9A7D7A0-5CE2-4C8B-8A28-2BC6EC549635}" name="テーブル178101120" displayName="テーブル178101120" ref="A1:F55" headerRowDxfId="12" dataDxfId="11">
  <autoFilter ref="A1:F55" xr:uid="{00000000-0009-0000-0100-000001000000}"/>
  <tableColumns count="6">
    <tableColumn id="1" xr3:uid="{3830EEBC-154F-40A3-B087-489BFED09380}" name="Ctrl" totalsRowLabel="集計" dataDxfId="9" totalsRowDxfId="10"/>
    <tableColumn id="2" xr3:uid="{386AD76C-8DA4-43AD-9458-18CB394569D0}" name="Shift" dataDxfId="8"/>
    <tableColumn id="3" xr3:uid="{B6E05D92-73F3-4E46-9C40-142C172FFE6F}" name="Alt" dataDxfId="6" totalsRowDxfId="7" dataCellStyle="標準 2"/>
    <tableColumn id="4" xr3:uid="{001E3703-0DA4-4C1D-A14B-1A71D7D7575B}" name="Key" dataDxfId="4" totalsRowDxfId="5"/>
    <tableColumn id="5" xr3:uid="{799D3E19-1032-43A9-987E-28F24FD884E4}" name="機能" dataDxfId="2" totalsRowDxfId="3"/>
    <tableColumn id="7" xr3:uid="{55CDEF9E-B358-4E6D-8007-E8A0016CA0FA}" name="|Ctrl|Shift|Alt|Key|機能|" totalsRowFunction="count" dataDxfId="0" totalsRowDxfId="1" dataCellStyle="標準 2">
      <calculatedColumnFormula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s://manual.winmerge.org/jp/Shortcut_keys.html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72C0-C30D-4773-AFF4-0650E4CFD78F}">
  <sheetPr codeName="Sheet31">
    <tabColor theme="5" tint="0.79998168889431442"/>
    <outlinePr summaryBelow="0" summaryRight="0"/>
  </sheetPr>
  <dimension ref="B2:F15"/>
  <sheetViews>
    <sheetView showGridLines="0" view="pageBreakPreview" zoomScaleNormal="100" zoomScaleSheetLayoutView="100" workbookViewId="0"/>
  </sheetViews>
  <sheetFormatPr defaultColWidth="3.625" defaultRowHeight="11.25"/>
  <cols>
    <col min="1" max="16384" width="3.625" style="59"/>
  </cols>
  <sheetData>
    <row r="2" spans="2:6" s="60" customFormat="1" ht="14.25">
      <c r="B2" s="60" t="s">
        <v>1746</v>
      </c>
    </row>
    <row r="4" spans="2:6">
      <c r="C4" s="59" t="s">
        <v>1749</v>
      </c>
    </row>
    <row r="6" spans="2:6">
      <c r="C6" s="59" t="s">
        <v>1755</v>
      </c>
    </row>
    <row r="7" spans="2:6">
      <c r="D7" s="59" t="s">
        <v>1748</v>
      </c>
    </row>
    <row r="8" spans="2:6">
      <c r="E8" s="59" t="s">
        <v>1756</v>
      </c>
    </row>
    <row r="9" spans="2:6">
      <c r="E9" s="59" t="s">
        <v>1752</v>
      </c>
    </row>
    <row r="10" spans="2:6">
      <c r="F10" s="59" t="s">
        <v>1754</v>
      </c>
    </row>
    <row r="11" spans="2:6">
      <c r="D11" s="59" t="s">
        <v>1747</v>
      </c>
    </row>
    <row r="12" spans="2:6">
      <c r="E12" s="59" t="s">
        <v>1753</v>
      </c>
    </row>
    <row r="13" spans="2:6">
      <c r="E13" s="59" t="s">
        <v>1752</v>
      </c>
    </row>
    <row r="14" spans="2:6">
      <c r="F14" s="59" t="s">
        <v>1751</v>
      </c>
    </row>
    <row r="15" spans="2:6">
      <c r="F15" s="59" t="s">
        <v>1750</v>
      </c>
    </row>
  </sheetData>
  <phoneticPr fontId="4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0.79998168889431442"/>
  </sheetPr>
  <dimension ref="A1:G87"/>
  <sheetViews>
    <sheetView workbookViewId="0">
      <selection activeCell="F66" sqref="F66"/>
    </sheetView>
  </sheetViews>
  <sheetFormatPr defaultColWidth="2" defaultRowHeight="11.25" customHeight="1"/>
  <cols>
    <col min="1" max="3" width="6.625" style="1" customWidth="1"/>
    <col min="4" max="4" width="6.625" style="2" customWidth="1"/>
    <col min="5" max="5" width="29.75" style="2" bestFit="1" customWidth="1"/>
    <col min="6" max="6" width="50.25" style="3" bestFit="1" customWidth="1"/>
    <col min="7" max="7" width="83.5" style="3" bestFit="1" customWidth="1"/>
    <col min="8" max="16384" width="2" style="3"/>
  </cols>
  <sheetData>
    <row r="1" spans="1:7" ht="11.25" customHeight="1">
      <c r="A1" s="1" t="s">
        <v>0</v>
      </c>
      <c r="B1" s="1" t="s">
        <v>1</v>
      </c>
      <c r="C1" s="1" t="s">
        <v>2</v>
      </c>
      <c r="D1" s="1" t="s">
        <v>98</v>
      </c>
      <c r="E1" s="2" t="s">
        <v>96</v>
      </c>
      <c r="F1" s="2" t="s">
        <v>3</v>
      </c>
      <c r="G1" s="3" t="s">
        <v>194</v>
      </c>
    </row>
    <row r="2" spans="1:7" ht="1.9" customHeight="1">
      <c r="A2" s="4" t="s">
        <v>4</v>
      </c>
      <c r="B2" s="4" t="s">
        <v>4</v>
      </c>
      <c r="C2" s="4" t="s">
        <v>4</v>
      </c>
      <c r="D2" s="4" t="s">
        <v>4</v>
      </c>
      <c r="E2" s="5" t="s">
        <v>4</v>
      </c>
      <c r="F2" s="5" t="s">
        <v>4</v>
      </c>
      <c r="G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|:---|:---|:---|:---|:---|:---|</v>
      </c>
    </row>
    <row r="3" spans="1:7" ht="11.25" customHeight="1">
      <c r="A3" s="1" t="s">
        <v>0</v>
      </c>
      <c r="D3" s="1"/>
      <c r="E3" s="2" t="s">
        <v>115</v>
      </c>
      <c r="F3" s="2" t="s">
        <v>116</v>
      </c>
      <c r="G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|Ctrl||||E|検索バーを開く|</v>
      </c>
    </row>
    <row r="4" spans="1:7" ht="11.25" customHeight="1">
      <c r="A4" s="1" t="s">
        <v>0</v>
      </c>
      <c r="D4" s="1"/>
      <c r="E4" s="2" t="s">
        <v>49</v>
      </c>
      <c r="F4" s="2" t="s">
        <v>117</v>
      </c>
      <c r="G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|Ctrl||||F|検索ユーティリティを開始する|</v>
      </c>
    </row>
    <row r="5" spans="1:7" ht="11.25" customHeight="1">
      <c r="A5" s="1" t="s">
        <v>0</v>
      </c>
      <c r="D5" s="1"/>
      <c r="E5" s="2" t="s">
        <v>99</v>
      </c>
      <c r="F5" s="2" t="s">
        <v>118</v>
      </c>
      <c r="G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|Ctrl||||H|履歴バーを開く|</v>
      </c>
    </row>
    <row r="6" spans="1:7" ht="11.25" customHeight="1">
      <c r="A6" s="1" t="s">
        <v>0</v>
      </c>
      <c r="D6" s="1"/>
      <c r="E6" s="2" t="s">
        <v>119</v>
      </c>
      <c r="F6" s="2" t="s">
        <v>120</v>
      </c>
      <c r="G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|Ctrl||||I|お気に入りバーを開く|</v>
      </c>
    </row>
    <row r="7" spans="1:7" ht="11.25" customHeight="1">
      <c r="A7" s="1" t="s">
        <v>0</v>
      </c>
      <c r="D7" s="1"/>
      <c r="E7" s="2" t="s">
        <v>121</v>
      </c>
      <c r="F7" s="2" t="s">
        <v>122</v>
      </c>
      <c r="G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|Ctrl||||L|[ファイルを開く]ダイアログボックスを開く|</v>
      </c>
    </row>
    <row r="8" spans="1:7" ht="11.25" customHeight="1">
      <c r="A8" s="1" t="s">
        <v>0</v>
      </c>
      <c r="D8" s="1"/>
      <c r="E8" s="2" t="s">
        <v>50</v>
      </c>
      <c r="F8" s="2" t="s">
        <v>123</v>
      </c>
      <c r="G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|Ctrl||||N|同じWebアドレスで別のブラウザのインスタンスを開く|</v>
      </c>
    </row>
    <row r="9" spans="1:7" ht="11.25" customHeight="1">
      <c r="A9" s="1" t="s">
        <v>0</v>
      </c>
      <c r="D9" s="1"/>
      <c r="E9" s="2" t="s">
        <v>124</v>
      </c>
      <c r="F9" s="2" t="s">
        <v>125</v>
      </c>
      <c r="G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|Ctrl||||O|[ファイルを開く]ダイアログボックスを開く。CtrlLキーと同じ|</v>
      </c>
    </row>
    <row r="10" spans="1:7" ht="11.25" customHeight="1">
      <c r="A10" s="1" t="s">
        <v>0</v>
      </c>
      <c r="D10" s="1"/>
      <c r="E10" s="2" t="s">
        <v>124</v>
      </c>
      <c r="F10" s="2" t="s">
        <v>126</v>
      </c>
      <c r="G1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|Ctrl||||O|[印刷]ダイアログボックスを開く|</v>
      </c>
    </row>
    <row r="11" spans="1:7" ht="11.25" customHeight="1">
      <c r="A11" s="1" t="s">
        <v>0</v>
      </c>
      <c r="D11" s="1"/>
      <c r="E11" s="2" t="s">
        <v>48</v>
      </c>
      <c r="F11" s="2" t="s">
        <v>127</v>
      </c>
      <c r="G1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|Ctrl||||R|現在のWebページを更新する|</v>
      </c>
    </row>
    <row r="12" spans="1:7" ht="11.25" customHeight="1">
      <c r="A12" s="1" t="s">
        <v>0</v>
      </c>
      <c r="D12" s="1"/>
      <c r="E12" s="2" t="s">
        <v>128</v>
      </c>
      <c r="F12" s="2" t="s">
        <v>129</v>
      </c>
      <c r="G1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|Ctrl||||W|現在のウィンドウを閉じる|</v>
      </c>
    </row>
    <row r="13" spans="1:7" ht="11.25" customHeight="1">
      <c r="A13" s="1" t="s">
        <v>0</v>
      </c>
      <c r="D13" s="1"/>
      <c r="E13" s="2" t="s">
        <v>130</v>
      </c>
      <c r="F13" s="2" t="s">
        <v>131</v>
      </c>
      <c r="G1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|Ctrl||||F4キー|複数の文書を同時に開くことができるプログラムで、作業中の文書を閉じる|</v>
      </c>
    </row>
    <row r="14" spans="1:7" ht="11.25" customHeight="1">
      <c r="A14" s="1" t="s">
        <v>0</v>
      </c>
      <c r="D14" s="1"/>
      <c r="E14" s="2" t="s">
        <v>132</v>
      </c>
      <c r="F14" s="2" t="s">
        <v>133</v>
      </c>
      <c r="G1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|Ctrl||||項目をドラッグする|ファイルをコピーする|</v>
      </c>
    </row>
    <row r="15" spans="1:7" ht="11.25" customHeight="1">
      <c r="A15" s="1" t="s">
        <v>0</v>
      </c>
      <c r="D15" s="1"/>
      <c r="E15" s="2" t="s">
        <v>134</v>
      </c>
      <c r="F15" s="2" t="s">
        <v>135</v>
      </c>
      <c r="G1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|Ctrl||||Esc|[スタート]メニューを表示する|</v>
      </c>
    </row>
    <row r="16" spans="1:7" ht="11.25" customHeight="1">
      <c r="A16" s="1" t="s">
        <v>0</v>
      </c>
      <c r="B16" s="1" t="s">
        <v>1</v>
      </c>
      <c r="D16" s="1"/>
      <c r="E16" s="2" t="s">
        <v>136</v>
      </c>
      <c r="F16" s="2" t="s">
        <v>137</v>
      </c>
      <c r="G1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|Ctrl|Shift|||方向キー|テキストブロックを強調表示する|</v>
      </c>
    </row>
    <row r="17" spans="1:7" ht="11.25" customHeight="1">
      <c r="A17" s="1" t="s">
        <v>0</v>
      </c>
      <c r="B17" s="1" t="s">
        <v>1</v>
      </c>
      <c r="D17" s="1"/>
      <c r="E17" s="2" t="s">
        <v>132</v>
      </c>
      <c r="F17" s="2" t="s">
        <v>138</v>
      </c>
      <c r="G1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|Ctrl|Shift|||項目をドラッグする|選択した項目へのショートカットを作成する|</v>
      </c>
    </row>
    <row r="18" spans="1:7" ht="11.25" customHeight="1">
      <c r="B18" s="1" t="s">
        <v>1</v>
      </c>
      <c r="D18" s="1"/>
      <c r="E18" s="2" t="s">
        <v>139</v>
      </c>
      <c r="F18" s="2" t="s">
        <v>140</v>
      </c>
      <c r="G1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||Shift|||Del|選択した項目を、ごみ箱に移動せずに完全に削除する|</v>
      </c>
    </row>
    <row r="19" spans="1:7" ht="11.25" customHeight="1">
      <c r="B19" s="1" t="s">
        <v>1</v>
      </c>
      <c r="D19" s="1"/>
      <c r="E19" s="2" t="s">
        <v>141</v>
      </c>
      <c r="F19" s="2" t="s">
        <v>142</v>
      </c>
      <c r="G1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||Shift|||F10|選択した項目のショートカットメニューを表示する|</v>
      </c>
    </row>
    <row r="20" spans="1:7" ht="11.25" customHeight="1">
      <c r="C20" s="1" t="s">
        <v>2</v>
      </c>
      <c r="D20" s="1"/>
      <c r="E20" s="2" t="s">
        <v>143</v>
      </c>
      <c r="F20" s="2" t="s">
        <v>144</v>
      </c>
      <c r="G2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|||Alt||Enter|選択した項目のプロパティを表示する|</v>
      </c>
    </row>
    <row r="21" spans="1:7" ht="11.25" customHeight="1">
      <c r="C21" s="1" t="s">
        <v>2</v>
      </c>
      <c r="D21" s="1"/>
      <c r="E21" s="2" t="s">
        <v>145</v>
      </c>
      <c r="F21" s="2" t="s">
        <v>146</v>
      </c>
      <c r="G2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|||Alt||Space|作業中のウィンドウのショートカットメニューを開く|</v>
      </c>
    </row>
    <row r="22" spans="1:7" ht="11.25" customHeight="1">
      <c r="C22" s="1" t="s">
        <v>2</v>
      </c>
      <c r="D22" s="1"/>
      <c r="E22" s="2" t="s">
        <v>52</v>
      </c>
      <c r="F22" s="2" t="s">
        <v>147</v>
      </c>
      <c r="G2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|||Alt||Tab|開いている項目を切り替える|</v>
      </c>
    </row>
    <row r="23" spans="1:7" ht="11.25" customHeight="1">
      <c r="C23" s="1" t="s">
        <v>2</v>
      </c>
      <c r="D23" s="1"/>
      <c r="E23" s="2" t="s">
        <v>134</v>
      </c>
      <c r="F23" s="2" t="s">
        <v>148</v>
      </c>
      <c r="G2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|||Alt||Esc|項目を開いた順に切り替える|</v>
      </c>
    </row>
    <row r="24" spans="1:7" ht="11.25" customHeight="1">
      <c r="C24" s="1" t="s">
        <v>2</v>
      </c>
      <c r="D24" s="1"/>
      <c r="E24" s="2" t="s">
        <v>145</v>
      </c>
      <c r="F24" s="2" t="s">
        <v>149</v>
      </c>
      <c r="G2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|||Alt||Space|作業中のウィンドウのシステムメニューを開く|</v>
      </c>
    </row>
    <row r="25" spans="1:7" ht="11.25" customHeight="1">
      <c r="C25" s="1" t="s">
        <v>2</v>
      </c>
      <c r="D25" s="1"/>
      <c r="E25" s="2" t="s">
        <v>150</v>
      </c>
      <c r="F25" s="2" t="s">
        <v>151</v>
      </c>
      <c r="G2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|||Alt||F4|使用中の項目を閉じる、または作業中のプログラムを終了する|</v>
      </c>
    </row>
    <row r="26" spans="1:7" ht="11.25" customHeight="1">
      <c r="C26" s="1" t="s">
        <v>2</v>
      </c>
      <c r="D26" s="1"/>
      <c r="E26" s="2" t="s">
        <v>152</v>
      </c>
      <c r="F26" s="2" t="s">
        <v>153</v>
      </c>
      <c r="G2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|||Alt||メニュー内の下線付きの文字キー|対応するメニューを表示する|</v>
      </c>
    </row>
    <row r="27" spans="1:7" ht="11.25" customHeight="1">
      <c r="D27" s="1"/>
      <c r="E27" s="2" t="s">
        <v>154</v>
      </c>
      <c r="F27" s="2" t="s">
        <v>155</v>
      </c>
      <c r="G2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|||||F2|選択した項目の名前を変更する|</v>
      </c>
    </row>
    <row r="28" spans="1:7" ht="11.25" customHeight="1">
      <c r="D28" s="1"/>
      <c r="E28" s="2" t="s">
        <v>156</v>
      </c>
      <c r="F28" s="2" t="s">
        <v>157</v>
      </c>
      <c r="G2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|||||F3|ファイルまたはフォルダを検索する|</v>
      </c>
    </row>
    <row r="29" spans="1:7" ht="11.25" customHeight="1">
      <c r="D29" s="1"/>
      <c r="E29" s="2" t="s">
        <v>150</v>
      </c>
      <c r="F29" s="2" t="s">
        <v>158</v>
      </c>
      <c r="G2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|||||F4|マイコンピュータまたはエクスプローラでアドレスバーの一覧を表示する|</v>
      </c>
    </row>
    <row r="30" spans="1:7" ht="11.25" customHeight="1">
      <c r="D30" s="1"/>
      <c r="E30" s="2" t="s">
        <v>159</v>
      </c>
      <c r="F30" s="2" t="s">
        <v>160</v>
      </c>
      <c r="G3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|||||F5|作業中のウィンドウを更新する|</v>
      </c>
    </row>
    <row r="31" spans="1:7" ht="11.25" customHeight="1">
      <c r="D31" s="1"/>
      <c r="E31" s="2" t="s">
        <v>53</v>
      </c>
      <c r="F31" s="2" t="s">
        <v>161</v>
      </c>
      <c r="G3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|||||F6|ウィンドウ内またはデスクトップ上の画面要素を切り替える|</v>
      </c>
    </row>
    <row r="32" spans="1:7" ht="11.25" customHeight="1">
      <c r="D32" s="1"/>
      <c r="E32" s="2" t="s">
        <v>141</v>
      </c>
      <c r="F32" s="2" t="s">
        <v>162</v>
      </c>
      <c r="G3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|||||F10|作業中のプログラムのメニューバーをアクティブにする|</v>
      </c>
    </row>
    <row r="33" spans="1:7" ht="11.25" customHeight="1">
      <c r="D33" s="1"/>
      <c r="E33" s="2" t="s">
        <v>95</v>
      </c>
      <c r="F33" s="2" t="s">
        <v>172</v>
      </c>
      <c r="G3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|||||Left/Right|左/右側のメニューを開く、またはサブメニューを開く|</v>
      </c>
    </row>
    <row r="34" spans="1:7" ht="11.25" customHeight="1">
      <c r="D34" s="1"/>
      <c r="E34" s="2" t="s">
        <v>163</v>
      </c>
      <c r="F34" s="2" t="s">
        <v>164</v>
      </c>
      <c r="G3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|||||BackSpace|マイコンピュータまたはエクスプローラで1階層上のフォルダを表示する|</v>
      </c>
    </row>
    <row r="35" spans="1:7" ht="11.25" customHeight="1">
      <c r="D35" s="1" t="s">
        <v>97</v>
      </c>
      <c r="E35" s="2" t="s">
        <v>165</v>
      </c>
      <c r="F35" s="2" t="s">
        <v>166</v>
      </c>
      <c r="G3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||||Win|Pause|システムのプロパティを表示|</v>
      </c>
    </row>
    <row r="36" spans="1:7" ht="11.25" customHeight="1">
      <c r="D36" s="1" t="s">
        <v>97</v>
      </c>
      <c r="E36" s="2" t="s">
        <v>49</v>
      </c>
      <c r="F36" s="2" t="s">
        <v>167</v>
      </c>
      <c r="G3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||||Win|F|検索ウィンドウを表示|</v>
      </c>
    </row>
    <row r="37" spans="1:7" ht="11.25" customHeight="1">
      <c r="A37" s="1" t="s">
        <v>0</v>
      </c>
      <c r="D37" s="1" t="s">
        <v>97</v>
      </c>
      <c r="E37" s="2" t="s">
        <v>168</v>
      </c>
      <c r="F37" s="2" t="s">
        <v>169</v>
      </c>
      <c r="G3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|Ctrl|||Win|D|【仮想デスクトップ】新規デスクトップ作成|</v>
      </c>
    </row>
    <row r="38" spans="1:7" ht="11.25" customHeight="1">
      <c r="A38" s="1" t="s">
        <v>0</v>
      </c>
      <c r="D38" s="1" t="s">
        <v>97</v>
      </c>
      <c r="E38" s="2" t="s">
        <v>95</v>
      </c>
      <c r="F38" s="2" t="s">
        <v>171</v>
      </c>
      <c r="G3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|Ctrl|||Win|Left/Right|【仮想デスクトップ】デスクトップに移動 前/次|</v>
      </c>
    </row>
    <row r="39" spans="1:7" ht="11.25" customHeight="1">
      <c r="D39" s="1" t="s">
        <v>97</v>
      </c>
      <c r="E39" s="2" t="s">
        <v>55</v>
      </c>
      <c r="F39" s="2" t="s">
        <v>170</v>
      </c>
      <c r="G3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||||Win|Tab|【仮想デスクトップ】タスクビュー表示|</v>
      </c>
    </row>
    <row r="40" spans="1:7" ht="11.25" customHeight="1">
      <c r="D40" s="1" t="s">
        <v>97</v>
      </c>
      <c r="E40" s="2" t="s">
        <v>102</v>
      </c>
      <c r="F40" s="2" t="s">
        <v>100</v>
      </c>
      <c r="G4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||||Win|h|表示 共有チャーム|</v>
      </c>
    </row>
    <row r="41" spans="1:7" ht="11.25" customHeight="1">
      <c r="D41" s="1" t="s">
        <v>97</v>
      </c>
      <c r="E41" s="2" t="s">
        <v>101</v>
      </c>
      <c r="F41" s="2" t="s">
        <v>108</v>
      </c>
      <c r="G4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||||Win|b|通知領域（タスクトレイ）へフォーカス|</v>
      </c>
    </row>
    <row r="42" spans="1:7" ht="11.25" customHeight="1">
      <c r="D42" s="1" t="s">
        <v>97</v>
      </c>
      <c r="E42" s="2" t="s">
        <v>103</v>
      </c>
      <c r="F42" s="2" t="s">
        <v>107</v>
      </c>
      <c r="G4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||||Win|t|タスクバー 巡回|</v>
      </c>
    </row>
    <row r="43" spans="1:7" ht="11.25" customHeight="1">
      <c r="D43" s="1" t="s">
        <v>97</v>
      </c>
      <c r="E43" s="2" t="s">
        <v>104</v>
      </c>
      <c r="F43" s="2" t="s">
        <v>106</v>
      </c>
      <c r="G4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||||Win|x|表示 アドバンスドメニュー(スタートメニューの右クリックメニュー)|</v>
      </c>
    </row>
    <row r="44" spans="1:7" ht="11.25" customHeight="1">
      <c r="D44" s="1" t="s">
        <v>97</v>
      </c>
      <c r="E44" s="2" t="s">
        <v>109</v>
      </c>
      <c r="F44" s="2" t="s">
        <v>105</v>
      </c>
      <c r="G4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||||Win|z|表示 アプリのコマンドバー|</v>
      </c>
    </row>
    <row r="45" spans="1:7" ht="11.25" customHeight="1">
      <c r="D45" s="1" t="s">
        <v>97</v>
      </c>
      <c r="E45" s="2" t="s">
        <v>90</v>
      </c>
      <c r="F45" s="2" t="s">
        <v>111</v>
      </c>
      <c r="G4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||||Win|d|表示 デスクトップ|</v>
      </c>
    </row>
    <row r="46" spans="1:7" ht="11.25" customHeight="1">
      <c r="D46" s="1" t="s">
        <v>97</v>
      </c>
      <c r="E46" s="6" t="s">
        <v>112</v>
      </c>
      <c r="F46" s="2" t="s">
        <v>110</v>
      </c>
      <c r="G4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||||Win|,|表示 デスクトップ(一時的)|</v>
      </c>
    </row>
    <row r="47" spans="1:7" ht="11.25" customHeight="1">
      <c r="D47" s="1" t="s">
        <v>97</v>
      </c>
      <c r="E47" s="6" t="s">
        <v>1573</v>
      </c>
      <c r="F47" s="2" t="s">
        <v>1809</v>
      </c>
      <c r="G4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||||Win|.|絵文字入力|</v>
      </c>
    </row>
    <row r="48" spans="1:7" ht="11.25" customHeight="1">
      <c r="D48" s="1" t="s">
        <v>97</v>
      </c>
      <c r="E48" s="2" t="s">
        <v>113</v>
      </c>
      <c r="F48" s="2" t="s">
        <v>114</v>
      </c>
      <c r="G4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||||Win|PrtSc|スクリーンショット保存 to \\Pictures\\Screenshots|</v>
      </c>
    </row>
    <row r="49" spans="3:7" ht="11.25" customHeight="1">
      <c r="C49" s="1" t="s">
        <v>2</v>
      </c>
      <c r="D49" s="1" t="s">
        <v>97</v>
      </c>
      <c r="E49" s="2" t="s">
        <v>1807</v>
      </c>
      <c r="F49" s="2" t="s">
        <v>1808</v>
      </c>
      <c r="G4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|||Alt|Win|D|カレンダー表示|</v>
      </c>
    </row>
    <row r="50" spans="3:7" ht="11.25" customHeight="1">
      <c r="C50" s="1" t="s">
        <v>2</v>
      </c>
      <c r="D50" s="1"/>
      <c r="E50" s="2" t="s">
        <v>1708</v>
      </c>
      <c r="F50" s="2" t="s">
        <v>1709</v>
      </c>
      <c r="G5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>|||Alt||F8|[パスワード表示](https://www.itmedia.co.jp/news/spv/2301/20/news129_2.html)|</v>
      </c>
    </row>
    <row r="51" spans="3:7" ht="11.25" customHeight="1">
      <c r="D51" s="1"/>
      <c r="F51" s="2"/>
      <c r="G5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2" spans="3:7" ht="11.25" customHeight="1">
      <c r="D52" s="1"/>
      <c r="F52" s="2"/>
      <c r="G5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3" spans="3:7" ht="11.25" customHeight="1">
      <c r="D53" s="1"/>
      <c r="F53" s="2"/>
      <c r="G5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4" spans="3:7" ht="11.25" customHeight="1">
      <c r="D54" s="1"/>
      <c r="F54" s="2"/>
      <c r="G5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5" spans="3:7" ht="11.25" customHeight="1">
      <c r="D55" s="1"/>
      <c r="F55" s="2"/>
      <c r="G5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6" spans="3:7" ht="11.25" customHeight="1">
      <c r="D56" s="1"/>
      <c r="F56" s="2"/>
      <c r="G5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7" spans="3:7" ht="11.25" customHeight="1">
      <c r="D57" s="1"/>
      <c r="F57" s="2"/>
      <c r="G5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8" spans="3:7" ht="11.25" customHeight="1">
      <c r="D58" s="1"/>
      <c r="F58" s="2"/>
      <c r="G5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59" spans="3:7" ht="11.25" customHeight="1">
      <c r="D59" s="1"/>
      <c r="F59" s="2"/>
      <c r="G5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0" spans="3:7" ht="11.25" customHeight="1">
      <c r="D60" s="1"/>
      <c r="F60" s="2"/>
      <c r="G6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1" spans="3:7" ht="11.25" customHeight="1">
      <c r="D61" s="1"/>
      <c r="F61" s="2"/>
      <c r="G6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2" spans="3:7" ht="11.25" customHeight="1">
      <c r="D62" s="1"/>
      <c r="F62" s="2"/>
      <c r="G6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3" spans="3:7" ht="11.25" customHeight="1">
      <c r="D63" s="1"/>
      <c r="F63" s="2"/>
      <c r="G6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4" spans="3:7" ht="11.25" customHeight="1">
      <c r="D64" s="1"/>
      <c r="F64" s="2"/>
      <c r="G6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5" spans="4:7" ht="11.25" customHeight="1">
      <c r="D65" s="1"/>
      <c r="F65" s="2"/>
      <c r="G6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6" spans="4:7" ht="11.25" customHeight="1">
      <c r="D66" s="1"/>
      <c r="F66" s="2"/>
      <c r="G6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7" spans="4:7" ht="11.25" customHeight="1">
      <c r="D67" s="1"/>
      <c r="F67" s="2"/>
      <c r="G6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8" spans="4:7" ht="11.25" customHeight="1">
      <c r="D68" s="1"/>
      <c r="F68" s="2"/>
      <c r="G6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69" spans="4:7" ht="11.25" customHeight="1">
      <c r="D69" s="1"/>
      <c r="F69" s="2"/>
      <c r="G6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0" spans="4:7" ht="11.25" customHeight="1">
      <c r="D70" s="1"/>
      <c r="F70" s="2"/>
      <c r="G7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1" spans="4:7" ht="11.25" customHeight="1">
      <c r="D71" s="1"/>
      <c r="F71" s="2"/>
      <c r="G7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2" spans="4:7" ht="11.25" customHeight="1">
      <c r="D72" s="1"/>
      <c r="F72" s="2"/>
      <c r="G7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3" spans="4:7" ht="11.25" customHeight="1">
      <c r="D73" s="1"/>
      <c r="F73" s="2"/>
      <c r="G7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4" spans="4:7" ht="11.25" customHeight="1">
      <c r="D74" s="1"/>
      <c r="F74" s="2"/>
      <c r="G7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5" spans="4:7" ht="11.25" customHeight="1">
      <c r="D75" s="1"/>
      <c r="F75" s="2"/>
      <c r="G7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6" spans="4:7" ht="11.25" customHeight="1">
      <c r="D76" s="1"/>
      <c r="F76" s="2"/>
      <c r="G7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7" spans="4:7" ht="11.25" customHeight="1">
      <c r="D77" s="1"/>
      <c r="F77" s="2"/>
      <c r="G7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8" spans="4:7" ht="11.25" customHeight="1">
      <c r="D78" s="1"/>
      <c r="F78" s="2"/>
      <c r="G78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79" spans="4:7" ht="11.25" customHeight="1">
      <c r="D79" s="1"/>
      <c r="F79" s="2"/>
      <c r="G79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0" spans="4:7" ht="11.25" customHeight="1">
      <c r="D80" s="1"/>
      <c r="F80" s="2"/>
      <c r="G80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1" spans="4:7" ht="11.25" customHeight="1">
      <c r="D81" s="1"/>
      <c r="F81" s="2"/>
      <c r="G81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2" spans="4:7" ht="11.25" customHeight="1">
      <c r="D82" s="1"/>
      <c r="F82" s="2"/>
      <c r="G82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3" spans="4:7" ht="11.25" customHeight="1">
      <c r="D83" s="1"/>
      <c r="F83" s="2"/>
      <c r="G83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4" spans="4:7" ht="11.25" customHeight="1">
      <c r="D84" s="1"/>
      <c r="F84" s="2"/>
      <c r="G84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5" spans="4:7" ht="11.25" customHeight="1">
      <c r="D85" s="1"/>
      <c r="F85" s="2"/>
      <c r="G85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6" spans="4:7" ht="11.25" customHeight="1">
      <c r="D86" s="1"/>
      <c r="F86" s="2"/>
      <c r="G86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  <row r="87" spans="4:7" ht="11.25" customHeight="1">
      <c r="D87" s="1"/>
      <c r="F87" s="2"/>
      <c r="G87" s="3" t="str">
        <f>IF(ISBLANK(テーブル1345[[#This Row],[機能]]),"","|"&amp;テーブル1345[[#This Row],[Ctrl]]&amp;"|"&amp;テーブル1345[[#This Row],[Shift]]&amp;"|"&amp;テーブル1345[[#This Row],[Alt]]&amp;"|"&amp;テーブル1345[[#This Row],[Win]]&amp;"|"&amp;テーブル1345[[#This Row],[Key]]&amp;"|"&amp;テーブル1345[[#This Row],[機能]]&amp;"|")</f>
        <v/>
      </c>
    </row>
  </sheetData>
  <phoneticPr fontId="4"/>
  <dataValidations count="4">
    <dataValidation type="list" allowBlank="1" showInputMessage="1" sqref="A3:A87" xr:uid="{00000000-0002-0000-0000-000000000000}">
      <formula1>"Ctrl"</formula1>
    </dataValidation>
    <dataValidation type="list" allowBlank="1" showInputMessage="1" sqref="B3:B87" xr:uid="{00000000-0002-0000-0000-000001000000}">
      <formula1>"Shift"</formula1>
    </dataValidation>
    <dataValidation type="list" allowBlank="1" showInputMessage="1" showErrorMessage="1" sqref="C3:C87" xr:uid="{00000000-0002-0000-0000-000002000000}">
      <formula1>"Alt"</formula1>
    </dataValidation>
    <dataValidation type="list" allowBlank="1" showInputMessage="1" showErrorMessage="1" sqref="D3:D87" xr:uid="{00000000-0002-0000-0000-000003000000}">
      <formula1>"Win"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D046-FDE4-4600-9033-0CC56352880E}">
  <sheetPr codeName="Sheet19">
    <tabColor theme="8" tint="0.79998168889431442"/>
  </sheetPr>
  <dimension ref="A1:K93"/>
  <sheetViews>
    <sheetView workbookViewId="0">
      <pane xSplit="4" ySplit="1" topLeftCell="E2" activePane="bottomRight" state="frozen"/>
      <selection activeCell="F161" sqref="F161"/>
      <selection pane="topRight" activeCell="F161" sqref="F161"/>
      <selection pane="bottomLeft" activeCell="F161" sqref="F161"/>
      <selection pane="bottomRight" activeCell="D19" sqref="D19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7" width="56.25" style="3" bestFit="1" customWidth="1"/>
    <col min="8" max="8" width="9.75" style="3" bestFit="1" customWidth="1"/>
    <col min="9" max="9" width="21.375" style="3" bestFit="1" customWidth="1"/>
    <col min="12" max="16384" width="2" style="3"/>
  </cols>
  <sheetData>
    <row r="1" spans="1:11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  <c r="G1" s="3" t="s">
        <v>1191</v>
      </c>
      <c r="H1" s="3" t="s">
        <v>1192</v>
      </c>
      <c r="I1" s="3" t="s">
        <v>1193</v>
      </c>
      <c r="J1" s="3"/>
      <c r="K1" s="3"/>
    </row>
    <row r="2" spans="1:11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|:---|:---|:---|:---|:---|</v>
      </c>
      <c r="G2" s="48" t="str">
        <f>テーブル1716[[#This Row],[機能]]</f>
        <v>:---</v>
      </c>
      <c r="H2" s="47"/>
      <c r="I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:---＋:---＋:---＋:---</v>
      </c>
      <c r="J2" s="3"/>
      <c r="K2" s="3"/>
    </row>
    <row r="3" spans="1:11" ht="11.25" customHeight="1">
      <c r="D3" s="2" t="s">
        <v>52</v>
      </c>
      <c r="E3" s="2" t="s">
        <v>1149</v>
      </c>
      <c r="F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||||Tab|コマンド/ファイル名補完|</v>
      </c>
      <c r="G3" s="48" t="str">
        <f>テーブル1716[[#This Row],[機能]]</f>
        <v>コマンド/ファイル名補完</v>
      </c>
      <c r="H3" s="47" t="s">
        <v>1190</v>
      </c>
      <c r="I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Tab</v>
      </c>
      <c r="J3" s="3"/>
      <c r="K3" s="3"/>
    </row>
    <row r="4" spans="1:11" ht="11.25" customHeight="1">
      <c r="A4" s="1" t="s">
        <v>0</v>
      </c>
      <c r="D4" s="2" t="s">
        <v>1169</v>
      </c>
      <c r="E4" s="2" t="s">
        <v>1175</v>
      </c>
      <c r="F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|Ctrl|||p/n|コマンド履歴呼出し(1つ前/1つ先)|</v>
      </c>
      <c r="G4" s="48" t="str">
        <f>テーブル1716[[#This Row],[機能]]</f>
        <v>コマンド履歴呼出し(1つ前/1つ先)</v>
      </c>
      <c r="H4" s="47" t="s">
        <v>1190</v>
      </c>
      <c r="I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Ctrl＋p/n</v>
      </c>
      <c r="J4" s="3"/>
      <c r="K4" s="3"/>
    </row>
    <row r="5" spans="1:11" ht="11.25" customHeight="1">
      <c r="A5" s="1" t="s">
        <v>0</v>
      </c>
      <c r="D5" s="2" t="s">
        <v>57</v>
      </c>
      <c r="E5" s="2" t="s">
        <v>1150</v>
      </c>
      <c r="F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|Ctrl|||r|コマンド履歴検索|</v>
      </c>
      <c r="G5" s="48" t="str">
        <f>テーブル1716[[#This Row],[機能]]</f>
        <v>コマンド履歴検索</v>
      </c>
      <c r="H5" s="47" t="s">
        <v>1190</v>
      </c>
      <c r="I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Ctrl＋r</v>
      </c>
      <c r="J5" s="3"/>
      <c r="K5" s="3"/>
    </row>
    <row r="6" spans="1:11" ht="11.25" customHeight="1">
      <c r="A6" s="1" t="s">
        <v>0</v>
      </c>
      <c r="D6" s="2" t="s">
        <v>511</v>
      </c>
      <c r="E6" s="2" t="s">
        <v>1158</v>
      </c>
      <c r="F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|Ctrl|||l|画面クリア|</v>
      </c>
      <c r="G6" s="48" t="str">
        <f>テーブル1716[[#This Row],[機能]]</f>
        <v>画面クリア</v>
      </c>
      <c r="H6" s="47" t="s">
        <v>1190</v>
      </c>
      <c r="I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Ctrl＋l</v>
      </c>
      <c r="J6" s="3"/>
      <c r="K6" s="3"/>
    </row>
    <row r="7" spans="1:11" ht="11.25" customHeight="1">
      <c r="A7" s="1" t="s">
        <v>0</v>
      </c>
      <c r="B7" s="1" t="s">
        <v>1</v>
      </c>
      <c r="D7" s="2" t="s">
        <v>75</v>
      </c>
      <c r="E7" s="2" t="s">
        <v>777</v>
      </c>
      <c r="F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|Ctrl|Shift||f|検索|</v>
      </c>
      <c r="G7" s="48" t="str">
        <f>テーブル1716[[#This Row],[機能]]</f>
        <v>検索</v>
      </c>
      <c r="H7" s="47" t="s">
        <v>1190</v>
      </c>
      <c r="I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Ctrl＋Shift＋f</v>
      </c>
      <c r="J7" s="3"/>
      <c r="K7" s="3"/>
    </row>
    <row r="8" spans="1:11" ht="11.25" customHeight="1">
      <c r="A8" s="1" t="s">
        <v>0</v>
      </c>
      <c r="D8" s="2" t="s">
        <v>1165</v>
      </c>
      <c r="E8" s="2" t="s">
        <v>1159</v>
      </c>
      <c r="F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|Ctrl|||c|実行中プログラム強制終了|</v>
      </c>
      <c r="G8" s="48" t="str">
        <f>テーブル1716[[#This Row],[機能]]</f>
        <v>実行中プログラム強制終了</v>
      </c>
      <c r="H8" s="47" t="s">
        <v>1190</v>
      </c>
      <c r="I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Ctrl＋c</v>
      </c>
      <c r="J8" s="3"/>
      <c r="K8" s="3"/>
    </row>
    <row r="9" spans="1:11" ht="11.25" customHeight="1">
      <c r="A9" s="1" t="s">
        <v>0</v>
      </c>
      <c r="D9" s="2" t="s">
        <v>1163</v>
      </c>
      <c r="E9" s="2" t="s">
        <v>1160</v>
      </c>
      <c r="F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|Ctrl|||d|終了|</v>
      </c>
      <c r="G9" s="48" t="str">
        <f>テーブル1716[[#This Row],[機能]]</f>
        <v>終了</v>
      </c>
      <c r="H9" s="47" t="s">
        <v>1190</v>
      </c>
      <c r="I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Ctrl＋d</v>
      </c>
      <c r="J9" s="3"/>
      <c r="K9" s="3"/>
    </row>
    <row r="10" spans="1:11" ht="11.25" customHeight="1">
      <c r="A10" s="1" t="s">
        <v>0</v>
      </c>
      <c r="D10" s="2" t="s">
        <v>76</v>
      </c>
      <c r="E10" s="2" t="s">
        <v>1170</v>
      </c>
      <c r="F1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|Ctrl|||f/b|カーソル移動(1個右/左)|</v>
      </c>
      <c r="G10" s="48" t="str">
        <f>テーブル1716[[#This Row],[機能]]</f>
        <v>カーソル移動(1個右/左)</v>
      </c>
      <c r="H10" s="47" t="s">
        <v>1190</v>
      </c>
      <c r="I1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Ctrl＋f/b</v>
      </c>
      <c r="J10" s="3"/>
      <c r="K10" s="3" t="s">
        <v>1806</v>
      </c>
    </row>
    <row r="11" spans="1:11" ht="11.25" customHeight="1">
      <c r="C11" s="1" t="s">
        <v>2</v>
      </c>
      <c r="D11" s="2" t="s">
        <v>76</v>
      </c>
      <c r="E11" s="2" t="s">
        <v>1171</v>
      </c>
      <c r="F1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|||Alt|f/b|カーソル移動(単語単位右/左)|</v>
      </c>
      <c r="G11" s="48" t="str">
        <f>テーブル1716[[#This Row],[機能]]</f>
        <v>カーソル移動(単語単位右/左)</v>
      </c>
      <c r="H11" s="47" t="s">
        <v>1190</v>
      </c>
      <c r="I1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Alt＋f/b</v>
      </c>
      <c r="J11" s="3"/>
      <c r="K11" s="3" t="s">
        <v>1806</v>
      </c>
    </row>
    <row r="12" spans="1:11" ht="11.25" customHeight="1">
      <c r="A12" s="1" t="s">
        <v>0</v>
      </c>
      <c r="D12" s="2" t="s">
        <v>1172</v>
      </c>
      <c r="E12" s="2" t="s">
        <v>1173</v>
      </c>
      <c r="F1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|Ctrl|||a/e|カーソル移動(行頭/行末)|</v>
      </c>
      <c r="G12" s="48" t="str">
        <f>テーブル1716[[#This Row],[機能]]</f>
        <v>カーソル移動(行頭/行末)</v>
      </c>
      <c r="H12" s="47" t="s">
        <v>1190</v>
      </c>
      <c r="I1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Ctrl＋a/e</v>
      </c>
      <c r="J12" s="3"/>
      <c r="K12" s="3" t="s">
        <v>1806</v>
      </c>
    </row>
    <row r="13" spans="1:11" ht="11.25" customHeight="1">
      <c r="A13" s="1" t="s">
        <v>0</v>
      </c>
      <c r="D13" s="2" t="s">
        <v>1162</v>
      </c>
      <c r="E13" s="2" t="s">
        <v>1151</v>
      </c>
      <c r="F1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|Ctrl|||t|文字入替(現在⇔1つ前)|</v>
      </c>
      <c r="G13" s="48" t="str">
        <f>テーブル1716[[#This Row],[機能]]</f>
        <v>文字入替(現在⇔1つ前)</v>
      </c>
      <c r="H13" s="47" t="s">
        <v>1190</v>
      </c>
      <c r="I1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Ctrl＋t</v>
      </c>
      <c r="J13" s="3"/>
      <c r="K13" s="3"/>
    </row>
    <row r="14" spans="1:11" ht="11.25" customHeight="1">
      <c r="A14" s="1" t="s">
        <v>0</v>
      </c>
      <c r="D14" s="2" t="s">
        <v>1179</v>
      </c>
      <c r="E14" s="2" t="s">
        <v>1178</v>
      </c>
      <c r="F1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|Ctrl|||h/d|文字削除(カーソル左/カーソル位置)|</v>
      </c>
      <c r="G14" s="48" t="str">
        <f>テーブル1716[[#This Row],[機能]]</f>
        <v>文字削除(カーソル左/カーソル位置)</v>
      </c>
      <c r="H14" s="47" t="s">
        <v>1190</v>
      </c>
      <c r="I1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Ctrl＋h/d</v>
      </c>
      <c r="J14" s="3"/>
      <c r="K14" s="3" t="s">
        <v>1806</v>
      </c>
    </row>
    <row r="15" spans="1:11" ht="11.25" customHeight="1">
      <c r="A15" s="1" t="s">
        <v>1180</v>
      </c>
      <c r="C15" s="1" t="s">
        <v>1181</v>
      </c>
      <c r="D15" s="2" t="s">
        <v>318</v>
      </c>
      <c r="E15" s="2" t="s">
        <v>1182</v>
      </c>
      <c r="F1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|Ctrl/||/Alt|w|単語削除(カーソル左/右)|</v>
      </c>
      <c r="G15" s="48" t="str">
        <f>テーブル1716[[#This Row],[機能]]</f>
        <v>単語削除(カーソル左/右)</v>
      </c>
      <c r="H15" s="47" t="s">
        <v>1190</v>
      </c>
      <c r="I1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Ctrl/＋/Alt＋w</v>
      </c>
      <c r="J15" s="3"/>
      <c r="K15" s="3" t="s">
        <v>1806</v>
      </c>
    </row>
    <row r="16" spans="1:11" ht="11.25" customHeight="1">
      <c r="A16" s="1" t="s">
        <v>0</v>
      </c>
      <c r="D16" s="6" t="s">
        <v>1167</v>
      </c>
      <c r="E16" s="2" t="s">
        <v>1166</v>
      </c>
      <c r="F1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|Ctrl|||u/k|文字削除(カーソル左側/右側全て)|</v>
      </c>
      <c r="G16" s="48" t="str">
        <f>テーブル1716[[#This Row],[機能]]</f>
        <v>文字削除(カーソル左側/右側全て)</v>
      </c>
      <c r="H16" s="47" t="s">
        <v>1190</v>
      </c>
      <c r="I1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Ctrl＋u/k</v>
      </c>
      <c r="J16" s="3"/>
      <c r="K16" s="3" t="s">
        <v>1806</v>
      </c>
    </row>
    <row r="17" spans="1:11" ht="11.25" customHeight="1">
      <c r="A17" s="1" t="s">
        <v>0</v>
      </c>
      <c r="D17" s="2" t="s">
        <v>1164</v>
      </c>
      <c r="E17" s="2" t="s">
        <v>1152</v>
      </c>
      <c r="F1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|Ctrl|||y|貼付け（上記Ctrl + w,Ctrl + kなどで削除した文字列をペーストできる）|</v>
      </c>
      <c r="G17" s="48" t="str">
        <f>テーブル1716[[#This Row],[機能]]</f>
        <v>貼付け（上記Ctrl + w,Ctrl + kなどで削除した文字列をペーストできる）</v>
      </c>
      <c r="H17" s="47" t="s">
        <v>1190</v>
      </c>
      <c r="I1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Ctrl＋y</v>
      </c>
      <c r="J17" s="3"/>
      <c r="K17" s="3"/>
    </row>
    <row r="18" spans="1:11" ht="11.25" customHeight="1">
      <c r="A18" s="1" t="s">
        <v>0</v>
      </c>
      <c r="D18" s="2" t="s">
        <v>1168</v>
      </c>
      <c r="E18" s="2" t="s">
        <v>1153</v>
      </c>
      <c r="F1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|Ctrl|||m/j/o|ENTERと同じ|</v>
      </c>
      <c r="G18" s="48" t="str">
        <f>テーブル1716[[#This Row],[機能]]</f>
        <v>ENTERと同じ</v>
      </c>
      <c r="H18" s="47" t="s">
        <v>1190</v>
      </c>
      <c r="I1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Ctrl＋m/j/o</v>
      </c>
      <c r="J18" s="3"/>
      <c r="K18" s="3"/>
    </row>
    <row r="19" spans="1:11" ht="11.25" customHeight="1">
      <c r="A19" s="1" t="s">
        <v>0</v>
      </c>
      <c r="B19" s="1" t="s">
        <v>1</v>
      </c>
      <c r="D19" s="2" t="s">
        <v>1187</v>
      </c>
      <c r="E19" s="2" t="s">
        <v>1194</v>
      </c>
      <c r="F1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|Ctrl|Shift||w|タブ内分割削除|</v>
      </c>
      <c r="G19" s="48" t="str">
        <f>テーブル1716[[#This Row],[機能]]</f>
        <v>タブ内分割削除</v>
      </c>
      <c r="H19" s="47" t="s">
        <v>1190</v>
      </c>
      <c r="I1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Ctrl＋Shift＋w</v>
      </c>
      <c r="J19" s="3"/>
      <c r="K19" s="3"/>
    </row>
    <row r="20" spans="1:11" ht="11.25" customHeight="1">
      <c r="C20" s="1" t="s">
        <v>2</v>
      </c>
      <c r="D20" s="2" t="s">
        <v>1174</v>
      </c>
      <c r="E20" s="2" t="s">
        <v>1196</v>
      </c>
      <c r="F2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|||Alt|方向キー|タブ内分割移動|</v>
      </c>
      <c r="G20" s="48" t="str">
        <f>テーブル1716[[#This Row],[機能]]</f>
        <v>タブ内分割移動</v>
      </c>
      <c r="H20" s="47" t="s">
        <v>1190</v>
      </c>
      <c r="I2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Alt＋方向キー</v>
      </c>
      <c r="J20" s="3"/>
      <c r="K20" s="3"/>
    </row>
    <row r="21" spans="1:11" ht="11.25" customHeight="1">
      <c r="B21" s="1" t="s">
        <v>1</v>
      </c>
      <c r="C21" s="1" t="s">
        <v>2</v>
      </c>
      <c r="D21" s="2" t="s">
        <v>71</v>
      </c>
      <c r="E21" s="2" t="s">
        <v>1195</v>
      </c>
      <c r="F2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||Shift|Alt|+/-|タブ内分割追加(垂直/水平)|</v>
      </c>
      <c r="G21" s="48" t="str">
        <f>テーブル1716[[#This Row],[機能]]</f>
        <v>タブ内分割追加(垂直/水平)</v>
      </c>
      <c r="H21" s="47" t="s">
        <v>1190</v>
      </c>
      <c r="I2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Shift＋Alt＋+/-</v>
      </c>
      <c r="J21" s="3"/>
      <c r="K21" s="3"/>
    </row>
    <row r="22" spans="1:11" ht="11.25" customHeight="1">
      <c r="B22" s="1" t="s">
        <v>1</v>
      </c>
      <c r="C22" s="1" t="s">
        <v>2</v>
      </c>
      <c r="D22" s="2" t="s">
        <v>1174</v>
      </c>
      <c r="E22" s="2" t="s">
        <v>1197</v>
      </c>
      <c r="F2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||Shift|Alt|方向キー|タブ内分割サイズ変更|</v>
      </c>
      <c r="G22" s="48" t="str">
        <f>テーブル1716[[#This Row],[機能]]</f>
        <v>タブ内分割サイズ変更</v>
      </c>
      <c r="H22" s="47" t="s">
        <v>1190</v>
      </c>
      <c r="I2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Shift＋Alt＋方向キー</v>
      </c>
      <c r="J22" s="3"/>
      <c r="K22" s="3"/>
    </row>
    <row r="23" spans="1:11" ht="11.25" customHeight="1">
      <c r="C23" s="1" t="s">
        <v>2</v>
      </c>
      <c r="D23" s="2" t="s">
        <v>143</v>
      </c>
      <c r="E23" s="2" t="s">
        <v>1154</v>
      </c>
      <c r="F2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|||Alt|Enter|全画面モード|</v>
      </c>
      <c r="G23" s="48" t="str">
        <f>テーブル1716[[#This Row],[機能]]</f>
        <v>全画面モード</v>
      </c>
      <c r="H23" s="47" t="s">
        <v>1190</v>
      </c>
      <c r="I2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Alt＋Enter</v>
      </c>
      <c r="J23" s="3"/>
      <c r="K23" s="3"/>
    </row>
    <row r="24" spans="1:11" ht="11.25" customHeight="1">
      <c r="D24" s="2" t="s">
        <v>221</v>
      </c>
      <c r="E24" s="2" t="s">
        <v>1154</v>
      </c>
      <c r="F2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||||F11|全画面モード|</v>
      </c>
      <c r="G24" s="48" t="str">
        <f>テーブル1716[[#This Row],[機能]]</f>
        <v>全画面モード</v>
      </c>
      <c r="H24" s="47" t="s">
        <v>1190</v>
      </c>
      <c r="I2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F11</v>
      </c>
      <c r="J24" s="3"/>
      <c r="K24" s="3"/>
    </row>
    <row r="25" spans="1:11" ht="11.25" customHeight="1">
      <c r="A25" s="1" t="s">
        <v>0</v>
      </c>
      <c r="D25" s="2" t="s">
        <v>1177</v>
      </c>
      <c r="E25" s="2" t="s">
        <v>1176</v>
      </c>
      <c r="F2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|Ctrl|||s/q|画面更新 停止/再開|</v>
      </c>
      <c r="G25" s="48" t="str">
        <f>テーブル1716[[#This Row],[機能]]</f>
        <v>画面更新 停止/再開</v>
      </c>
      <c r="H25" s="47" t="s">
        <v>1190</v>
      </c>
      <c r="I2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Ctrl＋s/q</v>
      </c>
      <c r="J25" s="3"/>
      <c r="K25" s="3"/>
    </row>
    <row r="26" spans="1:11" ht="11.25" customHeight="1">
      <c r="A26" s="1" t="s">
        <v>0</v>
      </c>
      <c r="B26" s="1" t="s">
        <v>1</v>
      </c>
      <c r="D26" s="2" t="s">
        <v>300</v>
      </c>
      <c r="E26" s="2" t="s">
        <v>1185</v>
      </c>
      <c r="F2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|Ctrl|Shift||↑/↓|画面スクロール 上/下（WSL2のみ？）|</v>
      </c>
      <c r="G26" s="48" t="str">
        <f>テーブル1716[[#This Row],[機能]]</f>
        <v>画面スクロール 上/下（WSL2のみ？）</v>
      </c>
      <c r="H26" s="47" t="s">
        <v>1190</v>
      </c>
      <c r="I2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Ctrl＋Shift＋↑/↓</v>
      </c>
      <c r="J26" s="3"/>
      <c r="K26" s="3"/>
    </row>
    <row r="27" spans="1:11" ht="11.25" customHeight="1">
      <c r="A27" s="1" t="s">
        <v>0</v>
      </c>
      <c r="B27" s="1" t="s">
        <v>1</v>
      </c>
      <c r="D27" s="2" t="s">
        <v>103</v>
      </c>
      <c r="E27" s="2" t="s">
        <v>1156</v>
      </c>
      <c r="F2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|Ctrl|Shift||t|新規タブ作成|</v>
      </c>
      <c r="G27" s="48" t="str">
        <f>テーブル1716[[#This Row],[機能]]</f>
        <v>新規タブ作成</v>
      </c>
      <c r="H27" s="47" t="s">
        <v>1190</v>
      </c>
      <c r="I2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Ctrl＋Shift＋t</v>
      </c>
      <c r="J27" s="3"/>
      <c r="K27" s="3"/>
    </row>
    <row r="28" spans="1:11" ht="11.25" customHeight="1">
      <c r="A28" s="1" t="s">
        <v>0</v>
      </c>
      <c r="B28" s="1" t="s">
        <v>1</v>
      </c>
      <c r="D28" s="2" t="s">
        <v>90</v>
      </c>
      <c r="E28" s="2" t="s">
        <v>1155</v>
      </c>
      <c r="F2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|Ctrl|Shift||d|タブ複製|</v>
      </c>
      <c r="G28" s="48" t="str">
        <f>テーブル1716[[#This Row],[機能]]</f>
        <v>タブ複製</v>
      </c>
      <c r="H28" s="47" t="s">
        <v>1190</v>
      </c>
      <c r="I2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Ctrl＋Shift＋d</v>
      </c>
      <c r="J28" s="3"/>
      <c r="K28" s="3"/>
    </row>
    <row r="29" spans="1:11" ht="11.25" customHeight="1">
      <c r="A29" s="1" t="s">
        <v>0</v>
      </c>
      <c r="B29" s="1" t="s">
        <v>1183</v>
      </c>
      <c r="D29" s="2" t="s">
        <v>52</v>
      </c>
      <c r="E29" s="2" t="s">
        <v>1184</v>
      </c>
      <c r="F2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|Ctrl|/Shift||Tab|タブ切替え 順方向/逆方向|</v>
      </c>
      <c r="G29" s="48" t="str">
        <f>テーブル1716[[#This Row],[機能]]</f>
        <v>タブ切替え 順方向/逆方向</v>
      </c>
      <c r="H29" s="47" t="s">
        <v>1190</v>
      </c>
      <c r="I2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Ctrl＋/Shift＋Tab</v>
      </c>
      <c r="J29" s="3"/>
      <c r="K29" s="3"/>
    </row>
    <row r="30" spans="1:11" ht="11.25" customHeight="1">
      <c r="A30" s="1" t="s">
        <v>0</v>
      </c>
      <c r="B30" s="1" t="s">
        <v>1</v>
      </c>
      <c r="D30" s="2" t="s">
        <v>352</v>
      </c>
      <c r="E30" s="2" t="s">
        <v>1157</v>
      </c>
      <c r="F3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|Ctrl|Shift||p|コマンドパレット表示|</v>
      </c>
      <c r="G30" s="48" t="str">
        <f>テーブル1716[[#This Row],[機能]]</f>
        <v>コマンドパレット表示</v>
      </c>
      <c r="H30" s="47" t="s">
        <v>1190</v>
      </c>
      <c r="I3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Ctrl＋Shift＋p</v>
      </c>
      <c r="J30" s="3"/>
      <c r="K30" s="3"/>
    </row>
    <row r="31" spans="1:11" ht="11.25" customHeight="1">
      <c r="A31" s="1" t="s">
        <v>0</v>
      </c>
      <c r="B31" s="1" t="s">
        <v>1</v>
      </c>
      <c r="D31" s="2" t="s">
        <v>145</v>
      </c>
      <c r="E31" s="2" t="s">
        <v>1161</v>
      </c>
      <c r="F3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|Ctrl|Shift||Space|ドロップダウンメニュー表示|</v>
      </c>
      <c r="G31" s="48" t="str">
        <f>テーブル1716[[#This Row],[機能]]</f>
        <v>ドロップダウンメニュー表示</v>
      </c>
      <c r="H31" s="47" t="s">
        <v>1190</v>
      </c>
      <c r="I3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Ctrl＋Shift＋Space</v>
      </c>
      <c r="J31" s="3"/>
      <c r="K31" s="3"/>
    </row>
    <row r="32" spans="1:11" ht="11.25" customHeight="1">
      <c r="A32" s="1" t="s">
        <v>0</v>
      </c>
      <c r="D32" s="2" t="s">
        <v>71</v>
      </c>
      <c r="E32" s="2" t="s">
        <v>1186</v>
      </c>
      <c r="F3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>|Ctrl|||+/-|フォントサイズ変更(拡大/縮小)|</v>
      </c>
      <c r="G32" s="48" t="str">
        <f>テーブル1716[[#This Row],[機能]]</f>
        <v>フォントサイズ変更(拡大/縮小)</v>
      </c>
      <c r="H32" s="47" t="s">
        <v>1190</v>
      </c>
      <c r="I3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>Ctrl＋+/-</v>
      </c>
      <c r="J32" s="3"/>
      <c r="K32" s="3"/>
    </row>
    <row r="33" spans="6:11" ht="11.25" customHeight="1">
      <c r="F3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33" s="48">
        <f>テーブル1716[[#This Row],[機能]]</f>
        <v>0</v>
      </c>
      <c r="H33" s="47" t="s">
        <v>1190</v>
      </c>
      <c r="I3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33" s="3"/>
      <c r="K33" s="3"/>
    </row>
    <row r="34" spans="6:11" ht="11.25" customHeight="1">
      <c r="F3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34" s="48">
        <f>テーブル1716[[#This Row],[機能]]</f>
        <v>0</v>
      </c>
      <c r="H34" s="47" t="s">
        <v>1190</v>
      </c>
      <c r="I3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34" s="3"/>
      <c r="K34" s="3"/>
    </row>
    <row r="35" spans="6:11" ht="11.25" customHeight="1">
      <c r="F3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35" s="48">
        <f>テーブル1716[[#This Row],[機能]]</f>
        <v>0</v>
      </c>
      <c r="H35" s="47" t="s">
        <v>1190</v>
      </c>
      <c r="I3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35" s="3"/>
      <c r="K35" s="3"/>
    </row>
    <row r="36" spans="6:11" ht="11.25" customHeight="1">
      <c r="F3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36" s="48">
        <f>テーブル1716[[#This Row],[機能]]</f>
        <v>0</v>
      </c>
      <c r="H36" s="47" t="s">
        <v>1190</v>
      </c>
      <c r="I3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36" s="3"/>
      <c r="K36" s="3"/>
    </row>
    <row r="37" spans="6:11" ht="11.25" customHeight="1">
      <c r="F3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37" s="48">
        <f>テーブル1716[[#This Row],[機能]]</f>
        <v>0</v>
      </c>
      <c r="H37" s="47" t="s">
        <v>1190</v>
      </c>
      <c r="I3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37" s="3"/>
      <c r="K37" s="3"/>
    </row>
    <row r="38" spans="6:11" ht="11.25" customHeight="1">
      <c r="F3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38" s="48">
        <f>テーブル1716[[#This Row],[機能]]</f>
        <v>0</v>
      </c>
      <c r="H38" s="47" t="s">
        <v>1190</v>
      </c>
      <c r="I3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38" s="3"/>
      <c r="K38" s="3"/>
    </row>
    <row r="39" spans="6:11" ht="11.25" customHeight="1">
      <c r="F3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39" s="48">
        <f>テーブル1716[[#This Row],[機能]]</f>
        <v>0</v>
      </c>
      <c r="H39" s="47" t="s">
        <v>1190</v>
      </c>
      <c r="I3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39" s="3"/>
      <c r="K39" s="3"/>
    </row>
    <row r="40" spans="6:11" ht="11.25" customHeight="1">
      <c r="F4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0" s="48">
        <f>テーブル1716[[#This Row],[機能]]</f>
        <v>0</v>
      </c>
      <c r="H40" s="47" t="s">
        <v>1190</v>
      </c>
      <c r="I4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0" s="3"/>
      <c r="K40" s="3"/>
    </row>
    <row r="41" spans="6:11" ht="11.25" customHeight="1">
      <c r="F4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1" s="48">
        <f>テーブル1716[[#This Row],[機能]]</f>
        <v>0</v>
      </c>
      <c r="H41" s="47" t="s">
        <v>1190</v>
      </c>
      <c r="I4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1" s="3"/>
      <c r="K41" s="3"/>
    </row>
    <row r="42" spans="6:11" ht="11.25" customHeight="1">
      <c r="F4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2" s="48">
        <f>テーブル1716[[#This Row],[機能]]</f>
        <v>0</v>
      </c>
      <c r="H42" s="47" t="s">
        <v>1190</v>
      </c>
      <c r="I4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2" s="3"/>
      <c r="K42" s="3"/>
    </row>
    <row r="43" spans="6:11" ht="11.25" customHeight="1">
      <c r="F4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3" s="48">
        <f>テーブル1716[[#This Row],[機能]]</f>
        <v>0</v>
      </c>
      <c r="H43" s="47" t="s">
        <v>1190</v>
      </c>
      <c r="I4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3" s="3"/>
      <c r="K43" s="3"/>
    </row>
    <row r="44" spans="6:11" ht="11.25" customHeight="1">
      <c r="F4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4" s="48">
        <f>テーブル1716[[#This Row],[機能]]</f>
        <v>0</v>
      </c>
      <c r="H44" s="47" t="s">
        <v>1190</v>
      </c>
      <c r="I4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4" s="3"/>
      <c r="K44" s="3"/>
    </row>
    <row r="45" spans="6:11" ht="11.25" customHeight="1">
      <c r="F4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5" s="48">
        <f>テーブル1716[[#This Row],[機能]]</f>
        <v>0</v>
      </c>
      <c r="H45" s="47" t="s">
        <v>1190</v>
      </c>
      <c r="I4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5" s="3"/>
      <c r="K45" s="3"/>
    </row>
    <row r="46" spans="6:11" ht="11.25" customHeight="1">
      <c r="F4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6" s="48">
        <f>テーブル1716[[#This Row],[機能]]</f>
        <v>0</v>
      </c>
      <c r="H46" s="47" t="s">
        <v>1190</v>
      </c>
      <c r="I4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6" s="3"/>
      <c r="K46" s="3"/>
    </row>
    <row r="47" spans="6:11" ht="11.25" customHeight="1">
      <c r="F4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7" s="48">
        <f>テーブル1716[[#This Row],[機能]]</f>
        <v>0</v>
      </c>
      <c r="H47" s="47" t="s">
        <v>1190</v>
      </c>
      <c r="I4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7" s="3"/>
      <c r="K47" s="3"/>
    </row>
    <row r="48" spans="6:11" ht="11.25" customHeight="1">
      <c r="F4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8" s="48">
        <f>テーブル1716[[#This Row],[機能]]</f>
        <v>0</v>
      </c>
      <c r="H48" s="47" t="s">
        <v>1190</v>
      </c>
      <c r="I4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8" s="3"/>
      <c r="K48" s="3"/>
    </row>
    <row r="49" spans="6:11" ht="11.25" customHeight="1">
      <c r="F4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49" s="48">
        <f>テーブル1716[[#This Row],[機能]]</f>
        <v>0</v>
      </c>
      <c r="H49" s="47" t="s">
        <v>1190</v>
      </c>
      <c r="I4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49" s="3"/>
      <c r="K49" s="3"/>
    </row>
    <row r="50" spans="6:11" ht="11.25" customHeight="1">
      <c r="F5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0" s="48">
        <f>テーブル1716[[#This Row],[機能]]</f>
        <v>0</v>
      </c>
      <c r="H50" s="47" t="s">
        <v>1190</v>
      </c>
      <c r="I5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0" s="3"/>
      <c r="K50" s="3"/>
    </row>
    <row r="51" spans="6:11" ht="11.25" customHeight="1">
      <c r="F5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1" s="48">
        <f>テーブル1716[[#This Row],[機能]]</f>
        <v>0</v>
      </c>
      <c r="H51" s="47" t="s">
        <v>1190</v>
      </c>
      <c r="I5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1" s="3"/>
      <c r="K51" s="3"/>
    </row>
    <row r="52" spans="6:11" ht="11.25" customHeight="1">
      <c r="F5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2" s="48">
        <f>テーブル1716[[#This Row],[機能]]</f>
        <v>0</v>
      </c>
      <c r="H52" s="47" t="s">
        <v>1190</v>
      </c>
      <c r="I5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2" s="3"/>
      <c r="K52" s="3"/>
    </row>
    <row r="53" spans="6:11" ht="11.25" customHeight="1">
      <c r="F5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3" s="48">
        <f>テーブル1716[[#This Row],[機能]]</f>
        <v>0</v>
      </c>
      <c r="H53" s="47" t="s">
        <v>1190</v>
      </c>
      <c r="I5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3" s="3"/>
      <c r="K53" s="3"/>
    </row>
    <row r="54" spans="6:11" ht="11.25" customHeight="1">
      <c r="F5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4" s="48">
        <f>テーブル1716[[#This Row],[機能]]</f>
        <v>0</v>
      </c>
      <c r="H54" s="47" t="s">
        <v>1190</v>
      </c>
      <c r="I5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4" s="3"/>
      <c r="K54" s="3"/>
    </row>
    <row r="55" spans="6:11" ht="11.25" customHeight="1">
      <c r="F5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5" s="48">
        <f>テーブル1716[[#This Row],[機能]]</f>
        <v>0</v>
      </c>
      <c r="H55" s="47" t="s">
        <v>1190</v>
      </c>
      <c r="I5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5" s="3"/>
      <c r="K55" s="3"/>
    </row>
    <row r="56" spans="6:11" ht="11.25" customHeight="1">
      <c r="F5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6" s="48">
        <f>テーブル1716[[#This Row],[機能]]</f>
        <v>0</v>
      </c>
      <c r="H56" s="47" t="s">
        <v>1190</v>
      </c>
      <c r="I5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6" s="3"/>
      <c r="K56" s="3"/>
    </row>
    <row r="57" spans="6:11" ht="11.25" customHeight="1">
      <c r="F5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7" s="48">
        <f>テーブル1716[[#This Row],[機能]]</f>
        <v>0</v>
      </c>
      <c r="H57" s="47" t="s">
        <v>1190</v>
      </c>
      <c r="I5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7" s="3"/>
      <c r="K57" s="3"/>
    </row>
    <row r="58" spans="6:11" ht="11.25" customHeight="1">
      <c r="F5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8" s="48">
        <f>テーブル1716[[#This Row],[機能]]</f>
        <v>0</v>
      </c>
      <c r="H58" s="47" t="s">
        <v>1190</v>
      </c>
      <c r="I5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8" s="3"/>
      <c r="K58" s="3"/>
    </row>
    <row r="59" spans="6:11" ht="11.25" customHeight="1">
      <c r="F5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59" s="48">
        <f>テーブル1716[[#This Row],[機能]]</f>
        <v>0</v>
      </c>
      <c r="H59" s="47" t="s">
        <v>1190</v>
      </c>
      <c r="I5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59" s="3"/>
      <c r="K59" s="3"/>
    </row>
    <row r="60" spans="6:11" ht="11.25" customHeight="1">
      <c r="F6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0" s="48">
        <f>テーブル1716[[#This Row],[機能]]</f>
        <v>0</v>
      </c>
      <c r="H60" s="47" t="s">
        <v>1190</v>
      </c>
      <c r="I6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0" s="3"/>
      <c r="K60" s="3"/>
    </row>
    <row r="61" spans="6:11" ht="11.25" customHeight="1">
      <c r="F6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1" s="48">
        <f>テーブル1716[[#This Row],[機能]]</f>
        <v>0</v>
      </c>
      <c r="H61" s="47" t="s">
        <v>1190</v>
      </c>
      <c r="I6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1" s="3"/>
      <c r="K61" s="3"/>
    </row>
    <row r="62" spans="6:11" ht="11.25" customHeight="1">
      <c r="F6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2" s="48">
        <f>テーブル1716[[#This Row],[機能]]</f>
        <v>0</v>
      </c>
      <c r="H62" s="47" t="s">
        <v>1190</v>
      </c>
      <c r="I6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2" s="3"/>
      <c r="K62" s="3"/>
    </row>
    <row r="63" spans="6:11" ht="11.25" customHeight="1">
      <c r="F6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3" s="48">
        <f>テーブル1716[[#This Row],[機能]]</f>
        <v>0</v>
      </c>
      <c r="H63" s="47" t="s">
        <v>1190</v>
      </c>
      <c r="I6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3" s="3"/>
      <c r="K63" s="3"/>
    </row>
    <row r="64" spans="6:11" ht="11.25" customHeight="1">
      <c r="F6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4" s="48">
        <f>テーブル1716[[#This Row],[機能]]</f>
        <v>0</v>
      </c>
      <c r="H64" s="47" t="s">
        <v>1190</v>
      </c>
      <c r="I6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4" s="3"/>
      <c r="K64" s="3"/>
    </row>
    <row r="65" spans="6:11" ht="11.25" customHeight="1">
      <c r="F6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5" s="48">
        <f>テーブル1716[[#This Row],[機能]]</f>
        <v>0</v>
      </c>
      <c r="H65" s="47" t="s">
        <v>1190</v>
      </c>
      <c r="I6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5" s="3"/>
      <c r="K65" s="3"/>
    </row>
    <row r="66" spans="6:11" ht="11.25" customHeight="1">
      <c r="F6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6" s="48">
        <f>テーブル1716[[#This Row],[機能]]</f>
        <v>0</v>
      </c>
      <c r="H66" s="47" t="s">
        <v>1190</v>
      </c>
      <c r="I6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6" s="3"/>
      <c r="K66" s="3"/>
    </row>
    <row r="67" spans="6:11" ht="11.25" customHeight="1">
      <c r="F6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7" s="48">
        <f>テーブル1716[[#This Row],[機能]]</f>
        <v>0</v>
      </c>
      <c r="H67" s="47" t="s">
        <v>1190</v>
      </c>
      <c r="I6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7" s="3"/>
      <c r="K67" s="3"/>
    </row>
    <row r="68" spans="6:11" ht="11.25" customHeight="1">
      <c r="F6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8" s="48">
        <f>テーブル1716[[#This Row],[機能]]</f>
        <v>0</v>
      </c>
      <c r="H68" s="47" t="s">
        <v>1190</v>
      </c>
      <c r="I6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8" s="3"/>
      <c r="K68" s="3"/>
    </row>
    <row r="69" spans="6:11" ht="11.25" customHeight="1">
      <c r="F6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69" s="48">
        <f>テーブル1716[[#This Row],[機能]]</f>
        <v>0</v>
      </c>
      <c r="H69" s="47" t="s">
        <v>1190</v>
      </c>
      <c r="I6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69" s="3"/>
      <c r="K69" s="3"/>
    </row>
    <row r="70" spans="6:11" ht="11.25" customHeight="1">
      <c r="F7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0" s="48">
        <f>テーブル1716[[#This Row],[機能]]</f>
        <v>0</v>
      </c>
      <c r="H70" s="47" t="s">
        <v>1190</v>
      </c>
      <c r="I7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0" s="3"/>
      <c r="K70" s="3"/>
    </row>
    <row r="71" spans="6:11" ht="11.25" customHeight="1">
      <c r="F7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1" s="48">
        <f>テーブル1716[[#This Row],[機能]]</f>
        <v>0</v>
      </c>
      <c r="H71" s="47" t="s">
        <v>1190</v>
      </c>
      <c r="I7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1" s="3"/>
      <c r="K71" s="3"/>
    </row>
    <row r="72" spans="6:11" ht="11.25" customHeight="1">
      <c r="F7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2" s="48">
        <f>テーブル1716[[#This Row],[機能]]</f>
        <v>0</v>
      </c>
      <c r="H72" s="47" t="s">
        <v>1190</v>
      </c>
      <c r="I7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2" s="3"/>
      <c r="K72" s="3"/>
    </row>
    <row r="73" spans="6:11" ht="11.25" customHeight="1">
      <c r="F7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3" s="48">
        <f>テーブル1716[[#This Row],[機能]]</f>
        <v>0</v>
      </c>
      <c r="H73" s="47" t="s">
        <v>1190</v>
      </c>
      <c r="I7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3" s="3"/>
      <c r="K73" s="3"/>
    </row>
    <row r="74" spans="6:11" ht="11.25" customHeight="1">
      <c r="F7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4" s="48">
        <f>テーブル1716[[#This Row],[機能]]</f>
        <v>0</v>
      </c>
      <c r="H74" s="47" t="s">
        <v>1190</v>
      </c>
      <c r="I7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4" s="3"/>
      <c r="K74" s="3"/>
    </row>
    <row r="75" spans="6:11" ht="11.25" customHeight="1">
      <c r="F7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5" s="48">
        <f>テーブル1716[[#This Row],[機能]]</f>
        <v>0</v>
      </c>
      <c r="H75" s="47" t="s">
        <v>1190</v>
      </c>
      <c r="I7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5" s="3"/>
      <c r="K75" s="3"/>
    </row>
    <row r="76" spans="6:11" ht="11.25" customHeight="1">
      <c r="F7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6" s="48">
        <f>テーブル1716[[#This Row],[機能]]</f>
        <v>0</v>
      </c>
      <c r="H76" s="47" t="s">
        <v>1190</v>
      </c>
      <c r="I7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6" s="3"/>
      <c r="K76" s="3"/>
    </row>
    <row r="77" spans="6:11" ht="11.25" customHeight="1">
      <c r="F7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7" s="48">
        <f>テーブル1716[[#This Row],[機能]]</f>
        <v>0</v>
      </c>
      <c r="H77" s="47" t="s">
        <v>1190</v>
      </c>
      <c r="I7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7" s="3"/>
      <c r="K77" s="3"/>
    </row>
    <row r="78" spans="6:11" ht="11.25" customHeight="1">
      <c r="F7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8" s="48">
        <f>テーブル1716[[#This Row],[機能]]</f>
        <v>0</v>
      </c>
      <c r="H78" s="47" t="s">
        <v>1190</v>
      </c>
      <c r="I7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8" s="3"/>
      <c r="K78" s="3"/>
    </row>
    <row r="79" spans="6:11" ht="11.25" customHeight="1">
      <c r="F7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79" s="48">
        <f>テーブル1716[[#This Row],[機能]]</f>
        <v>0</v>
      </c>
      <c r="H79" s="47" t="s">
        <v>1190</v>
      </c>
      <c r="I7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79" s="3"/>
      <c r="K79" s="3"/>
    </row>
    <row r="80" spans="6:11" ht="11.25" customHeight="1">
      <c r="F8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0" s="48">
        <f>テーブル1716[[#This Row],[機能]]</f>
        <v>0</v>
      </c>
      <c r="H80" s="47" t="s">
        <v>1190</v>
      </c>
      <c r="I8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0" s="3"/>
      <c r="K80" s="3"/>
    </row>
    <row r="81" spans="6:11" ht="11.25" customHeight="1">
      <c r="F8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1" s="48">
        <f>テーブル1716[[#This Row],[機能]]</f>
        <v>0</v>
      </c>
      <c r="H81" s="47" t="s">
        <v>1190</v>
      </c>
      <c r="I8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1" s="3"/>
      <c r="K81" s="3"/>
    </row>
    <row r="82" spans="6:11" ht="11.25" customHeight="1">
      <c r="F8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2" s="48">
        <f>テーブル1716[[#This Row],[機能]]</f>
        <v>0</v>
      </c>
      <c r="H82" s="47" t="s">
        <v>1190</v>
      </c>
      <c r="I8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2" s="3"/>
      <c r="K82" s="3"/>
    </row>
    <row r="83" spans="6:11" ht="11.25" customHeight="1">
      <c r="F8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3" s="48">
        <f>テーブル1716[[#This Row],[機能]]</f>
        <v>0</v>
      </c>
      <c r="H83" s="47" t="s">
        <v>1190</v>
      </c>
      <c r="I8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3" s="3"/>
      <c r="K83" s="3"/>
    </row>
    <row r="84" spans="6:11" ht="11.25" customHeight="1">
      <c r="F84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4" s="48">
        <f>テーブル1716[[#This Row],[機能]]</f>
        <v>0</v>
      </c>
      <c r="H84" s="47" t="s">
        <v>1190</v>
      </c>
      <c r="I84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4" s="3"/>
      <c r="K84" s="3"/>
    </row>
    <row r="85" spans="6:11" ht="11.25" customHeight="1">
      <c r="F85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5" s="48">
        <f>テーブル1716[[#This Row],[機能]]</f>
        <v>0</v>
      </c>
      <c r="H85" s="47" t="s">
        <v>1190</v>
      </c>
      <c r="I85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5" s="3"/>
      <c r="K85" s="3"/>
    </row>
    <row r="86" spans="6:11" ht="11.25" customHeight="1">
      <c r="F86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6" s="48">
        <f>テーブル1716[[#This Row],[機能]]</f>
        <v>0</v>
      </c>
      <c r="H86" s="47" t="s">
        <v>1190</v>
      </c>
      <c r="I86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6" s="3"/>
      <c r="K86" s="3"/>
    </row>
    <row r="87" spans="6:11" ht="11.25" customHeight="1">
      <c r="F87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7" s="48">
        <f>テーブル1716[[#This Row],[機能]]</f>
        <v>0</v>
      </c>
      <c r="H87" s="47" t="s">
        <v>1190</v>
      </c>
      <c r="I87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7" s="3"/>
      <c r="K87" s="3"/>
    </row>
    <row r="88" spans="6:11" ht="11.25" customHeight="1">
      <c r="F88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8" s="48">
        <f>テーブル1716[[#This Row],[機能]]</f>
        <v>0</v>
      </c>
      <c r="H88" s="47" t="s">
        <v>1190</v>
      </c>
      <c r="I88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8" s="3"/>
      <c r="K88" s="3"/>
    </row>
    <row r="89" spans="6:11" ht="11.25" customHeight="1">
      <c r="F89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89" s="48">
        <f>テーブル1716[[#This Row],[機能]]</f>
        <v>0</v>
      </c>
      <c r="H89" s="47" t="s">
        <v>1190</v>
      </c>
      <c r="I89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89" s="3"/>
      <c r="K89" s="3"/>
    </row>
    <row r="90" spans="6:11" ht="11.25" customHeight="1">
      <c r="F90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90" s="48">
        <f>テーブル1716[[#This Row],[機能]]</f>
        <v>0</v>
      </c>
      <c r="H90" s="47" t="s">
        <v>1190</v>
      </c>
      <c r="I90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90" s="3"/>
      <c r="K90" s="3"/>
    </row>
    <row r="91" spans="6:11" ht="11.25" customHeight="1">
      <c r="F91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91" s="48">
        <f>テーブル1716[[#This Row],[機能]]</f>
        <v>0</v>
      </c>
      <c r="H91" s="47" t="s">
        <v>1190</v>
      </c>
      <c r="I91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91" s="3"/>
      <c r="K91" s="3"/>
    </row>
    <row r="92" spans="6:11" ht="11.25" customHeight="1">
      <c r="F92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92" s="48">
        <f>テーブル1716[[#This Row],[機能]]</f>
        <v>0</v>
      </c>
      <c r="H92" s="47" t="s">
        <v>1190</v>
      </c>
      <c r="I92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92" s="3"/>
      <c r="K92" s="3"/>
    </row>
    <row r="93" spans="6:11" ht="11.25" customHeight="1">
      <c r="F93" s="3" t="str">
        <f>IF(ISBLANK(テーブル1716[[#This Row],[機能]]),"","|"&amp;テーブル1716[[#This Row],[Ctrl]]&amp;"|"&amp;テーブル1716[[#This Row],[Shift]]&amp;"|"&amp;テーブル1716[[#This Row],[Alt]]&amp;"|"&amp;テーブル1716[[#This Row],[Key]]&amp;"|"&amp;テーブル1716[[#This Row],[機能]]&amp;"|")</f>
        <v/>
      </c>
      <c r="G93" s="48">
        <f>テーブル1716[[#This Row],[機能]]</f>
        <v>0</v>
      </c>
      <c r="H93" s="47" t="s">
        <v>1190</v>
      </c>
      <c r="I93" s="47" t="str">
        <f>IF(テーブル1716[[#This Row],[Ctrl]]="","",テーブル1716[[#This Row],[Ctrl]]&amp;"＋")&amp;
IF(テーブル1716[[#This Row],[Shift]]="","",テーブル1716[[#This Row],[Shift]]&amp;"＋")&amp;
IF(テーブル1716[[#This Row],[Alt]]="","",テーブル1716[[#This Row],[Alt]]&amp;"＋")&amp;テーブル1716[[#This Row],[Key]]</f>
        <v/>
      </c>
      <c r="J93" s="3"/>
      <c r="K93" s="3"/>
    </row>
  </sheetData>
  <phoneticPr fontId="4"/>
  <dataValidations count="3">
    <dataValidation type="list" allowBlank="1" showInputMessage="1" sqref="A2:A93" xr:uid="{792C8B67-3330-4CC8-98DD-74E7AEE08EDE}">
      <formula1>"Ctrl"</formula1>
    </dataValidation>
    <dataValidation type="list" allowBlank="1" showInputMessage="1" sqref="B2:B93" xr:uid="{D1875E52-AD66-4A8C-8118-874DB7C8DFC0}">
      <formula1>"Shift"</formula1>
    </dataValidation>
    <dataValidation type="list" allowBlank="1" showInputMessage="1" sqref="C2:C93" xr:uid="{5C2B4D1A-AC34-427B-8E69-106B70F54DC3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852B-417C-426A-9D62-7129743CB66C}">
  <sheetPr codeName="Sheet2">
    <tabColor theme="8" tint="0.79998168889431442"/>
  </sheetPr>
  <dimension ref="A1:F98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|:---|:---|:---|:---|:---|</v>
      </c>
    </row>
    <row r="3" spans="1:6" ht="11.25" customHeight="1">
      <c r="A3" s="1" t="s">
        <v>0</v>
      </c>
      <c r="D3" s="2" t="s">
        <v>202</v>
      </c>
      <c r="E3" s="2" t="s">
        <v>198</v>
      </c>
      <c r="F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|Ctrl|||1|[メール] ビューに切り替える|</v>
      </c>
    </row>
    <row r="4" spans="1:6" ht="11.25" customHeight="1">
      <c r="A4" s="1" t="s">
        <v>0</v>
      </c>
      <c r="D4" s="2" t="s">
        <v>203</v>
      </c>
      <c r="E4" s="2" t="s">
        <v>199</v>
      </c>
      <c r="F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|Ctrl|||2|[予定表] ビューに切り替える|</v>
      </c>
    </row>
    <row r="5" spans="1:6" ht="11.25" customHeight="1">
      <c r="A5" s="1" t="s">
        <v>0</v>
      </c>
      <c r="D5" s="2" t="s">
        <v>204</v>
      </c>
      <c r="E5" s="2" t="s">
        <v>200</v>
      </c>
      <c r="F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|Ctrl|||3|[連絡先] ビューに切り替える|</v>
      </c>
    </row>
    <row r="6" spans="1:6" ht="11.25" customHeight="1">
      <c r="A6" s="1" t="s">
        <v>0</v>
      </c>
      <c r="B6" s="1" t="s">
        <v>1</v>
      </c>
      <c r="D6" s="2" t="s">
        <v>205</v>
      </c>
      <c r="E6" s="2" t="s">
        <v>214</v>
      </c>
      <c r="F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|Ctrl|Shift||a|予定 作成|</v>
      </c>
    </row>
    <row r="7" spans="1:6" ht="11.25" customHeight="1">
      <c r="A7" s="1" t="s">
        <v>0</v>
      </c>
      <c r="B7" s="1" t="s">
        <v>1</v>
      </c>
      <c r="D7" s="2" t="s">
        <v>86</v>
      </c>
      <c r="E7" s="2" t="s">
        <v>213</v>
      </c>
      <c r="F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|Ctrl|Shift||c|連絡先 作成|</v>
      </c>
    </row>
    <row r="8" spans="1:6" ht="11.25" customHeight="1">
      <c r="A8" s="1" t="s">
        <v>0</v>
      </c>
      <c r="B8" s="1" t="s">
        <v>1</v>
      </c>
      <c r="D8" s="2" t="s">
        <v>206</v>
      </c>
      <c r="E8" s="2" t="s">
        <v>212</v>
      </c>
      <c r="F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|Ctrl|Shift||e|フォルダー 作成|</v>
      </c>
    </row>
    <row r="9" spans="1:6" ht="11.25" customHeight="1">
      <c r="A9" s="1" t="s">
        <v>0</v>
      </c>
      <c r="B9" s="1" t="s">
        <v>1</v>
      </c>
      <c r="D9" s="2" t="s">
        <v>207</v>
      </c>
      <c r="E9" s="2" t="s">
        <v>211</v>
      </c>
      <c r="F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|Ctrl|Shift||q|会議出席依頼 作成|</v>
      </c>
    </row>
    <row r="10" spans="1:6" ht="11.25" customHeight="1">
      <c r="A10" s="1" t="s">
        <v>0</v>
      </c>
      <c r="D10" s="2" t="s">
        <v>1206</v>
      </c>
      <c r="E10" s="2" t="s">
        <v>1205</v>
      </c>
      <c r="F1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|Ctrl|||q/u|開封/未開封 切替|</v>
      </c>
    </row>
    <row r="11" spans="1:6" ht="11.25" customHeight="1">
      <c r="A11" s="1" t="s">
        <v>0</v>
      </c>
      <c r="B11" s="1" t="s">
        <v>1</v>
      </c>
      <c r="D11" s="6" t="s">
        <v>208</v>
      </c>
      <c r="E11" s="2" t="s">
        <v>201</v>
      </c>
      <c r="F1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|Ctrl|Shift||m|新規メッセージ|</v>
      </c>
    </row>
    <row r="12" spans="1:6" ht="11.25" customHeight="1">
      <c r="C12" s="1" t="s">
        <v>2</v>
      </c>
      <c r="D12" s="2" t="s">
        <v>209</v>
      </c>
      <c r="E12" s="2" t="s">
        <v>210</v>
      </c>
      <c r="F1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|||Alt|s|送信|</v>
      </c>
    </row>
    <row r="13" spans="1:6" ht="11.25" customHeight="1">
      <c r="A13" s="1" t="s">
        <v>0</v>
      </c>
      <c r="B13" s="1" t="s">
        <v>1199</v>
      </c>
      <c r="D13" s="2" t="s">
        <v>1198</v>
      </c>
      <c r="E13" s="2" t="s">
        <v>1200</v>
      </c>
      <c r="F1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|Ctrl|/Shift||tab|ペイン移動 次/前へ|</v>
      </c>
    </row>
    <row r="14" spans="1:6" ht="11.25" customHeight="1">
      <c r="A14" s="1" t="s">
        <v>0</v>
      </c>
      <c r="D14" s="2" t="s">
        <v>1202</v>
      </c>
      <c r="E14" s="2" t="s">
        <v>1201</v>
      </c>
      <c r="F1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|Ctrl|||f|検索ボックス移動|</v>
      </c>
    </row>
    <row r="15" spans="1:6" ht="11.25" customHeight="1">
      <c r="A15" s="1" t="s">
        <v>0</v>
      </c>
      <c r="B15" s="1" t="s">
        <v>1</v>
      </c>
      <c r="D15" s="2" t="s">
        <v>1204</v>
      </c>
      <c r="E15" s="2" t="s">
        <v>1203</v>
      </c>
      <c r="F1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>|Ctrl|Shift||b|アドレス帳|</v>
      </c>
    </row>
    <row r="16" spans="1:6" ht="11.25" customHeight="1">
      <c r="F1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17" spans="6:6" ht="11.25" customHeight="1">
      <c r="F1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18" spans="6:6" ht="11.25" customHeight="1">
      <c r="F1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19" spans="6:6" ht="11.25" customHeight="1">
      <c r="F1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0" spans="6:6" ht="11.25" customHeight="1">
      <c r="F2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1" spans="6:6" ht="11.25" customHeight="1">
      <c r="F2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2" spans="6:6" ht="11.25" customHeight="1">
      <c r="F2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3" spans="6:6" ht="11.25" customHeight="1">
      <c r="F2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4" spans="6:6" ht="11.25" customHeight="1">
      <c r="F2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5" spans="6:6" ht="11.25" customHeight="1">
      <c r="F2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6" spans="6:6" ht="11.25" customHeight="1">
      <c r="F2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7" spans="6:6" ht="11.25" customHeight="1">
      <c r="F2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8" spans="6:6" ht="11.25" customHeight="1">
      <c r="F2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29" spans="6:6" ht="11.25" customHeight="1">
      <c r="F2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0" spans="6:6" ht="11.25" customHeight="1">
      <c r="F3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1" spans="6:6" ht="11.25" customHeight="1">
      <c r="F3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2" spans="6:6" ht="11.25" customHeight="1">
      <c r="F3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3" spans="6:6" ht="11.25" customHeight="1">
      <c r="F3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4" spans="6:6" ht="11.25" customHeight="1">
      <c r="F3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5" spans="6:6" ht="11.25" customHeight="1">
      <c r="F3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6" spans="6:6" ht="11.25" customHeight="1">
      <c r="F3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7" spans="6:6" ht="11.25" customHeight="1">
      <c r="F3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8" spans="6:6" ht="11.25" customHeight="1">
      <c r="F3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39" spans="6:6" ht="11.25" customHeight="1">
      <c r="F3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0" spans="6:6" ht="11.25" customHeight="1">
      <c r="F4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1" spans="6:6" ht="11.25" customHeight="1">
      <c r="F4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2" spans="6:6" ht="11.25" customHeight="1">
      <c r="F4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3" spans="6:6" ht="11.25" customHeight="1">
      <c r="F4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4" spans="6:6" ht="11.25" customHeight="1">
      <c r="F4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5" spans="6:6" ht="11.25" customHeight="1">
      <c r="F4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6" spans="6:6" ht="11.25" customHeight="1">
      <c r="F4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7" spans="6:6" ht="11.25" customHeight="1">
      <c r="F4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8" spans="6:6" ht="11.25" customHeight="1">
      <c r="F4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49" spans="6:6" ht="11.25" customHeight="1">
      <c r="F4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0" spans="6:6" ht="11.25" customHeight="1">
      <c r="F5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1" spans="6:6" ht="11.25" customHeight="1">
      <c r="F5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2" spans="6:6" ht="11.25" customHeight="1">
      <c r="F5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3" spans="6:6" ht="11.25" customHeight="1">
      <c r="F5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4" spans="6:6" ht="11.25" customHeight="1">
      <c r="F5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5" spans="6:6" ht="11.25" customHeight="1">
      <c r="F5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6" spans="6:6" ht="11.25" customHeight="1">
      <c r="F5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7" spans="6:6" ht="11.25" customHeight="1">
      <c r="F5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8" spans="6:6" ht="11.25" customHeight="1">
      <c r="F5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59" spans="6:6" ht="11.25" customHeight="1">
      <c r="F5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0" spans="6:6" ht="11.25" customHeight="1">
      <c r="F6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1" spans="6:6" ht="11.25" customHeight="1">
      <c r="F6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2" spans="6:6" ht="11.25" customHeight="1">
      <c r="F6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3" spans="6:6" ht="11.25" customHeight="1">
      <c r="F6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4" spans="6:6" ht="11.25" customHeight="1">
      <c r="F6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5" spans="6:6" ht="11.25" customHeight="1">
      <c r="F6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6" spans="6:6" ht="11.25" customHeight="1">
      <c r="F6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7" spans="6:6" ht="11.25" customHeight="1">
      <c r="F6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8" spans="6:6" ht="11.25" customHeight="1">
      <c r="F6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69" spans="6:6" ht="11.25" customHeight="1">
      <c r="F6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0" spans="6:6" ht="11.25" customHeight="1">
      <c r="F7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1" spans="6:6" ht="11.25" customHeight="1">
      <c r="F7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2" spans="6:6" ht="11.25" customHeight="1">
      <c r="F7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3" spans="6:6" ht="11.25" customHeight="1">
      <c r="F7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4" spans="6:6" ht="11.25" customHeight="1">
      <c r="F7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5" spans="6:6" ht="11.25" customHeight="1">
      <c r="F7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6" spans="6:6" ht="11.25" customHeight="1">
      <c r="F7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7" spans="6:6" ht="11.25" customHeight="1">
      <c r="F7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8" spans="6:6" ht="11.25" customHeight="1">
      <c r="F7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79" spans="6:6" ht="11.25" customHeight="1">
      <c r="F7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0" spans="6:6" ht="11.25" customHeight="1">
      <c r="F8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1" spans="6:6" ht="11.25" customHeight="1">
      <c r="F8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2" spans="6:6" ht="11.25" customHeight="1">
      <c r="F8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3" spans="6:6" ht="11.25" customHeight="1">
      <c r="F8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4" spans="6:6" ht="11.25" customHeight="1">
      <c r="F8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5" spans="6:6" ht="11.25" customHeight="1">
      <c r="F8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6" spans="6:6" ht="11.25" customHeight="1">
      <c r="F8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7" spans="6:6" ht="11.25" customHeight="1">
      <c r="F8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8" spans="6:6" ht="11.25" customHeight="1">
      <c r="F8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89" spans="6:6" ht="11.25" customHeight="1">
      <c r="F89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0" spans="6:6" ht="11.25" customHeight="1">
      <c r="F90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1" spans="6:6" ht="11.25" customHeight="1">
      <c r="F91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2" spans="6:6" ht="11.25" customHeight="1">
      <c r="F92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3" spans="6:6" ht="11.25" customHeight="1">
      <c r="F93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4" spans="6:6" ht="11.25" customHeight="1">
      <c r="F94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5" spans="6:6" ht="11.25" customHeight="1">
      <c r="F95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6" spans="6:6" ht="11.25" customHeight="1">
      <c r="F96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7" spans="6:6" ht="11.25" customHeight="1">
      <c r="F97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  <row r="98" spans="6:6" ht="11.25" customHeight="1">
      <c r="F98" s="3" t="str">
        <f>IF(ISBLANK(テーブル17[[#This Row],[機能]]),"","|"&amp;テーブル17[[#This Row],[Ctrl]]&amp;"|"&amp;テーブル17[[#This Row],[Shift]]&amp;"|"&amp;テーブル17[[#This Row],[Alt]]&amp;"|"&amp;テーブル17[[#This Row],[Key]]&amp;"|"&amp;テーブル17[[#This Row],[機能]]&amp;"|")</f>
        <v/>
      </c>
    </row>
  </sheetData>
  <phoneticPr fontId="4"/>
  <dataValidations count="3">
    <dataValidation type="list" allowBlank="1" showInputMessage="1" sqref="A3:A98" xr:uid="{D60B7C14-B6BA-4C69-AC38-A51EE8CBF282}">
      <formula1>"Ctrl"</formula1>
    </dataValidation>
    <dataValidation type="list" allowBlank="1" showInputMessage="1" sqref="B3:B98" xr:uid="{021C6C4F-03A1-4BA6-B033-89C99068796A}">
      <formula1>"Shift"</formula1>
    </dataValidation>
    <dataValidation type="list" allowBlank="1" showInputMessage="1" sqref="C3:C98" xr:uid="{89FD6F49-A98C-4F5E-9F29-9AE41DAF2BEC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C059-5A40-43D7-BB70-4D3EFFE609FB}">
  <sheetPr codeName="Sheet3">
    <tabColor theme="8" tint="0.79998168889431442"/>
  </sheetPr>
  <dimension ref="A1:G105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7" width="18.875" style="3" bestFit="1" customWidth="1"/>
    <col min="8" max="16384" width="2" style="3"/>
  </cols>
  <sheetData>
    <row r="1" spans="1:7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  <c r="G1" s="3" t="s">
        <v>1189</v>
      </c>
    </row>
    <row r="2" spans="1:7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|:---|:---|:---|:---|:---|</v>
      </c>
      <c r="G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:---＋:---＋:---＋:---</v>
      </c>
    </row>
    <row r="3" spans="1:7" ht="11.25" customHeight="1">
      <c r="D3" s="2" t="s">
        <v>150</v>
      </c>
      <c r="E3" s="2" t="s">
        <v>223</v>
      </c>
      <c r="F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||||F4|直前の操作を繰り返す|</v>
      </c>
      <c r="G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F4</v>
      </c>
    </row>
    <row r="4" spans="1:7" ht="11.25" customHeight="1">
      <c r="D4" s="2" t="s">
        <v>150</v>
      </c>
      <c r="E4" s="2" t="s">
        <v>385</v>
      </c>
      <c r="F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||||F4|【文字入力時】相対参照⇔絶対参照|</v>
      </c>
      <c r="G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F4</v>
      </c>
    </row>
    <row r="5" spans="1:7" ht="11.25" customHeight="1">
      <c r="D5" s="2" t="s">
        <v>159</v>
      </c>
      <c r="E5" s="2" t="s">
        <v>365</v>
      </c>
      <c r="F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||||F5|ダイアログボックス表示 [ジャンプ]|</v>
      </c>
      <c r="G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F5</v>
      </c>
    </row>
    <row r="6" spans="1:7" ht="11.25" customHeight="1">
      <c r="D6" s="2" t="s">
        <v>399</v>
      </c>
      <c r="E6" s="2" t="s">
        <v>400</v>
      </c>
      <c r="F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||||F6|各ペインにフォーカスを当てる|</v>
      </c>
      <c r="G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F6</v>
      </c>
    </row>
    <row r="7" spans="1:7" ht="11.25" customHeight="1">
      <c r="D7" s="2" t="s">
        <v>224</v>
      </c>
      <c r="E7" s="2" t="s">
        <v>386</v>
      </c>
      <c r="F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||||F7|ダイアログボックス表示 [スペルチェック]|</v>
      </c>
      <c r="G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F7</v>
      </c>
    </row>
    <row r="8" spans="1:7" ht="11.25" customHeight="1">
      <c r="D8" s="2" t="s">
        <v>225</v>
      </c>
      <c r="E8" s="2" t="s">
        <v>226</v>
      </c>
      <c r="F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||||F12|名前を付けて保存|</v>
      </c>
      <c r="G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F12</v>
      </c>
    </row>
    <row r="9" spans="1:7" ht="11.25" customHeight="1">
      <c r="D9" s="2" t="s">
        <v>227</v>
      </c>
      <c r="E9" s="2" t="s">
        <v>387</v>
      </c>
      <c r="F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||||F2 ⇒ F9|数式→値 変換|</v>
      </c>
      <c r="G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F2 ⇒ F9</v>
      </c>
    </row>
    <row r="10" spans="1:7" ht="11.25" customHeight="1">
      <c r="D10" s="2" t="s">
        <v>154</v>
      </c>
      <c r="E10" s="2" t="s">
        <v>378</v>
      </c>
      <c r="F1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||||F2|【数式入力時】編集モード⇔入力モード切替|</v>
      </c>
      <c r="G1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F2</v>
      </c>
    </row>
    <row r="11" spans="1:7" ht="11.25" customHeight="1">
      <c r="D11" s="2" t="s">
        <v>388</v>
      </c>
      <c r="E11" s="2" t="s">
        <v>355</v>
      </c>
      <c r="F1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||||ScrollLock+方向キー|スクロールバー移動|</v>
      </c>
      <c r="G1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ScrollLock+方向キー</v>
      </c>
    </row>
    <row r="12" spans="1:7" ht="11.25" customHeight="1">
      <c r="A12" s="1" t="s">
        <v>0</v>
      </c>
      <c r="D12" s="2" t="s">
        <v>392</v>
      </c>
      <c r="E12" s="2" t="s">
        <v>393</v>
      </c>
      <c r="F1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|Ctrl|||t|テーブル挿入|</v>
      </c>
      <c r="G1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Ctrl＋t</v>
      </c>
    </row>
    <row r="13" spans="1:7" ht="11.25" customHeight="1">
      <c r="A13" s="1" t="s">
        <v>0</v>
      </c>
      <c r="D13" s="2" t="s">
        <v>202</v>
      </c>
      <c r="E13" s="7" t="s">
        <v>366</v>
      </c>
      <c r="F1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|Ctrl|||1|ダイアログボックス表示 [セルの書式設定]|</v>
      </c>
      <c r="G1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Ctrl＋1</v>
      </c>
    </row>
    <row r="14" spans="1:7" ht="11.25" customHeight="1">
      <c r="A14" s="1" t="s">
        <v>0</v>
      </c>
      <c r="D14" s="2" t="s">
        <v>374</v>
      </c>
      <c r="E14" s="7" t="s">
        <v>377</v>
      </c>
      <c r="F1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|Ctrl|||6|オブジェクト 表示/非表示 切り替え|</v>
      </c>
      <c r="G1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Ctrl＋6</v>
      </c>
    </row>
    <row r="15" spans="1:7" ht="11.25" customHeight="1">
      <c r="A15" s="1" t="s">
        <v>0</v>
      </c>
      <c r="D15" s="2" t="s">
        <v>375</v>
      </c>
      <c r="E15" s="7" t="s">
        <v>376</v>
      </c>
      <c r="F1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|Ctrl|||8|アウトライン記号 表示/非表示 切り替え|</v>
      </c>
      <c r="G1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Ctrl＋8</v>
      </c>
    </row>
    <row r="16" spans="1:7" ht="11.25" customHeight="1">
      <c r="A16" s="1" t="s">
        <v>0</v>
      </c>
      <c r="D16" s="2" t="s">
        <v>354</v>
      </c>
      <c r="E16" s="2" t="s">
        <v>370</v>
      </c>
      <c r="F1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|Ctrl|||F3|ダイアログボックス表示 [名前の管理]|</v>
      </c>
      <c r="G1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Ctrl＋F3</v>
      </c>
    </row>
    <row r="17" spans="1:7" ht="11.25" customHeight="1">
      <c r="A17" s="1" t="s">
        <v>0</v>
      </c>
      <c r="D17" s="2" t="s">
        <v>356</v>
      </c>
      <c r="E17" s="2" t="s">
        <v>357</v>
      </c>
      <c r="F1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|Ctrl|||\||選択行内のアクティブセル値不一致セルを選択|</v>
      </c>
      <c r="G1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Ctrl＋\|</v>
      </c>
    </row>
    <row r="18" spans="1:7" ht="11.25" customHeight="1">
      <c r="A18" s="1" t="s">
        <v>0</v>
      </c>
      <c r="D18" s="2" t="s">
        <v>361</v>
      </c>
      <c r="E18" s="2" t="s">
        <v>379</v>
      </c>
      <c r="F1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|Ctrl|||Delete|【値入力時】行末までテキスト削除|</v>
      </c>
      <c r="G1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Ctrl＋Delete</v>
      </c>
    </row>
    <row r="19" spans="1:7" ht="11.25" customHeight="1">
      <c r="B19" s="1" t="s">
        <v>1</v>
      </c>
      <c r="D19" s="2" t="s">
        <v>341</v>
      </c>
      <c r="E19" s="2" t="s">
        <v>342</v>
      </c>
      <c r="F1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||Shift||F4|次の空白へジャンプ|</v>
      </c>
      <c r="G1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Shift＋F4</v>
      </c>
    </row>
    <row r="20" spans="1:7" ht="11.25" customHeight="1">
      <c r="B20" s="1" t="s">
        <v>1</v>
      </c>
      <c r="D20" s="2" t="s">
        <v>343</v>
      </c>
      <c r="E20" s="2" t="s">
        <v>344</v>
      </c>
      <c r="F2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||Shift||F8|選択範囲の追加/削除|</v>
      </c>
      <c r="G2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Shift＋F8</v>
      </c>
    </row>
    <row r="21" spans="1:7" ht="11.25" customHeight="1">
      <c r="B21" s="1" t="s">
        <v>389</v>
      </c>
      <c r="D21" s="2" t="s">
        <v>345</v>
      </c>
      <c r="E21" s="2" t="s">
        <v>406</v>
      </c>
      <c r="F2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||Shift/||F9|再計算（シート/ブック 変更セルのみ）|</v>
      </c>
      <c r="G2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Shift/＋F9</v>
      </c>
    </row>
    <row r="22" spans="1:7" ht="11.25" customHeight="1">
      <c r="B22" s="1" t="s">
        <v>1</v>
      </c>
      <c r="D22" s="2" t="s">
        <v>221</v>
      </c>
      <c r="E22" s="2" t="s">
        <v>222</v>
      </c>
      <c r="F2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||Shift||F11|新規シートの挿入|</v>
      </c>
      <c r="G2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Shift＋F11</v>
      </c>
    </row>
    <row r="23" spans="1:7" ht="11.25" customHeight="1">
      <c r="C23" s="1" t="s">
        <v>2</v>
      </c>
      <c r="D23" s="2" t="s">
        <v>215</v>
      </c>
      <c r="E23" s="2" t="s">
        <v>216</v>
      </c>
      <c r="F2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|||Alt|F1|現在の範囲からグラフを作成|</v>
      </c>
      <c r="G2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Alt＋F1</v>
      </c>
    </row>
    <row r="24" spans="1:7" ht="11.25" customHeight="1">
      <c r="C24" s="1" t="s">
        <v>2</v>
      </c>
      <c r="D24" s="2" t="s">
        <v>364</v>
      </c>
      <c r="E24" s="2" t="s">
        <v>367</v>
      </c>
      <c r="F2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|||Alt|F8|ダイアログボックス表示 [マクロ]|</v>
      </c>
      <c r="G2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Alt＋F8</v>
      </c>
    </row>
    <row r="25" spans="1:7" ht="11.25" customHeight="1">
      <c r="C25" s="1" t="s">
        <v>2</v>
      </c>
      <c r="D25" s="2" t="s">
        <v>217</v>
      </c>
      <c r="E25" s="2" t="s">
        <v>218</v>
      </c>
      <c r="F2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|||Alt|PageUp(Down)|一画面分左に(右に)横スクロール|</v>
      </c>
      <c r="G2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Alt＋PageUp(Down)</v>
      </c>
    </row>
    <row r="26" spans="1:7" ht="11.25" customHeight="1">
      <c r="C26" s="1" t="s">
        <v>2</v>
      </c>
      <c r="D26" s="2" t="s">
        <v>407</v>
      </c>
      <c r="E26" s="2" t="s">
        <v>408</v>
      </c>
      <c r="F2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|||Alt|←/→|ハイパーリンクジャンプ 戻る/進む|</v>
      </c>
      <c r="G2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Alt＋←/→</v>
      </c>
    </row>
    <row r="27" spans="1:7" ht="11.25" customHeight="1">
      <c r="A27" s="1" t="s">
        <v>0</v>
      </c>
      <c r="B27" s="1" t="s">
        <v>65</v>
      </c>
      <c r="D27" s="9" t="s">
        <v>347</v>
      </c>
      <c r="E27" s="2" t="s">
        <v>348</v>
      </c>
      <c r="F2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|Ctrl|/Shift||9|選択行を非表示/表示|</v>
      </c>
      <c r="G2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Ctrl＋/Shift＋9</v>
      </c>
    </row>
    <row r="28" spans="1:7" ht="11.25" customHeight="1">
      <c r="A28" s="1" t="s">
        <v>0</v>
      </c>
      <c r="B28" s="1" t="s">
        <v>65</v>
      </c>
      <c r="D28" s="2" t="s">
        <v>228</v>
      </c>
      <c r="E28" s="2" t="s">
        <v>349</v>
      </c>
      <c r="F2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|Ctrl|/Shift||0|選択列を非表示/表示|</v>
      </c>
      <c r="G2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Ctrl＋/Shift＋0</v>
      </c>
    </row>
    <row r="29" spans="1:7" ht="11.25" customHeight="1">
      <c r="A29" s="1" t="s">
        <v>0</v>
      </c>
      <c r="B29" s="1" t="s">
        <v>1</v>
      </c>
      <c r="D29" s="2" t="s">
        <v>382</v>
      </c>
      <c r="E29" s="2" t="s">
        <v>360</v>
      </c>
      <c r="F2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|Ctrl|Shift||5|表示形式 [%]|</v>
      </c>
      <c r="G2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Ctrl＋Shift＋5</v>
      </c>
    </row>
    <row r="30" spans="1:7" ht="11.25" customHeight="1">
      <c r="A30" s="1" t="s">
        <v>0</v>
      </c>
      <c r="B30" s="1" t="s">
        <v>1</v>
      </c>
      <c r="D30" s="2" t="s">
        <v>383</v>
      </c>
      <c r="E30" s="2" t="s">
        <v>359</v>
      </c>
      <c r="F3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|Ctrl|Shift||3|表示形式 [日付]|</v>
      </c>
      <c r="G3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Ctrl＋Shift＋3</v>
      </c>
    </row>
    <row r="31" spans="1:7" ht="11.25" customHeight="1">
      <c r="A31" s="1" t="s">
        <v>0</v>
      </c>
      <c r="B31" s="1" t="s">
        <v>1</v>
      </c>
      <c r="D31" s="2" t="s">
        <v>394</v>
      </c>
      <c r="E31" s="7" t="s">
        <v>358</v>
      </c>
      <c r="F3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|Ctrl|Shift||^|表示形式 [標準]|</v>
      </c>
      <c r="G3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Ctrl＋Shift＋^</v>
      </c>
    </row>
    <row r="32" spans="1:7" ht="11.25" customHeight="1">
      <c r="A32" s="1" t="s">
        <v>0</v>
      </c>
      <c r="B32" s="1" t="s">
        <v>1</v>
      </c>
      <c r="D32" s="2" t="s">
        <v>384</v>
      </c>
      <c r="E32" s="2" t="s">
        <v>368</v>
      </c>
      <c r="F3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|Ctrl|Shift||:|アクティブ セル領域 (アクティブ セルを含み、空白の行と列で囲まれているデータ領域) を選択|</v>
      </c>
      <c r="G3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Ctrl＋Shift＋:</v>
      </c>
    </row>
    <row r="33" spans="1:7" ht="11.25" customHeight="1">
      <c r="A33" s="8" t="s">
        <v>0</v>
      </c>
      <c r="B33" s="1" t="s">
        <v>1</v>
      </c>
      <c r="D33" s="2" t="s">
        <v>363</v>
      </c>
      <c r="E33" s="2" t="s">
        <v>362</v>
      </c>
      <c r="F3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|Ctrl|Shift||@|表示切替 値⇔数式|</v>
      </c>
      <c r="G3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Ctrl＋Shift＋@</v>
      </c>
    </row>
    <row r="34" spans="1:7" ht="11.25" customHeight="1">
      <c r="A34" s="1" t="s">
        <v>0</v>
      </c>
      <c r="B34" s="1" t="s">
        <v>1</v>
      </c>
      <c r="D34" s="2" t="s">
        <v>371</v>
      </c>
      <c r="E34" s="7" t="s">
        <v>372</v>
      </c>
      <c r="F3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|Ctrl|Shift||o|コメントが入力されている全セル選択|</v>
      </c>
      <c r="G3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Ctrl＋Shift＋o</v>
      </c>
    </row>
    <row r="35" spans="1:7" ht="11.25" customHeight="1">
      <c r="A35" s="1" t="s">
        <v>0</v>
      </c>
      <c r="B35" s="1" t="s">
        <v>1</v>
      </c>
      <c r="D35" s="2" t="s">
        <v>351</v>
      </c>
      <c r="E35" s="2" t="s">
        <v>373</v>
      </c>
      <c r="F3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|Ctrl|Shift||u|数式バー 展開/折りたたみ|</v>
      </c>
      <c r="G3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Ctrl＋Shift＋u</v>
      </c>
    </row>
    <row r="36" spans="1:7" ht="11.25" customHeight="1">
      <c r="A36" s="1" t="s">
        <v>0</v>
      </c>
      <c r="B36" s="1" t="s">
        <v>1</v>
      </c>
      <c r="D36" s="2" t="s">
        <v>352</v>
      </c>
      <c r="E36" s="2" t="s">
        <v>366</v>
      </c>
      <c r="F3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|Ctrl|Shift||p|ダイアログボックス表示 [セルの書式設定]|</v>
      </c>
      <c r="G3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Ctrl＋Shift＋p</v>
      </c>
    </row>
    <row r="37" spans="1:7" ht="11.25" customHeight="1">
      <c r="A37" s="1" t="s">
        <v>0</v>
      </c>
      <c r="B37" s="1" t="s">
        <v>1</v>
      </c>
      <c r="D37" s="2" t="s">
        <v>346</v>
      </c>
      <c r="E37" s="2" t="s">
        <v>350</v>
      </c>
      <c r="F3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|Ctrl|Shift||F3|選択セルから名前付き範囲を作成|</v>
      </c>
      <c r="G3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Ctrl＋Shift＋F3</v>
      </c>
    </row>
    <row r="38" spans="1:7" ht="11.25" customHeight="1">
      <c r="B38" s="1" t="s">
        <v>1</v>
      </c>
      <c r="C38" s="1" t="s">
        <v>2</v>
      </c>
      <c r="D38" s="2" t="s">
        <v>219</v>
      </c>
      <c r="E38" s="2" t="s">
        <v>220</v>
      </c>
      <c r="F3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||Shift|Alt|=|オートSUM機能|</v>
      </c>
      <c r="G3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Shift＋Alt＋=</v>
      </c>
    </row>
    <row r="39" spans="1:7" ht="11.25" customHeight="1">
      <c r="B39" s="1" t="s">
        <v>1</v>
      </c>
      <c r="C39" s="1" t="s">
        <v>2</v>
      </c>
      <c r="D39" s="2" t="s">
        <v>380</v>
      </c>
      <c r="E39" s="2" t="s">
        <v>381</v>
      </c>
      <c r="F3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||Shift|Alt|→/←|グループ化/グループ化解除|</v>
      </c>
      <c r="G3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Shift＋Alt＋→/←</v>
      </c>
    </row>
    <row r="40" spans="1:7" ht="11.25" customHeight="1">
      <c r="B40" s="1" t="s">
        <v>1</v>
      </c>
      <c r="C40" s="1" t="s">
        <v>2</v>
      </c>
      <c r="D40" s="2" t="s">
        <v>390</v>
      </c>
      <c r="E40" s="2" t="s">
        <v>391</v>
      </c>
      <c r="F4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||Shift|Alt|7|ブックのスタイルを設定|</v>
      </c>
      <c r="G4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Shift＋Alt＋7</v>
      </c>
    </row>
    <row r="41" spans="1:7" ht="11.25" customHeight="1">
      <c r="A41" s="1" t="s">
        <v>0</v>
      </c>
      <c r="C41" s="1" t="s">
        <v>2</v>
      </c>
      <c r="D41" s="2" t="s">
        <v>340</v>
      </c>
      <c r="E41" s="2" t="s">
        <v>369</v>
      </c>
      <c r="F4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|Ctrl||Alt|v|ダイアログボックス表示 [形式を選択して貼り付け]|</v>
      </c>
      <c r="G4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Ctrl＋Alt＋v</v>
      </c>
    </row>
    <row r="42" spans="1:7" ht="11.25" customHeight="1">
      <c r="A42" s="1" t="s">
        <v>0</v>
      </c>
      <c r="C42" s="1" t="s">
        <v>2</v>
      </c>
      <c r="D42" s="2" t="s">
        <v>403</v>
      </c>
      <c r="E42" s="2" t="s">
        <v>405</v>
      </c>
      <c r="F4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|Ctrl||Alt|F9|再計算（全シート全セル）|</v>
      </c>
      <c r="G4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Ctrl＋Alt＋F9</v>
      </c>
    </row>
    <row r="43" spans="1:7" ht="11.25" customHeight="1">
      <c r="A43" s="1" t="s">
        <v>0</v>
      </c>
      <c r="B43" s="1" t="s">
        <v>1</v>
      </c>
      <c r="C43" s="1" t="s">
        <v>2</v>
      </c>
      <c r="D43" s="2" t="s">
        <v>403</v>
      </c>
      <c r="E43" s="2" t="s">
        <v>404</v>
      </c>
      <c r="F4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|Ctrl|Shift|Alt|F9|再計算（参照先の数式を含め全シート全セル）|</v>
      </c>
      <c r="G4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Ctrl＋Shift＋Alt＋F9</v>
      </c>
    </row>
    <row r="44" spans="1:7" ht="11.25" customHeight="1">
      <c r="A44" s="1" t="s">
        <v>0</v>
      </c>
      <c r="D44" s="2" t="s">
        <v>1573</v>
      </c>
      <c r="E44" s="2" t="s">
        <v>1575</v>
      </c>
      <c r="F4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>|Ctrl|||.|選択範囲四隅セル移動|</v>
      </c>
      <c r="G4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>Ctrl＋.</v>
      </c>
    </row>
    <row r="45" spans="1:7" ht="11.25" customHeight="1">
      <c r="F4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4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46" spans="1:7" ht="11.25" customHeight="1">
      <c r="F4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4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47" spans="1:7" ht="11.25" customHeight="1">
      <c r="F4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4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48" spans="1:7" ht="11.25" customHeight="1">
      <c r="F4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4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49" spans="6:7" ht="11.25" customHeight="1">
      <c r="F4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4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0" spans="6:7" ht="11.25" customHeight="1">
      <c r="F5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1" spans="6:7" ht="11.25" customHeight="1">
      <c r="F5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2" spans="6:7" ht="11.25" customHeight="1">
      <c r="F5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3" spans="6:7" ht="11.25" customHeight="1">
      <c r="F5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4" spans="6:7" ht="11.25" customHeight="1">
      <c r="F5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5" spans="6:7" ht="11.25" customHeight="1">
      <c r="F5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6" spans="6:7" ht="11.25" customHeight="1">
      <c r="F5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7" spans="6:7" ht="11.25" customHeight="1">
      <c r="F5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8" spans="6:7" ht="11.25" customHeight="1">
      <c r="F5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59" spans="6:7" ht="11.25" customHeight="1">
      <c r="F5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5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0" spans="6:7" ht="11.25" customHeight="1">
      <c r="F6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1" spans="6:7" ht="11.25" customHeight="1">
      <c r="F6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2" spans="6:7" ht="11.25" customHeight="1">
      <c r="F6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3" spans="6:7" ht="11.25" customHeight="1">
      <c r="F6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4" spans="6:7" ht="11.25" customHeight="1">
      <c r="F6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5" spans="6:7" ht="11.25" customHeight="1">
      <c r="F6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6" spans="6:7" ht="11.25" customHeight="1">
      <c r="F6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7" spans="6:7" ht="11.25" customHeight="1">
      <c r="F6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8" spans="6:7" ht="11.25" customHeight="1">
      <c r="F6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69" spans="6:7" ht="11.25" customHeight="1">
      <c r="F6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6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0" spans="6:7" ht="11.25" customHeight="1">
      <c r="F7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1" spans="6:7" ht="11.25" customHeight="1">
      <c r="F7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2" spans="6:7" ht="11.25" customHeight="1">
      <c r="F7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3" spans="6:7" ht="11.25" customHeight="1">
      <c r="F7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4" spans="6:7" ht="11.25" customHeight="1">
      <c r="F7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5" spans="6:7" ht="11.25" customHeight="1">
      <c r="F7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6" spans="6:7" ht="11.25" customHeight="1">
      <c r="F7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7" spans="6:7" ht="11.25" customHeight="1">
      <c r="F7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8" spans="6:7" ht="11.25" customHeight="1">
      <c r="F7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79" spans="6:7" ht="11.25" customHeight="1">
      <c r="F7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7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0" spans="6:7" ht="11.25" customHeight="1">
      <c r="F8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1" spans="6:7" ht="11.25" customHeight="1">
      <c r="F8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2" spans="6:7" ht="11.25" customHeight="1">
      <c r="F8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3" spans="6:7" ht="11.25" customHeight="1">
      <c r="F8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4" spans="6:7" ht="11.25" customHeight="1">
      <c r="F8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5" spans="6:7" ht="11.25" customHeight="1">
      <c r="F8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6" spans="6:7" ht="11.25" customHeight="1">
      <c r="F8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7" spans="6:7" ht="11.25" customHeight="1">
      <c r="F8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8" spans="6:7" ht="11.25" customHeight="1">
      <c r="F8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89" spans="6:7" ht="11.25" customHeight="1">
      <c r="F8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8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0" spans="6:7" ht="11.25" customHeight="1">
      <c r="F9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1" spans="6:7" ht="11.25" customHeight="1">
      <c r="F9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2" spans="6:7" ht="11.25" customHeight="1">
      <c r="F9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3" spans="6:7" ht="11.25" customHeight="1">
      <c r="F9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4" spans="6:7" ht="11.25" customHeight="1">
      <c r="F9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5" spans="6:7" ht="11.25" customHeight="1">
      <c r="F9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6" spans="6:7" ht="11.25" customHeight="1">
      <c r="F96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6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7" spans="6:7" ht="11.25" customHeight="1">
      <c r="F97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7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8" spans="6:7" ht="11.25" customHeight="1">
      <c r="F98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8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99" spans="6:7" ht="11.25" customHeight="1">
      <c r="F99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99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100" spans="6:7" ht="11.25" customHeight="1">
      <c r="F100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100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101" spans="6:7" ht="11.25" customHeight="1">
      <c r="F101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101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102" spans="6:7" ht="11.25" customHeight="1">
      <c r="F102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102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103" spans="6:7" ht="11.25" customHeight="1">
      <c r="F103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103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104" spans="6:7" ht="11.25" customHeight="1">
      <c r="F104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104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  <row r="105" spans="6:7" ht="11.25" customHeight="1">
      <c r="F105" s="3" t="str">
        <f>IF(ISBLANK(テーブル178[[#This Row],[機能]]),"","|"&amp;テーブル178[[#This Row],[Ctrl]]&amp;"|"&amp;テーブル178[[#This Row],[Shift]]&amp;"|"&amp;テーブル178[[#This Row],[Alt]]&amp;"|"&amp;テーブル178[[#This Row],[Key]]&amp;"|"&amp;テーブル178[[#This Row],[機能]]&amp;"|")</f>
        <v/>
      </c>
      <c r="G105" s="47" t="str">
        <f>IF(テーブル178[[#This Row],[Ctrl]]="","",テーブル178[[#This Row],[Ctrl]]&amp;"＋")&amp;
IF(テーブル178[[#This Row],[Shift]]="","",テーブル178[[#This Row],[Shift]]&amp;"＋")&amp;
IF(テーブル178[[#This Row],[Alt]]="","",テーブル178[[#This Row],[Alt]]&amp;"＋")&amp;テーブル178[[#This Row],[Key]]</f>
        <v/>
      </c>
    </row>
  </sheetData>
  <phoneticPr fontId="4"/>
  <dataValidations count="3">
    <dataValidation type="list" allowBlank="1" showInputMessage="1" showErrorMessage="1" sqref="C3:C105" xr:uid="{FF7BEE9C-E158-4724-902D-22D2E3815EC6}">
      <formula1>"Alt"</formula1>
    </dataValidation>
    <dataValidation type="list" allowBlank="1" showInputMessage="1" sqref="A2:A105" xr:uid="{EBB9C438-9CA0-42EE-9EB1-464C9F311612}">
      <formula1>"Ctrl"</formula1>
    </dataValidation>
    <dataValidation allowBlank="1" showInputMessage="1" sqref="B2:B105" xr:uid="{67CA9DA1-15C9-4256-82FE-8BA70E1D8F27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23C9-002D-4028-8F80-F5D83244E5B3}">
  <sheetPr codeName="Sheet17">
    <tabColor theme="8" tint="0.79998168889431442"/>
  </sheetPr>
  <dimension ref="A1:K104"/>
  <sheetViews>
    <sheetView zoomScaleNormal="100"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11" ht="24">
      <c r="A1" s="20" t="s">
        <v>540</v>
      </c>
      <c r="B1" s="25" t="s">
        <v>670</v>
      </c>
      <c r="C1" s="25" t="s">
        <v>542</v>
      </c>
      <c r="D1" s="25" t="s">
        <v>541</v>
      </c>
      <c r="E1" s="25" t="s">
        <v>543</v>
      </c>
      <c r="F1" s="25" t="s">
        <v>544</v>
      </c>
      <c r="G1" s="25" t="s">
        <v>545</v>
      </c>
      <c r="H1" s="25" t="s">
        <v>546</v>
      </c>
      <c r="I1" s="26" t="s">
        <v>861</v>
      </c>
    </row>
    <row r="2" spans="1:11" s="14" customFormat="1" ht="12">
      <c r="A2" s="21" t="s">
        <v>215</v>
      </c>
      <c r="B2" s="12" t="s">
        <v>1012</v>
      </c>
      <c r="C2" s="12" t="s">
        <v>1023</v>
      </c>
      <c r="D2" s="12" t="s">
        <v>1002</v>
      </c>
      <c r="E2" s="12" t="s">
        <v>216</v>
      </c>
      <c r="F2" s="12" t="s">
        <v>1032</v>
      </c>
      <c r="G2" s="12" t="s">
        <v>1035</v>
      </c>
      <c r="H2" s="12" t="s">
        <v>670</v>
      </c>
      <c r="I2" s="19" t="s">
        <v>670</v>
      </c>
    </row>
    <row r="3" spans="1:11" s="14" customFormat="1" ht="12">
      <c r="A3" s="21" t="s">
        <v>154</v>
      </c>
      <c r="B3" s="12" t="s">
        <v>960</v>
      </c>
      <c r="C3" s="12" t="s">
        <v>1017</v>
      </c>
      <c r="D3" s="41" t="s">
        <v>1003</v>
      </c>
      <c r="E3" s="12" t="s">
        <v>1024</v>
      </c>
      <c r="F3" s="12" t="s">
        <v>670</v>
      </c>
      <c r="G3" s="12" t="s">
        <v>670</v>
      </c>
      <c r="H3" s="12" t="s">
        <v>670</v>
      </c>
      <c r="I3" s="19" t="s">
        <v>670</v>
      </c>
    </row>
    <row r="4" spans="1:11" s="14" customFormat="1" ht="12">
      <c r="A4" s="21" t="s">
        <v>156</v>
      </c>
      <c r="B4" s="12" t="s">
        <v>1077</v>
      </c>
      <c r="C4" s="12" t="s">
        <v>1016</v>
      </c>
      <c r="D4" s="12" t="s">
        <v>1001</v>
      </c>
      <c r="E4" s="12" t="s">
        <v>670</v>
      </c>
      <c r="F4" s="12" t="s">
        <v>979</v>
      </c>
      <c r="G4" s="12" t="s">
        <v>670</v>
      </c>
      <c r="H4" s="12" t="s">
        <v>670</v>
      </c>
      <c r="I4" s="19" t="s">
        <v>670</v>
      </c>
    </row>
    <row r="5" spans="1:11" s="14" customFormat="1" ht="12">
      <c r="A5" s="21" t="s">
        <v>150</v>
      </c>
      <c r="B5" s="12" t="s">
        <v>961</v>
      </c>
      <c r="C5" s="12" t="s">
        <v>1695</v>
      </c>
      <c r="D5" s="12" t="s">
        <v>843</v>
      </c>
      <c r="E5" s="12" t="s">
        <v>1025</v>
      </c>
      <c r="F5" s="12" t="s">
        <v>1694</v>
      </c>
      <c r="G5" s="12" t="s">
        <v>670</v>
      </c>
      <c r="H5" s="12" t="s">
        <v>670</v>
      </c>
      <c r="I5" s="19" t="s">
        <v>670</v>
      </c>
    </row>
    <row r="6" spans="1:11" s="14" customFormat="1" ht="12">
      <c r="A6" s="21" t="s">
        <v>159</v>
      </c>
      <c r="B6" s="12" t="s">
        <v>1080</v>
      </c>
      <c r="C6" s="42" t="s">
        <v>1018</v>
      </c>
      <c r="D6" s="12" t="s">
        <v>1004</v>
      </c>
      <c r="E6" s="12" t="s">
        <v>670</v>
      </c>
      <c r="F6" s="12" t="s">
        <v>670</v>
      </c>
      <c r="G6" s="12" t="s">
        <v>670</v>
      </c>
      <c r="H6" s="12" t="s">
        <v>670</v>
      </c>
      <c r="I6" s="19" t="s">
        <v>670</v>
      </c>
    </row>
    <row r="7" spans="1:11" s="14" customFormat="1" ht="12">
      <c r="A7" s="21" t="s">
        <v>53</v>
      </c>
      <c r="B7" s="12" t="s">
        <v>954</v>
      </c>
      <c r="C7" s="12" t="s">
        <v>1019</v>
      </c>
      <c r="D7" s="12" t="s">
        <v>1005</v>
      </c>
      <c r="E7" s="12" t="s">
        <v>670</v>
      </c>
      <c r="F7" s="12" t="s">
        <v>1033</v>
      </c>
      <c r="G7" s="12" t="s">
        <v>670</v>
      </c>
      <c r="H7" s="12" t="s">
        <v>670</v>
      </c>
      <c r="I7" s="19" t="s">
        <v>670</v>
      </c>
    </row>
    <row r="8" spans="1:11" s="14" customFormat="1" ht="12">
      <c r="A8" s="21" t="s">
        <v>224</v>
      </c>
      <c r="B8" s="12" t="s">
        <v>1081</v>
      </c>
      <c r="C8" s="12" t="s">
        <v>1020</v>
      </c>
      <c r="D8" s="12" t="s">
        <v>1006</v>
      </c>
      <c r="E8" s="12" t="s">
        <v>670</v>
      </c>
      <c r="F8" s="12" t="s">
        <v>670</v>
      </c>
      <c r="G8" s="12" t="s">
        <v>670</v>
      </c>
      <c r="H8" s="12" t="s">
        <v>670</v>
      </c>
      <c r="I8" s="19" t="s">
        <v>670</v>
      </c>
    </row>
    <row r="9" spans="1:11" s="14" customFormat="1" ht="12">
      <c r="A9" s="21" t="s">
        <v>238</v>
      </c>
      <c r="B9" s="12" t="s">
        <v>1013</v>
      </c>
      <c r="C9" s="12" t="s">
        <v>962</v>
      </c>
      <c r="D9" s="12" t="s">
        <v>1007</v>
      </c>
      <c r="E9" s="12" t="s">
        <v>1082</v>
      </c>
      <c r="F9" s="12" t="s">
        <v>670</v>
      </c>
      <c r="G9" s="45" t="s">
        <v>1092</v>
      </c>
      <c r="H9" s="12" t="s">
        <v>670</v>
      </c>
      <c r="I9" s="19" t="s">
        <v>670</v>
      </c>
    </row>
    <row r="10" spans="1:11" s="14" customFormat="1" ht="12">
      <c r="A10" s="21" t="s">
        <v>235</v>
      </c>
      <c r="B10" s="12" t="s">
        <v>963</v>
      </c>
      <c r="C10" s="12" t="s">
        <v>964</v>
      </c>
      <c r="D10" s="12" t="s">
        <v>1008</v>
      </c>
      <c r="E10" s="12" t="s">
        <v>670</v>
      </c>
      <c r="F10" s="12" t="s">
        <v>670</v>
      </c>
      <c r="G10" s="12" t="s">
        <v>670</v>
      </c>
      <c r="H10" s="12" t="s">
        <v>983</v>
      </c>
      <c r="I10" s="19" t="s">
        <v>984</v>
      </c>
    </row>
    <row r="11" spans="1:11" s="14" customFormat="1" ht="12">
      <c r="A11" s="21" t="s">
        <v>141</v>
      </c>
      <c r="B11" s="42" t="s">
        <v>1014</v>
      </c>
      <c r="C11" s="12" t="s">
        <v>1021</v>
      </c>
      <c r="D11" s="12" t="s">
        <v>1009</v>
      </c>
      <c r="E11" s="12" t="s">
        <v>670</v>
      </c>
      <c r="F11" s="12" t="s">
        <v>1034</v>
      </c>
      <c r="G11" s="12" t="s">
        <v>1036</v>
      </c>
      <c r="H11" s="12" t="s">
        <v>670</v>
      </c>
      <c r="I11" s="19" t="s">
        <v>670</v>
      </c>
    </row>
    <row r="12" spans="1:11" s="14" customFormat="1" ht="12">
      <c r="A12" s="21" t="s">
        <v>221</v>
      </c>
      <c r="B12" s="12" t="s">
        <v>1015</v>
      </c>
      <c r="C12" s="45" t="s">
        <v>1698</v>
      </c>
      <c r="D12" s="12" t="s">
        <v>1010</v>
      </c>
      <c r="E12" s="12" t="s">
        <v>1026</v>
      </c>
      <c r="F12" s="45" t="s">
        <v>1703</v>
      </c>
      <c r="G12" s="12" t="s">
        <v>670</v>
      </c>
      <c r="H12" s="12" t="s">
        <v>670</v>
      </c>
      <c r="I12" s="19" t="s">
        <v>670</v>
      </c>
    </row>
    <row r="13" spans="1:11" s="14" customFormat="1" ht="12">
      <c r="A13" s="21" t="s">
        <v>225</v>
      </c>
      <c r="B13" s="12" t="s">
        <v>226</v>
      </c>
      <c r="C13" s="42" t="s">
        <v>1022</v>
      </c>
      <c r="D13" s="42" t="s">
        <v>1011</v>
      </c>
      <c r="E13" s="12" t="s">
        <v>670</v>
      </c>
      <c r="F13" s="42" t="s">
        <v>1084</v>
      </c>
      <c r="G13" s="12" t="s">
        <v>670</v>
      </c>
      <c r="H13" s="12" t="s">
        <v>670</v>
      </c>
      <c r="I13" s="19" t="s">
        <v>670</v>
      </c>
    </row>
    <row r="14" spans="1:11" ht="12">
      <c r="A14" s="22">
        <v>1</v>
      </c>
      <c r="B14" s="19" t="s">
        <v>996</v>
      </c>
      <c r="C14" s="19" t="s">
        <v>996</v>
      </c>
      <c r="D14" s="12" t="s">
        <v>997</v>
      </c>
      <c r="E14" s="19" t="s">
        <v>670</v>
      </c>
      <c r="F14" s="12" t="s">
        <v>1028</v>
      </c>
      <c r="G14" s="12" t="s">
        <v>670</v>
      </c>
      <c r="H14" s="39" t="s">
        <v>670</v>
      </c>
      <c r="I14" s="19" t="s">
        <v>670</v>
      </c>
    </row>
    <row r="15" spans="1:11" ht="12">
      <c r="A15" s="22">
        <v>2</v>
      </c>
      <c r="B15" s="19" t="s">
        <v>996</v>
      </c>
      <c r="C15" s="19" t="s">
        <v>996</v>
      </c>
      <c r="D15" s="45" t="s">
        <v>1088</v>
      </c>
      <c r="E15" s="19" t="s">
        <v>670</v>
      </c>
      <c r="F15" s="12" t="s">
        <v>1027</v>
      </c>
      <c r="G15" s="45" t="s">
        <v>1700</v>
      </c>
      <c r="H15" s="45" t="s">
        <v>1699</v>
      </c>
      <c r="I15" s="19" t="s">
        <v>670</v>
      </c>
    </row>
    <row r="16" spans="1:11" ht="12">
      <c r="A16" s="22">
        <v>3</v>
      </c>
      <c r="B16" s="19" t="s">
        <v>996</v>
      </c>
      <c r="C16" s="19" t="s">
        <v>996</v>
      </c>
      <c r="D16" s="45" t="s">
        <v>1089</v>
      </c>
      <c r="E16" s="19" t="s">
        <v>670</v>
      </c>
      <c r="F16" s="38" t="s">
        <v>974</v>
      </c>
      <c r="G16" s="45" t="s">
        <v>1702</v>
      </c>
      <c r="H16" s="45" t="s">
        <v>1701</v>
      </c>
      <c r="I16" s="19" t="s">
        <v>670</v>
      </c>
      <c r="K16" s="40"/>
    </row>
    <row r="17" spans="1:9" ht="12">
      <c r="A17" s="22">
        <v>4</v>
      </c>
      <c r="B17" s="19" t="s">
        <v>996</v>
      </c>
      <c r="C17" s="19" t="s">
        <v>996</v>
      </c>
      <c r="D17" s="12" t="s">
        <v>998</v>
      </c>
      <c r="E17" s="19" t="s">
        <v>670</v>
      </c>
      <c r="F17" s="38" t="s">
        <v>1029</v>
      </c>
      <c r="G17" s="12" t="s">
        <v>670</v>
      </c>
      <c r="H17" s="12" t="s">
        <v>670</v>
      </c>
      <c r="I17" s="19" t="s">
        <v>670</v>
      </c>
    </row>
    <row r="18" spans="1:9" ht="12">
      <c r="A18" s="22">
        <v>5</v>
      </c>
      <c r="B18" s="19" t="s">
        <v>996</v>
      </c>
      <c r="C18" s="19" t="s">
        <v>996</v>
      </c>
      <c r="D18" s="12" t="s">
        <v>999</v>
      </c>
      <c r="E18" s="19" t="s">
        <v>670</v>
      </c>
      <c r="F18" s="12" t="s">
        <v>973</v>
      </c>
      <c r="G18" s="12" t="s">
        <v>670</v>
      </c>
      <c r="H18" s="12" t="s">
        <v>670</v>
      </c>
      <c r="I18" s="19" t="s">
        <v>670</v>
      </c>
    </row>
    <row r="19" spans="1:9" ht="12">
      <c r="A19" s="22">
        <v>6</v>
      </c>
      <c r="B19" s="19" t="s">
        <v>996</v>
      </c>
      <c r="C19" s="19" t="s">
        <v>996</v>
      </c>
      <c r="D19" s="12" t="s">
        <v>956</v>
      </c>
      <c r="E19" s="19" t="s">
        <v>670</v>
      </c>
      <c r="F19" s="12" t="s">
        <v>1030</v>
      </c>
      <c r="G19" s="12" t="s">
        <v>670</v>
      </c>
      <c r="H19" s="12" t="s">
        <v>670</v>
      </c>
      <c r="I19" s="19" t="s">
        <v>670</v>
      </c>
    </row>
    <row r="20" spans="1:9" ht="12">
      <c r="A20" s="22">
        <v>7</v>
      </c>
      <c r="B20" s="19" t="s">
        <v>996</v>
      </c>
      <c r="C20" s="19" t="s">
        <v>996</v>
      </c>
      <c r="D20" s="12" t="s">
        <v>1000</v>
      </c>
      <c r="E20" s="19" t="s">
        <v>670</v>
      </c>
      <c r="F20" s="12" t="s">
        <v>1031</v>
      </c>
      <c r="G20" s="12" t="s">
        <v>982</v>
      </c>
      <c r="H20" s="12" t="s">
        <v>670</v>
      </c>
      <c r="I20" s="19" t="s">
        <v>670</v>
      </c>
    </row>
    <row r="21" spans="1:9" ht="12">
      <c r="A21" s="22">
        <v>8</v>
      </c>
      <c r="B21" s="19" t="s">
        <v>996</v>
      </c>
      <c r="C21" s="19" t="s">
        <v>996</v>
      </c>
      <c r="D21" s="12" t="s">
        <v>957</v>
      </c>
      <c r="E21" s="19" t="s">
        <v>670</v>
      </c>
      <c r="F21" s="12" t="s">
        <v>670</v>
      </c>
      <c r="G21" s="12" t="s">
        <v>670</v>
      </c>
      <c r="H21" s="12" t="s">
        <v>670</v>
      </c>
      <c r="I21" s="19" t="s">
        <v>670</v>
      </c>
    </row>
    <row r="22" spans="1:9" ht="12">
      <c r="A22" s="22">
        <v>9</v>
      </c>
      <c r="B22" s="19" t="s">
        <v>996</v>
      </c>
      <c r="C22" s="19" t="s">
        <v>996</v>
      </c>
      <c r="D22" s="12" t="s">
        <v>969</v>
      </c>
      <c r="E22" s="19" t="s">
        <v>670</v>
      </c>
      <c r="F22" s="12" t="s">
        <v>970</v>
      </c>
      <c r="G22" s="12" t="s">
        <v>670</v>
      </c>
      <c r="H22" s="12" t="s">
        <v>670</v>
      </c>
      <c r="I22" s="19" t="s">
        <v>670</v>
      </c>
    </row>
    <row r="23" spans="1:9" ht="12">
      <c r="A23" s="22">
        <v>0</v>
      </c>
      <c r="B23" s="19" t="s">
        <v>996</v>
      </c>
      <c r="C23" s="19" t="s">
        <v>996</v>
      </c>
      <c r="D23" s="12" t="s">
        <v>971</v>
      </c>
      <c r="E23" s="19" t="s">
        <v>670</v>
      </c>
      <c r="F23" s="12" t="s">
        <v>972</v>
      </c>
      <c r="G23" s="12" t="s">
        <v>670</v>
      </c>
      <c r="H23" s="12" t="s">
        <v>670</v>
      </c>
      <c r="I23" s="19" t="s">
        <v>670</v>
      </c>
    </row>
    <row r="24" spans="1:9" s="14" customFormat="1" ht="12">
      <c r="A24" s="21" t="s">
        <v>673</v>
      </c>
      <c r="B24" s="12" t="s">
        <v>1063</v>
      </c>
      <c r="C24" s="19" t="s">
        <v>1060</v>
      </c>
      <c r="D24" s="38" t="s">
        <v>1067</v>
      </c>
      <c r="E24" s="12" t="s">
        <v>670</v>
      </c>
      <c r="F24" s="12" t="s">
        <v>1141</v>
      </c>
      <c r="G24" s="12" t="s">
        <v>1140</v>
      </c>
      <c r="H24" s="45" t="s">
        <v>1145</v>
      </c>
      <c r="I24" s="19" t="s">
        <v>670</v>
      </c>
    </row>
    <row r="25" spans="1:9" s="14" customFormat="1" ht="12">
      <c r="A25" s="21" t="s">
        <v>674</v>
      </c>
      <c r="B25" s="12" t="s">
        <v>1063</v>
      </c>
      <c r="C25" s="19" t="s">
        <v>1060</v>
      </c>
      <c r="D25" s="12" t="s">
        <v>1068</v>
      </c>
      <c r="E25" s="12" t="s">
        <v>670</v>
      </c>
      <c r="F25" s="12" t="s">
        <v>1142</v>
      </c>
      <c r="G25" s="12" t="s">
        <v>1139</v>
      </c>
      <c r="H25" s="46" t="s">
        <v>1146</v>
      </c>
      <c r="I25" s="19" t="s">
        <v>670</v>
      </c>
    </row>
    <row r="26" spans="1:9" ht="12">
      <c r="A26" s="21" t="s">
        <v>671</v>
      </c>
      <c r="B26" s="12" t="s">
        <v>1063</v>
      </c>
      <c r="C26" s="19" t="s">
        <v>1060</v>
      </c>
      <c r="D26" s="12" t="s">
        <v>1069</v>
      </c>
      <c r="E26" s="12" t="s">
        <v>967</v>
      </c>
      <c r="F26" s="12" t="s">
        <v>1143</v>
      </c>
      <c r="G26" s="12" t="s">
        <v>980</v>
      </c>
      <c r="H26" s="45" t="s">
        <v>1147</v>
      </c>
      <c r="I26" s="19" t="s">
        <v>670</v>
      </c>
    </row>
    <row r="27" spans="1:9" ht="12">
      <c r="A27" s="21" t="s">
        <v>672</v>
      </c>
      <c r="B27" s="12" t="s">
        <v>1063</v>
      </c>
      <c r="C27" s="19" t="s">
        <v>1060</v>
      </c>
      <c r="D27" s="12" t="s">
        <v>1070</v>
      </c>
      <c r="E27" s="12" t="s">
        <v>968</v>
      </c>
      <c r="F27" s="12" t="s">
        <v>1144</v>
      </c>
      <c r="G27" s="12" t="s">
        <v>981</v>
      </c>
      <c r="H27" s="45" t="s">
        <v>1148</v>
      </c>
      <c r="I27" s="19" t="s">
        <v>670</v>
      </c>
    </row>
    <row r="28" spans="1:9" ht="12">
      <c r="A28" s="23" t="s">
        <v>854</v>
      </c>
      <c r="B28" s="12" t="s">
        <v>1063</v>
      </c>
      <c r="C28" s="19" t="s">
        <v>1060</v>
      </c>
      <c r="D28" s="12" t="s">
        <v>1071</v>
      </c>
      <c r="E28" s="12" t="s">
        <v>670</v>
      </c>
      <c r="F28" s="12" t="s">
        <v>670</v>
      </c>
      <c r="G28" s="12" t="s">
        <v>670</v>
      </c>
      <c r="H28" s="45" t="s">
        <v>989</v>
      </c>
      <c r="I28" s="19" t="s">
        <v>670</v>
      </c>
    </row>
    <row r="29" spans="1:9" ht="12">
      <c r="A29" s="23" t="s">
        <v>855</v>
      </c>
      <c r="B29" s="12" t="s">
        <v>1063</v>
      </c>
      <c r="C29" s="19" t="s">
        <v>1060</v>
      </c>
      <c r="D29" s="12" t="s">
        <v>1072</v>
      </c>
      <c r="E29" s="12" t="s">
        <v>670</v>
      </c>
      <c r="F29" s="12" t="s">
        <v>670</v>
      </c>
      <c r="G29" s="12" t="s">
        <v>670</v>
      </c>
      <c r="H29" s="45" t="s">
        <v>990</v>
      </c>
      <c r="I29" s="19" t="s">
        <v>670</v>
      </c>
    </row>
    <row r="30" spans="1:9" ht="12">
      <c r="A30" s="23" t="s">
        <v>856</v>
      </c>
      <c r="B30" s="12" t="s">
        <v>1063</v>
      </c>
      <c r="C30" s="19" t="s">
        <v>1060</v>
      </c>
      <c r="D30" s="12" t="s">
        <v>1073</v>
      </c>
      <c r="E30" s="12" t="s">
        <v>965</v>
      </c>
      <c r="F30" s="12" t="s">
        <v>1078</v>
      </c>
      <c r="G30" s="12" t="s">
        <v>670</v>
      </c>
      <c r="H30" s="45" t="s">
        <v>988</v>
      </c>
      <c r="I30" s="19" t="s">
        <v>670</v>
      </c>
    </row>
    <row r="31" spans="1:9" ht="12">
      <c r="A31" s="23" t="s">
        <v>857</v>
      </c>
      <c r="B31" s="12" t="s">
        <v>1063</v>
      </c>
      <c r="C31" s="19" t="s">
        <v>1060</v>
      </c>
      <c r="D31" s="12" t="s">
        <v>1074</v>
      </c>
      <c r="E31" s="12" t="s">
        <v>966</v>
      </c>
      <c r="F31" s="12" t="s">
        <v>1079</v>
      </c>
      <c r="G31" s="12" t="s">
        <v>670</v>
      </c>
      <c r="H31" s="45" t="s">
        <v>988</v>
      </c>
      <c r="I31" s="19" t="s">
        <v>670</v>
      </c>
    </row>
    <row r="32" spans="1:9" ht="12">
      <c r="A32" s="23" t="s">
        <v>587</v>
      </c>
      <c r="B32" s="12" t="s">
        <v>1064</v>
      </c>
      <c r="C32" s="12" t="s">
        <v>1061</v>
      </c>
      <c r="D32" s="12" t="s">
        <v>670</v>
      </c>
      <c r="E32" s="12" t="s">
        <v>670</v>
      </c>
      <c r="F32" s="12" t="s">
        <v>670</v>
      </c>
      <c r="G32" s="12" t="s">
        <v>670</v>
      </c>
      <c r="H32" s="12" t="s">
        <v>670</v>
      </c>
      <c r="I32" s="19" t="s">
        <v>670</v>
      </c>
    </row>
    <row r="33" spans="1:9" ht="12">
      <c r="A33" s="23" t="s">
        <v>589</v>
      </c>
      <c r="B33" s="12" t="s">
        <v>1076</v>
      </c>
      <c r="C33" s="12" t="s">
        <v>871</v>
      </c>
      <c r="D33" s="12" t="s">
        <v>864</v>
      </c>
      <c r="E33" s="12" t="s">
        <v>670</v>
      </c>
      <c r="F33" s="12" t="s">
        <v>670</v>
      </c>
      <c r="G33" s="12" t="s">
        <v>670</v>
      </c>
      <c r="H33" s="12" t="s">
        <v>670</v>
      </c>
      <c r="I33" s="19" t="s">
        <v>670</v>
      </c>
    </row>
    <row r="34" spans="1:9" ht="12">
      <c r="A34" s="23" t="s">
        <v>592</v>
      </c>
      <c r="B34" s="12" t="s">
        <v>1066</v>
      </c>
      <c r="C34" s="12" t="s">
        <v>873</v>
      </c>
      <c r="D34" s="12" t="s">
        <v>959</v>
      </c>
      <c r="E34" s="12" t="s">
        <v>670</v>
      </c>
      <c r="F34" s="12" t="s">
        <v>670</v>
      </c>
      <c r="G34" s="12" t="s">
        <v>670</v>
      </c>
      <c r="H34" s="12" t="s">
        <v>670</v>
      </c>
      <c r="I34" s="19" t="s">
        <v>670</v>
      </c>
    </row>
    <row r="35" spans="1:9" ht="12">
      <c r="A35" s="23" t="s">
        <v>596</v>
      </c>
      <c r="B35" s="12" t="s">
        <v>1066</v>
      </c>
      <c r="C35" s="12" t="s">
        <v>1629</v>
      </c>
      <c r="D35" s="12" t="s">
        <v>670</v>
      </c>
      <c r="E35" s="12" t="s">
        <v>670</v>
      </c>
      <c r="F35" s="12" t="s">
        <v>670</v>
      </c>
      <c r="G35" s="12" t="s">
        <v>670</v>
      </c>
      <c r="H35" s="12" t="s">
        <v>670</v>
      </c>
      <c r="I35" s="19" t="s">
        <v>670</v>
      </c>
    </row>
    <row r="36" spans="1:9" ht="12">
      <c r="A36" s="23" t="s">
        <v>669</v>
      </c>
      <c r="B36" s="12" t="s">
        <v>670</v>
      </c>
      <c r="C36" s="12" t="s">
        <v>670</v>
      </c>
      <c r="D36" s="12" t="s">
        <v>670</v>
      </c>
      <c r="E36" s="12" t="s">
        <v>670</v>
      </c>
      <c r="F36" s="12" t="s">
        <v>670</v>
      </c>
      <c r="G36" s="12" t="s">
        <v>670</v>
      </c>
      <c r="H36" s="12" t="s">
        <v>670</v>
      </c>
      <c r="I36" s="19" t="s">
        <v>670</v>
      </c>
    </row>
    <row r="37" spans="1:9" ht="12">
      <c r="A37" s="23" t="s">
        <v>601</v>
      </c>
      <c r="B37" s="12" t="s">
        <v>1065</v>
      </c>
      <c r="C37" s="12" t="s">
        <v>1062</v>
      </c>
      <c r="D37" s="12" t="s">
        <v>670</v>
      </c>
      <c r="E37" s="12" t="s">
        <v>670</v>
      </c>
      <c r="F37" s="12" t="s">
        <v>670</v>
      </c>
      <c r="G37" s="12" t="s">
        <v>670</v>
      </c>
      <c r="H37" s="12" t="s">
        <v>670</v>
      </c>
      <c r="I37" s="19" t="s">
        <v>670</v>
      </c>
    </row>
    <row r="38" spans="1:9" ht="12">
      <c r="A38" s="23" t="s">
        <v>914</v>
      </c>
      <c r="B38" s="19" t="s">
        <v>996</v>
      </c>
      <c r="C38" s="19" t="s">
        <v>996</v>
      </c>
      <c r="D38" s="43" t="s">
        <v>1039</v>
      </c>
      <c r="E38" s="12" t="s">
        <v>670</v>
      </c>
      <c r="F38" s="12" t="s">
        <v>670</v>
      </c>
      <c r="G38" s="12" t="s">
        <v>220</v>
      </c>
      <c r="H38" s="12" t="s">
        <v>1038</v>
      </c>
      <c r="I38" s="19" t="s">
        <v>1037</v>
      </c>
    </row>
    <row r="39" spans="1:9" ht="12">
      <c r="A39" s="23" t="s">
        <v>916</v>
      </c>
      <c r="B39" s="19" t="s">
        <v>996</v>
      </c>
      <c r="C39" s="19" t="s">
        <v>996</v>
      </c>
      <c r="D39" s="44" t="s">
        <v>670</v>
      </c>
      <c r="E39" s="12" t="s">
        <v>670</v>
      </c>
      <c r="F39" s="12" t="s">
        <v>975</v>
      </c>
      <c r="G39" s="12" t="s">
        <v>670</v>
      </c>
      <c r="H39" s="12" t="s">
        <v>670</v>
      </c>
      <c r="I39" s="19" t="s">
        <v>670</v>
      </c>
    </row>
    <row r="40" spans="1:9" ht="12">
      <c r="A40" s="23" t="s">
        <v>918</v>
      </c>
      <c r="B40" s="19" t="s">
        <v>996</v>
      </c>
      <c r="C40" s="19" t="s">
        <v>996</v>
      </c>
      <c r="D40" s="12" t="s">
        <v>958</v>
      </c>
      <c r="E40" s="12" t="s">
        <v>670</v>
      </c>
      <c r="F40" s="12" t="s">
        <v>670</v>
      </c>
      <c r="G40" s="12" t="s">
        <v>670</v>
      </c>
      <c r="H40" s="12" t="s">
        <v>670</v>
      </c>
      <c r="I40" s="19" t="s">
        <v>670</v>
      </c>
    </row>
    <row r="41" spans="1:9" ht="12">
      <c r="A41" s="23" t="s">
        <v>920</v>
      </c>
      <c r="B41" s="19" t="s">
        <v>996</v>
      </c>
      <c r="C41" s="19" t="s">
        <v>996</v>
      </c>
      <c r="D41" s="12" t="s">
        <v>670</v>
      </c>
      <c r="E41" s="12" t="s">
        <v>670</v>
      </c>
      <c r="F41" s="12" t="s">
        <v>976</v>
      </c>
      <c r="G41" s="12" t="s">
        <v>670</v>
      </c>
      <c r="H41" s="12" t="s">
        <v>670</v>
      </c>
      <c r="I41" s="19" t="s">
        <v>670</v>
      </c>
    </row>
    <row r="42" spans="1:9" ht="12">
      <c r="A42" s="23" t="s">
        <v>922</v>
      </c>
      <c r="B42" s="19" t="s">
        <v>996</v>
      </c>
      <c r="C42" s="19" t="s">
        <v>996</v>
      </c>
      <c r="D42" s="12" t="s">
        <v>670</v>
      </c>
      <c r="E42" s="12" t="s">
        <v>670</v>
      </c>
      <c r="F42" s="12" t="s">
        <v>670</v>
      </c>
      <c r="G42" s="12" t="s">
        <v>670</v>
      </c>
      <c r="H42" s="12" t="s">
        <v>670</v>
      </c>
      <c r="I42" s="19" t="s">
        <v>670</v>
      </c>
    </row>
    <row r="43" spans="1:9" ht="12">
      <c r="A43" s="23" t="s">
        <v>924</v>
      </c>
      <c r="B43" s="19" t="s">
        <v>996</v>
      </c>
      <c r="C43" s="19" t="s">
        <v>996</v>
      </c>
      <c r="D43" s="12" t="s">
        <v>670</v>
      </c>
      <c r="E43" s="12" t="s">
        <v>670</v>
      </c>
      <c r="F43" s="12" t="s">
        <v>670</v>
      </c>
      <c r="G43" s="12" t="s">
        <v>670</v>
      </c>
      <c r="H43" s="12" t="s">
        <v>670</v>
      </c>
      <c r="I43" s="19" t="s">
        <v>670</v>
      </c>
    </row>
    <row r="44" spans="1:9" ht="12">
      <c r="A44" s="23" t="s">
        <v>926</v>
      </c>
      <c r="B44" s="19" t="s">
        <v>996</v>
      </c>
      <c r="C44" s="19" t="s">
        <v>996</v>
      </c>
      <c r="D44" s="12" t="s">
        <v>1040</v>
      </c>
      <c r="E44" s="12" t="s">
        <v>670</v>
      </c>
      <c r="F44" s="12" t="s">
        <v>670</v>
      </c>
      <c r="G44" s="12" t="s">
        <v>670</v>
      </c>
      <c r="H44" s="12" t="s">
        <v>670</v>
      </c>
      <c r="I44" s="19" t="s">
        <v>670</v>
      </c>
    </row>
    <row r="45" spans="1:9" ht="12">
      <c r="A45" s="23" t="s">
        <v>928</v>
      </c>
      <c r="B45" s="19" t="s">
        <v>996</v>
      </c>
      <c r="C45" s="19" t="s">
        <v>996</v>
      </c>
      <c r="D45" s="12" t="s">
        <v>1041</v>
      </c>
      <c r="E45" s="12" t="s">
        <v>670</v>
      </c>
      <c r="F45" s="12" t="s">
        <v>1696</v>
      </c>
      <c r="G45" s="12" t="s">
        <v>670</v>
      </c>
      <c r="H45" s="12" t="s">
        <v>670</v>
      </c>
      <c r="I45" s="19" t="s">
        <v>670</v>
      </c>
    </row>
    <row r="46" spans="1:9" ht="12">
      <c r="A46" s="23" t="s">
        <v>930</v>
      </c>
      <c r="B46" s="19" t="s">
        <v>996</v>
      </c>
      <c r="C46" s="19" t="s">
        <v>996</v>
      </c>
      <c r="D46" s="12" t="s">
        <v>670</v>
      </c>
      <c r="E46" s="12" t="s">
        <v>670</v>
      </c>
      <c r="F46" s="46" t="s">
        <v>992</v>
      </c>
      <c r="G46" s="12" t="s">
        <v>670</v>
      </c>
      <c r="H46" s="12" t="s">
        <v>670</v>
      </c>
      <c r="I46" s="19" t="s">
        <v>670</v>
      </c>
    </row>
    <row r="47" spans="1:9" ht="12">
      <c r="A47" s="23" t="s">
        <v>932</v>
      </c>
      <c r="B47" s="19" t="s">
        <v>996</v>
      </c>
      <c r="C47" s="19" t="s">
        <v>996</v>
      </c>
      <c r="D47" s="12" t="s">
        <v>1574</v>
      </c>
      <c r="E47" s="12" t="s">
        <v>670</v>
      </c>
      <c r="F47" s="45" t="s">
        <v>991</v>
      </c>
      <c r="G47" s="12" t="s">
        <v>670</v>
      </c>
      <c r="H47" s="12" t="s">
        <v>670</v>
      </c>
      <c r="I47" s="19" t="s">
        <v>670</v>
      </c>
    </row>
    <row r="48" spans="1:9" ht="12">
      <c r="A48" s="23" t="s">
        <v>934</v>
      </c>
      <c r="B48" s="19" t="s">
        <v>996</v>
      </c>
      <c r="C48" s="19" t="s">
        <v>996</v>
      </c>
      <c r="D48" s="12" t="s">
        <v>670</v>
      </c>
      <c r="E48" s="12" t="s">
        <v>670</v>
      </c>
      <c r="F48" s="12" t="s">
        <v>670</v>
      </c>
      <c r="G48" s="12" t="s">
        <v>670</v>
      </c>
      <c r="H48" s="12" t="s">
        <v>670</v>
      </c>
      <c r="I48" s="19" t="s">
        <v>670</v>
      </c>
    </row>
    <row r="49" spans="1:9" ht="12">
      <c r="A49" s="23" t="s">
        <v>936</v>
      </c>
      <c r="B49" s="19" t="s">
        <v>996</v>
      </c>
      <c r="C49" s="19" t="s">
        <v>996</v>
      </c>
      <c r="D49" s="12" t="s">
        <v>670</v>
      </c>
      <c r="E49" s="12" t="s">
        <v>670</v>
      </c>
      <c r="F49" s="12" t="s">
        <v>670</v>
      </c>
      <c r="G49" s="12" t="s">
        <v>670</v>
      </c>
      <c r="H49" s="12" t="s">
        <v>670</v>
      </c>
      <c r="I49" s="19" t="s">
        <v>670</v>
      </c>
    </row>
    <row r="50" spans="1:9" ht="12">
      <c r="A50" s="23" t="s">
        <v>667</v>
      </c>
      <c r="B50" s="12" t="s">
        <v>670</v>
      </c>
      <c r="C50" s="12" t="s">
        <v>670</v>
      </c>
      <c r="D50" s="12" t="s">
        <v>670</v>
      </c>
      <c r="E50" s="12" t="s">
        <v>670</v>
      </c>
      <c r="F50" s="12" t="s">
        <v>670</v>
      </c>
      <c r="G50" s="12" t="s">
        <v>670</v>
      </c>
      <c r="H50" s="12" t="s">
        <v>670</v>
      </c>
      <c r="I50" s="19" t="s">
        <v>670</v>
      </c>
    </row>
    <row r="51" spans="1:9" ht="12">
      <c r="A51" s="23" t="s">
        <v>607</v>
      </c>
      <c r="B51" s="12" t="s">
        <v>670</v>
      </c>
      <c r="C51" s="12" t="s">
        <v>670</v>
      </c>
      <c r="D51" s="12" t="s">
        <v>670</v>
      </c>
      <c r="E51" s="12" t="s">
        <v>670</v>
      </c>
      <c r="F51" s="12" t="s">
        <v>670</v>
      </c>
      <c r="G51" s="12" t="s">
        <v>670</v>
      </c>
      <c r="H51" s="12" t="s">
        <v>670</v>
      </c>
      <c r="I51" s="19" t="s">
        <v>670</v>
      </c>
    </row>
    <row r="52" spans="1:9" ht="12">
      <c r="A52" s="23" t="s">
        <v>609</v>
      </c>
      <c r="B52" s="12" t="s">
        <v>670</v>
      </c>
      <c r="C52" s="12" t="s">
        <v>670</v>
      </c>
      <c r="D52" s="12" t="s">
        <v>670</v>
      </c>
      <c r="E52" s="12" t="s">
        <v>670</v>
      </c>
      <c r="F52" s="12" t="s">
        <v>670</v>
      </c>
      <c r="G52" s="12" t="s">
        <v>670</v>
      </c>
      <c r="H52" s="12" t="s">
        <v>670</v>
      </c>
      <c r="I52" s="19" t="s">
        <v>670</v>
      </c>
    </row>
    <row r="53" spans="1:9" ht="12">
      <c r="A53" s="23" t="s">
        <v>610</v>
      </c>
      <c r="B53" s="12" t="s">
        <v>670</v>
      </c>
      <c r="C53" s="12" t="s">
        <v>670</v>
      </c>
      <c r="D53" s="12" t="s">
        <v>670</v>
      </c>
      <c r="E53" s="12" t="s">
        <v>670</v>
      </c>
      <c r="F53" s="12" t="s">
        <v>670</v>
      </c>
      <c r="G53" s="12" t="s">
        <v>670</v>
      </c>
      <c r="H53" s="12" t="s">
        <v>670</v>
      </c>
      <c r="I53" s="19" t="s">
        <v>670</v>
      </c>
    </row>
    <row r="54" spans="1:9" ht="12">
      <c r="A54" s="23" t="s">
        <v>611</v>
      </c>
      <c r="B54" s="12" t="s">
        <v>670</v>
      </c>
      <c r="C54" s="12" t="s">
        <v>670</v>
      </c>
      <c r="D54" s="12" t="s">
        <v>670</v>
      </c>
      <c r="E54" s="12" t="s">
        <v>670</v>
      </c>
      <c r="F54" s="12" t="s">
        <v>670</v>
      </c>
      <c r="G54" s="12" t="s">
        <v>670</v>
      </c>
      <c r="H54" s="12" t="s">
        <v>670</v>
      </c>
      <c r="I54" s="19" t="s">
        <v>670</v>
      </c>
    </row>
    <row r="55" spans="1:9" ht="12">
      <c r="A55" s="23" t="s">
        <v>946</v>
      </c>
      <c r="B55" s="12" t="s">
        <v>670</v>
      </c>
      <c r="C55" s="12" t="s">
        <v>670</v>
      </c>
      <c r="D55" s="12" t="s">
        <v>670</v>
      </c>
      <c r="E55" s="12" t="s">
        <v>670</v>
      </c>
      <c r="F55" s="12" t="s">
        <v>670</v>
      </c>
      <c r="G55" s="12" t="s">
        <v>670</v>
      </c>
      <c r="H55" s="12" t="s">
        <v>670</v>
      </c>
      <c r="I55" s="19" t="s">
        <v>670</v>
      </c>
    </row>
    <row r="56" spans="1:9" ht="12">
      <c r="A56" s="23" t="s">
        <v>612</v>
      </c>
      <c r="B56" s="12" t="s">
        <v>670</v>
      </c>
      <c r="C56" s="12" t="s">
        <v>670</v>
      </c>
      <c r="D56" s="12" t="s">
        <v>670</v>
      </c>
      <c r="E56" s="12" t="s">
        <v>670</v>
      </c>
      <c r="F56" s="12" t="s">
        <v>670</v>
      </c>
      <c r="G56" s="12" t="s">
        <v>670</v>
      </c>
      <c r="H56" s="12" t="s">
        <v>670</v>
      </c>
      <c r="I56" s="19" t="s">
        <v>670</v>
      </c>
    </row>
    <row r="57" spans="1:9" ht="12">
      <c r="A57" s="23" t="s">
        <v>613</v>
      </c>
      <c r="B57" s="19" t="s">
        <v>996</v>
      </c>
      <c r="C57" s="19" t="s">
        <v>996</v>
      </c>
      <c r="D57" s="12" t="s">
        <v>862</v>
      </c>
      <c r="E57" s="19" t="s">
        <v>670</v>
      </c>
      <c r="F57" s="12" t="s">
        <v>670</v>
      </c>
      <c r="G57" s="12" t="s">
        <v>670</v>
      </c>
      <c r="H57" s="12" t="s">
        <v>670</v>
      </c>
      <c r="I57" s="19" t="s">
        <v>670</v>
      </c>
    </row>
    <row r="58" spans="1:9" ht="12">
      <c r="A58" s="23" t="s">
        <v>615</v>
      </c>
      <c r="B58" s="19" t="s">
        <v>996</v>
      </c>
      <c r="C58" s="19" t="s">
        <v>996</v>
      </c>
      <c r="D58" s="12" t="s">
        <v>1042</v>
      </c>
      <c r="E58" s="19" t="s">
        <v>670</v>
      </c>
      <c r="F58" s="45" t="s">
        <v>994</v>
      </c>
      <c r="G58" s="12" t="s">
        <v>670</v>
      </c>
      <c r="H58" s="12" t="s">
        <v>670</v>
      </c>
      <c r="I58" s="19" t="s">
        <v>670</v>
      </c>
    </row>
    <row r="59" spans="1:9" ht="12">
      <c r="A59" s="23" t="s">
        <v>616</v>
      </c>
      <c r="B59" s="19" t="s">
        <v>996</v>
      </c>
      <c r="C59" s="19" t="s">
        <v>996</v>
      </c>
      <c r="D59" s="12" t="s">
        <v>864</v>
      </c>
      <c r="E59" s="19" t="s">
        <v>670</v>
      </c>
      <c r="F59" s="45" t="s">
        <v>985</v>
      </c>
      <c r="G59" s="12" t="s">
        <v>670</v>
      </c>
      <c r="H59" s="45" t="s">
        <v>987</v>
      </c>
      <c r="I59" s="19" t="s">
        <v>670</v>
      </c>
    </row>
    <row r="60" spans="1:9" ht="12">
      <c r="A60" s="23" t="s">
        <v>168</v>
      </c>
      <c r="B60" s="19" t="s">
        <v>996</v>
      </c>
      <c r="C60" s="19" t="s">
        <v>996</v>
      </c>
      <c r="D60" s="12" t="s">
        <v>1043</v>
      </c>
      <c r="E60" s="19" t="s">
        <v>670</v>
      </c>
      <c r="F60" s="45" t="s">
        <v>986</v>
      </c>
      <c r="G60" s="45" t="s">
        <v>1704</v>
      </c>
      <c r="H60" s="45" t="s">
        <v>1697</v>
      </c>
      <c r="I60" s="19" t="s">
        <v>670</v>
      </c>
    </row>
    <row r="61" spans="1:9" ht="12">
      <c r="A61" s="23" t="s">
        <v>115</v>
      </c>
      <c r="B61" s="19" t="s">
        <v>996</v>
      </c>
      <c r="C61" s="19" t="s">
        <v>996</v>
      </c>
      <c r="D61" s="12" t="s">
        <v>1693</v>
      </c>
      <c r="E61" s="19" t="s">
        <v>670</v>
      </c>
      <c r="F61" s="12" t="s">
        <v>670</v>
      </c>
      <c r="G61" s="12" t="s">
        <v>670</v>
      </c>
      <c r="H61" s="12" t="s">
        <v>670</v>
      </c>
      <c r="I61" s="19" t="s">
        <v>670</v>
      </c>
    </row>
    <row r="62" spans="1:9" ht="12">
      <c r="A62" s="23" t="s">
        <v>49</v>
      </c>
      <c r="B62" s="19" t="s">
        <v>996</v>
      </c>
      <c r="C62" s="19" t="s">
        <v>996</v>
      </c>
      <c r="D62" s="12" t="s">
        <v>1044</v>
      </c>
      <c r="E62" s="19" t="s">
        <v>670</v>
      </c>
      <c r="F62" s="45" t="s">
        <v>1093</v>
      </c>
      <c r="G62" s="12" t="s">
        <v>670</v>
      </c>
      <c r="H62" s="12" t="s">
        <v>670</v>
      </c>
      <c r="I62" s="19" t="s">
        <v>670</v>
      </c>
    </row>
    <row r="63" spans="1:9" ht="12">
      <c r="A63" s="23" t="s">
        <v>620</v>
      </c>
      <c r="B63" s="19" t="s">
        <v>996</v>
      </c>
      <c r="C63" s="19" t="s">
        <v>996</v>
      </c>
      <c r="D63" s="12" t="s">
        <v>1045</v>
      </c>
      <c r="E63" s="19" t="s">
        <v>670</v>
      </c>
      <c r="F63" s="12" t="s">
        <v>670</v>
      </c>
      <c r="G63" s="12" t="s">
        <v>670</v>
      </c>
      <c r="H63" s="12" t="s">
        <v>670</v>
      </c>
      <c r="I63" s="19" t="s">
        <v>670</v>
      </c>
    </row>
    <row r="64" spans="1:9" s="15" customFormat="1" ht="12">
      <c r="A64" s="23" t="s">
        <v>99</v>
      </c>
      <c r="B64" s="19" t="s">
        <v>996</v>
      </c>
      <c r="C64" s="19" t="s">
        <v>996</v>
      </c>
      <c r="D64" s="12" t="s">
        <v>1046</v>
      </c>
      <c r="E64" s="19" t="s">
        <v>670</v>
      </c>
      <c r="F64" s="12" t="s">
        <v>670</v>
      </c>
      <c r="G64" s="12" t="s">
        <v>670</v>
      </c>
      <c r="H64" s="45" t="s">
        <v>1085</v>
      </c>
      <c r="I64" s="19" t="s">
        <v>670</v>
      </c>
    </row>
    <row r="65" spans="1:9" s="15" customFormat="1" ht="12">
      <c r="A65" s="23" t="s">
        <v>119</v>
      </c>
      <c r="B65" s="19" t="s">
        <v>996</v>
      </c>
      <c r="C65" s="19" t="s">
        <v>996</v>
      </c>
      <c r="D65" s="12" t="s">
        <v>1047</v>
      </c>
      <c r="E65" s="19" t="s">
        <v>670</v>
      </c>
      <c r="F65" s="45" t="s">
        <v>1087</v>
      </c>
      <c r="G65" s="12" t="s">
        <v>670</v>
      </c>
      <c r="H65" s="45" t="s">
        <v>1086</v>
      </c>
      <c r="I65" s="19" t="s">
        <v>670</v>
      </c>
    </row>
    <row r="66" spans="1:9" ht="12">
      <c r="A66" s="23" t="s">
        <v>625</v>
      </c>
      <c r="B66" s="19" t="s">
        <v>996</v>
      </c>
      <c r="C66" s="19" t="s">
        <v>996</v>
      </c>
      <c r="D66" s="12" t="s">
        <v>670</v>
      </c>
      <c r="E66" s="19" t="s">
        <v>670</v>
      </c>
      <c r="F66" s="45" t="s">
        <v>993</v>
      </c>
      <c r="G66" s="12" t="s">
        <v>670</v>
      </c>
      <c r="H66" s="12" t="s">
        <v>670</v>
      </c>
      <c r="I66" s="19" t="s">
        <v>670</v>
      </c>
    </row>
    <row r="67" spans="1:9" ht="12">
      <c r="A67" s="23" t="s">
        <v>626</v>
      </c>
      <c r="B67" s="19" t="s">
        <v>996</v>
      </c>
      <c r="C67" s="19" t="s">
        <v>996</v>
      </c>
      <c r="D67" s="12" t="s">
        <v>1048</v>
      </c>
      <c r="E67" s="19" t="s">
        <v>670</v>
      </c>
      <c r="F67" s="12" t="s">
        <v>670</v>
      </c>
      <c r="G67" s="12" t="s">
        <v>670</v>
      </c>
      <c r="H67" s="12" t="s">
        <v>670</v>
      </c>
      <c r="I67" s="19" t="s">
        <v>670</v>
      </c>
    </row>
    <row r="68" spans="1:9" ht="12">
      <c r="A68" s="23" t="s">
        <v>121</v>
      </c>
      <c r="B68" s="19" t="s">
        <v>996</v>
      </c>
      <c r="C68" s="19" t="s">
        <v>996</v>
      </c>
      <c r="D68" s="12" t="s">
        <v>1049</v>
      </c>
      <c r="E68" s="19" t="s">
        <v>670</v>
      </c>
      <c r="F68" s="12" t="s">
        <v>1706</v>
      </c>
      <c r="G68" s="12" t="s">
        <v>670</v>
      </c>
      <c r="H68" s="12" t="s">
        <v>670</v>
      </c>
      <c r="I68" s="19" t="s">
        <v>670</v>
      </c>
    </row>
    <row r="69" spans="1:9" ht="12">
      <c r="A69" s="23" t="s">
        <v>629</v>
      </c>
      <c r="B69" s="19" t="s">
        <v>996</v>
      </c>
      <c r="C69" s="19" t="s">
        <v>996</v>
      </c>
      <c r="D69" s="12" t="s">
        <v>670</v>
      </c>
      <c r="E69" s="19" t="s">
        <v>670</v>
      </c>
      <c r="F69" s="12" t="s">
        <v>670</v>
      </c>
      <c r="G69" s="12" t="s">
        <v>670</v>
      </c>
      <c r="H69" s="12" t="s">
        <v>670</v>
      </c>
      <c r="I69" s="19" t="s">
        <v>670</v>
      </c>
    </row>
    <row r="70" spans="1:9" ht="12">
      <c r="A70" s="23" t="s">
        <v>50</v>
      </c>
      <c r="B70" s="19" t="s">
        <v>996</v>
      </c>
      <c r="C70" s="19" t="s">
        <v>996</v>
      </c>
      <c r="D70" s="12" t="s">
        <v>1050</v>
      </c>
      <c r="E70" s="19" t="s">
        <v>670</v>
      </c>
      <c r="F70" s="12" t="s">
        <v>670</v>
      </c>
      <c r="G70" s="12" t="s">
        <v>670</v>
      </c>
      <c r="H70" s="12" t="s">
        <v>670</v>
      </c>
      <c r="I70" s="19" t="s">
        <v>670</v>
      </c>
    </row>
    <row r="71" spans="1:9" ht="12">
      <c r="A71" s="23" t="s">
        <v>124</v>
      </c>
      <c r="B71" s="19" t="s">
        <v>996</v>
      </c>
      <c r="C71" s="19" t="s">
        <v>996</v>
      </c>
      <c r="D71" s="12" t="s">
        <v>1051</v>
      </c>
      <c r="E71" s="19" t="s">
        <v>670</v>
      </c>
      <c r="F71" s="12" t="s">
        <v>977</v>
      </c>
      <c r="G71" s="12" t="s">
        <v>670</v>
      </c>
      <c r="H71" s="12" t="s">
        <v>670</v>
      </c>
      <c r="I71" s="19" t="s">
        <v>670</v>
      </c>
    </row>
    <row r="72" spans="1:9" ht="12">
      <c r="A72" s="23" t="s">
        <v>51</v>
      </c>
      <c r="B72" s="19" t="s">
        <v>996</v>
      </c>
      <c r="C72" s="19" t="s">
        <v>996</v>
      </c>
      <c r="D72" s="12" t="s">
        <v>1052</v>
      </c>
      <c r="E72" s="19" t="s">
        <v>670</v>
      </c>
      <c r="F72" s="12" t="s">
        <v>1705</v>
      </c>
      <c r="G72" s="12" t="s">
        <v>670</v>
      </c>
      <c r="H72" s="12" t="s">
        <v>670</v>
      </c>
      <c r="I72" s="19" t="s">
        <v>670</v>
      </c>
    </row>
    <row r="73" spans="1:9" ht="12">
      <c r="A73" s="23" t="s">
        <v>636</v>
      </c>
      <c r="B73" s="19" t="s">
        <v>996</v>
      </c>
      <c r="C73" s="19" t="s">
        <v>996</v>
      </c>
      <c r="D73" s="12" t="s">
        <v>670</v>
      </c>
      <c r="E73" s="19" t="s">
        <v>670</v>
      </c>
      <c r="F73" s="12" t="s">
        <v>670</v>
      </c>
      <c r="G73" s="12" t="s">
        <v>670</v>
      </c>
      <c r="H73" s="12" t="s">
        <v>670</v>
      </c>
      <c r="I73" s="19" t="s">
        <v>670</v>
      </c>
    </row>
    <row r="74" spans="1:9" ht="12">
      <c r="A74" s="23" t="s">
        <v>48</v>
      </c>
      <c r="B74" s="19" t="s">
        <v>996</v>
      </c>
      <c r="C74" s="19" t="s">
        <v>996</v>
      </c>
      <c r="D74" s="12" t="s">
        <v>1053</v>
      </c>
      <c r="E74" s="19" t="s">
        <v>670</v>
      </c>
      <c r="F74" s="12" t="s">
        <v>670</v>
      </c>
      <c r="G74" s="12" t="s">
        <v>670</v>
      </c>
      <c r="H74" s="12" t="s">
        <v>670</v>
      </c>
      <c r="I74" s="19" t="s">
        <v>670</v>
      </c>
    </row>
    <row r="75" spans="1:9" ht="12">
      <c r="A75" s="23" t="s">
        <v>638</v>
      </c>
      <c r="B75" s="19" t="s">
        <v>996</v>
      </c>
      <c r="C75" s="19" t="s">
        <v>996</v>
      </c>
      <c r="D75" s="12" t="s">
        <v>1054</v>
      </c>
      <c r="E75" s="19" t="s">
        <v>670</v>
      </c>
      <c r="F75" s="12" t="s">
        <v>670</v>
      </c>
      <c r="G75" s="12" t="s">
        <v>670</v>
      </c>
      <c r="H75" s="12" t="s">
        <v>670</v>
      </c>
      <c r="I75" s="19" t="s">
        <v>670</v>
      </c>
    </row>
    <row r="76" spans="1:9" ht="12">
      <c r="A76" s="23" t="s">
        <v>640</v>
      </c>
      <c r="B76" s="19" t="s">
        <v>996</v>
      </c>
      <c r="C76" s="19" t="s">
        <v>996</v>
      </c>
      <c r="D76" s="12" t="s">
        <v>955</v>
      </c>
      <c r="E76" s="19" t="s">
        <v>670</v>
      </c>
      <c r="F76" s="12" t="s">
        <v>670</v>
      </c>
      <c r="G76" s="12" t="s">
        <v>670</v>
      </c>
      <c r="H76" s="12" t="s">
        <v>670</v>
      </c>
      <c r="I76" s="19" t="s">
        <v>670</v>
      </c>
    </row>
    <row r="77" spans="1:9" ht="12">
      <c r="A77" s="23" t="s">
        <v>641</v>
      </c>
      <c r="B77" s="19" t="s">
        <v>996</v>
      </c>
      <c r="C77" s="19" t="s">
        <v>996</v>
      </c>
      <c r="D77" s="12" t="s">
        <v>1055</v>
      </c>
      <c r="E77" s="19" t="s">
        <v>670</v>
      </c>
      <c r="F77" s="12" t="s">
        <v>978</v>
      </c>
      <c r="G77" s="12" t="s">
        <v>670</v>
      </c>
      <c r="H77" s="12" t="s">
        <v>670</v>
      </c>
      <c r="I77" s="19" t="s">
        <v>670</v>
      </c>
    </row>
    <row r="78" spans="1:9" ht="12">
      <c r="A78" s="23" t="s">
        <v>642</v>
      </c>
      <c r="B78" s="19" t="s">
        <v>996</v>
      </c>
      <c r="C78" s="19" t="s">
        <v>996</v>
      </c>
      <c r="D78" s="12" t="s">
        <v>871</v>
      </c>
      <c r="E78" s="19" t="s">
        <v>670</v>
      </c>
      <c r="F78" s="45" t="s">
        <v>1707</v>
      </c>
      <c r="G78" s="12" t="s">
        <v>670</v>
      </c>
      <c r="H78" s="12" t="s">
        <v>1083</v>
      </c>
      <c r="I78" s="19" t="s">
        <v>670</v>
      </c>
    </row>
    <row r="79" spans="1:9" ht="12">
      <c r="A79" s="23" t="s">
        <v>128</v>
      </c>
      <c r="B79" s="19" t="s">
        <v>996</v>
      </c>
      <c r="C79" s="19" t="s">
        <v>996</v>
      </c>
      <c r="D79" s="12" t="s">
        <v>1056</v>
      </c>
      <c r="E79" s="19" t="s">
        <v>670</v>
      </c>
      <c r="F79" s="12" t="s">
        <v>670</v>
      </c>
      <c r="G79" s="12" t="s">
        <v>670</v>
      </c>
      <c r="H79" s="12" t="s">
        <v>670</v>
      </c>
      <c r="I79" s="19" t="s">
        <v>670</v>
      </c>
    </row>
    <row r="80" spans="1:9" ht="12">
      <c r="A80" s="23" t="s">
        <v>645</v>
      </c>
      <c r="B80" s="19" t="s">
        <v>996</v>
      </c>
      <c r="C80" s="19" t="s">
        <v>996</v>
      </c>
      <c r="D80" s="12" t="s">
        <v>873</v>
      </c>
      <c r="E80" s="19" t="s">
        <v>670</v>
      </c>
      <c r="F80" s="12" t="s">
        <v>670</v>
      </c>
      <c r="G80" s="12" t="s">
        <v>670</v>
      </c>
      <c r="H80" s="12" t="s">
        <v>670</v>
      </c>
      <c r="I80" s="19" t="s">
        <v>670</v>
      </c>
    </row>
    <row r="81" spans="1:9" ht="12">
      <c r="A81" s="23" t="s">
        <v>648</v>
      </c>
      <c r="B81" s="19" t="s">
        <v>996</v>
      </c>
      <c r="C81" s="19" t="s">
        <v>996</v>
      </c>
      <c r="D81" s="12" t="s">
        <v>1057</v>
      </c>
      <c r="E81" s="19" t="s">
        <v>670</v>
      </c>
      <c r="F81" s="12" t="s">
        <v>670</v>
      </c>
      <c r="G81" s="12" t="s">
        <v>670</v>
      </c>
      <c r="H81" s="12" t="s">
        <v>670</v>
      </c>
      <c r="I81" s="19" t="s">
        <v>670</v>
      </c>
    </row>
    <row r="82" spans="1:9" ht="12">
      <c r="A82" s="23" t="s">
        <v>650</v>
      </c>
      <c r="B82" s="19" t="s">
        <v>996</v>
      </c>
      <c r="C82" s="19" t="s">
        <v>996</v>
      </c>
      <c r="D82" s="12" t="s">
        <v>874</v>
      </c>
      <c r="E82" s="19" t="s">
        <v>670</v>
      </c>
      <c r="F82" s="12" t="s">
        <v>670</v>
      </c>
      <c r="G82" s="12" t="s">
        <v>670</v>
      </c>
      <c r="H82" s="12" t="s">
        <v>670</v>
      </c>
      <c r="I82" s="19" t="s">
        <v>670</v>
      </c>
    </row>
    <row r="83" spans="1:9" s="16" customFormat="1" ht="12">
      <c r="A83" s="23" t="s">
        <v>668</v>
      </c>
      <c r="B83" s="19" t="s">
        <v>996</v>
      </c>
      <c r="C83" s="12" t="s">
        <v>1059</v>
      </c>
      <c r="D83" s="12" t="s">
        <v>1058</v>
      </c>
      <c r="E83" s="12" t="s">
        <v>670</v>
      </c>
      <c r="F83" s="12" t="s">
        <v>670</v>
      </c>
      <c r="G83" s="12" t="s">
        <v>670</v>
      </c>
      <c r="H83" s="12" t="s">
        <v>670</v>
      </c>
      <c r="I83" s="19" t="s">
        <v>670</v>
      </c>
    </row>
    <row r="84" spans="1:9" ht="12">
      <c r="A84" s="23" t="s">
        <v>947</v>
      </c>
      <c r="B84" s="12" t="s">
        <v>670</v>
      </c>
      <c r="C84" s="12" t="s">
        <v>670</v>
      </c>
      <c r="D84" s="12" t="s">
        <v>670</v>
      </c>
      <c r="E84" s="12" t="s">
        <v>670</v>
      </c>
      <c r="F84" s="12" t="s">
        <v>670</v>
      </c>
      <c r="G84" s="12" t="s">
        <v>670</v>
      </c>
      <c r="H84" s="12" t="s">
        <v>670</v>
      </c>
      <c r="I84" s="29" t="s">
        <v>670</v>
      </c>
    </row>
    <row r="85" spans="1:9" ht="12">
      <c r="A85" s="23" t="s">
        <v>652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29" t="s">
        <v>670</v>
      </c>
    </row>
    <row r="86" spans="1:9" ht="12">
      <c r="A86" s="23" t="s">
        <v>654</v>
      </c>
      <c r="B86" s="12" t="s">
        <v>670</v>
      </c>
      <c r="C86" s="12" t="s">
        <v>670</v>
      </c>
      <c r="D86" s="12" t="s">
        <v>670</v>
      </c>
      <c r="E86" s="12" t="s">
        <v>670</v>
      </c>
      <c r="F86" s="12" t="s">
        <v>670</v>
      </c>
      <c r="G86" s="12" t="s">
        <v>670</v>
      </c>
      <c r="H86" s="12" t="s">
        <v>670</v>
      </c>
      <c r="I86" s="29" t="s">
        <v>670</v>
      </c>
    </row>
    <row r="87" spans="1:9" s="15" customFormat="1" ht="12">
      <c r="A87" s="23" t="s">
        <v>656</v>
      </c>
      <c r="B87" s="12" t="s">
        <v>670</v>
      </c>
      <c r="C87" s="12" t="s">
        <v>670</v>
      </c>
      <c r="D87" s="12" t="s">
        <v>670</v>
      </c>
      <c r="E87" s="12" t="s">
        <v>670</v>
      </c>
      <c r="F87" s="12" t="s">
        <v>670</v>
      </c>
      <c r="G87" s="12" t="s">
        <v>670</v>
      </c>
      <c r="H87" s="12" t="s">
        <v>670</v>
      </c>
      <c r="I87" s="29" t="s">
        <v>670</v>
      </c>
    </row>
    <row r="88" spans="1:9" s="15" customFormat="1" ht="12">
      <c r="A88" s="23" t="s">
        <v>949</v>
      </c>
      <c r="B88" s="12" t="s">
        <v>670</v>
      </c>
      <c r="C88" s="12" t="s">
        <v>670</v>
      </c>
      <c r="D88" s="12" t="s">
        <v>670</v>
      </c>
      <c r="E88" s="12" t="s">
        <v>670</v>
      </c>
      <c r="F88" s="12" t="s">
        <v>670</v>
      </c>
      <c r="G88" s="12" t="s">
        <v>670</v>
      </c>
      <c r="H88" s="12" t="s">
        <v>670</v>
      </c>
      <c r="I88" s="29" t="s">
        <v>670</v>
      </c>
    </row>
    <row r="89" spans="1:9" s="15" customFormat="1" ht="12">
      <c r="A89" s="23" t="s">
        <v>951</v>
      </c>
      <c r="B89" s="12" t="s">
        <v>670</v>
      </c>
      <c r="C89" s="12" t="s">
        <v>670</v>
      </c>
      <c r="D89" s="12" t="s">
        <v>670</v>
      </c>
      <c r="E89" s="12" t="s">
        <v>670</v>
      </c>
      <c r="F89" s="12" t="s">
        <v>670</v>
      </c>
      <c r="G89" s="12" t="s">
        <v>670</v>
      </c>
      <c r="H89" s="12" t="s">
        <v>670</v>
      </c>
      <c r="I89" s="29" t="s">
        <v>670</v>
      </c>
    </row>
    <row r="90" spans="1:9" ht="12">
      <c r="A90" s="23" t="s">
        <v>952</v>
      </c>
      <c r="B90" s="12" t="s">
        <v>670</v>
      </c>
      <c r="C90" s="12" t="s">
        <v>670</v>
      </c>
      <c r="D90" s="12" t="s">
        <v>670</v>
      </c>
      <c r="E90" s="12" t="s">
        <v>670</v>
      </c>
      <c r="F90" s="12" t="s">
        <v>670</v>
      </c>
      <c r="G90" s="12" t="s">
        <v>670</v>
      </c>
      <c r="H90" s="12" t="s">
        <v>670</v>
      </c>
      <c r="I90" s="29" t="s">
        <v>670</v>
      </c>
    </row>
    <row r="91" spans="1:9" ht="12">
      <c r="A91" s="23" t="s">
        <v>658</v>
      </c>
      <c r="B91" s="12" t="s">
        <v>670</v>
      </c>
      <c r="C91" s="12" t="s">
        <v>670</v>
      </c>
      <c r="D91" s="12" t="s">
        <v>670</v>
      </c>
      <c r="E91" s="12" t="s">
        <v>670</v>
      </c>
      <c r="F91" s="12" t="s">
        <v>670</v>
      </c>
      <c r="G91" s="12" t="s">
        <v>670</v>
      </c>
      <c r="H91" s="12" t="s">
        <v>670</v>
      </c>
      <c r="I91" s="29" t="s">
        <v>670</v>
      </c>
    </row>
    <row r="92" spans="1:9" ht="12">
      <c r="A92" s="24" t="s">
        <v>660</v>
      </c>
      <c r="B92" s="18" t="s">
        <v>670</v>
      </c>
      <c r="C92" s="18" t="s">
        <v>670</v>
      </c>
      <c r="D92" s="18" t="s">
        <v>670</v>
      </c>
      <c r="E92" s="18" t="s">
        <v>670</v>
      </c>
      <c r="F92" s="18" t="s">
        <v>670</v>
      </c>
      <c r="G92" s="18" t="s">
        <v>670</v>
      </c>
      <c r="H92" s="18" t="s">
        <v>670</v>
      </c>
      <c r="I92" s="30" t="s">
        <v>670</v>
      </c>
    </row>
    <row r="95" spans="1:9">
      <c r="B95" s="16"/>
      <c r="C95" s="16"/>
      <c r="D95" s="16"/>
      <c r="E95" s="16"/>
      <c r="F95" s="16"/>
      <c r="G95" s="16"/>
      <c r="H95" s="16"/>
      <c r="I95" s="16"/>
    </row>
    <row r="102" spans="2:9">
      <c r="B102" s="15"/>
      <c r="C102" s="15"/>
      <c r="D102" s="15"/>
      <c r="E102" s="15"/>
      <c r="F102" s="15"/>
      <c r="G102" s="15"/>
      <c r="H102" s="15"/>
      <c r="I102" s="15"/>
    </row>
    <row r="103" spans="2:9">
      <c r="B103" s="15"/>
      <c r="C103" s="15"/>
      <c r="D103" s="15"/>
      <c r="E103" s="15"/>
      <c r="F103" s="15"/>
      <c r="G103" s="15"/>
      <c r="H103" s="15"/>
      <c r="I103" s="15"/>
    </row>
    <row r="104" spans="2:9">
      <c r="B104" s="15"/>
      <c r="C104" s="15"/>
      <c r="D104" s="15"/>
      <c r="E104" s="15"/>
      <c r="F104" s="15"/>
      <c r="G104" s="15"/>
      <c r="H104" s="15"/>
      <c r="I104" s="15"/>
    </row>
  </sheetData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E274-753E-4411-9164-55FB9DF6F4C8}">
  <sheetPr codeName="Sheet13">
    <tabColor theme="8" tint="0.79998168889431442"/>
  </sheetPr>
  <dimension ref="A1:C92"/>
  <sheetViews>
    <sheetView workbookViewId="0">
      <selection activeCell="F161" sqref="F161"/>
    </sheetView>
  </sheetViews>
  <sheetFormatPr defaultColWidth="2" defaultRowHeight="11.25" customHeight="1"/>
  <cols>
    <col min="1" max="1" width="39.5" style="3" bestFit="1" customWidth="1"/>
    <col min="2" max="2" width="52.25" style="3" bestFit="1" customWidth="1"/>
    <col min="3" max="3" width="45.375" style="3" bestFit="1" customWidth="1"/>
    <col min="4" max="4" width="37.5" style="3" bestFit="1" customWidth="1"/>
    <col min="5" max="16384" width="2" style="3"/>
  </cols>
  <sheetData>
    <row r="1" spans="1:3" ht="11.25" customHeight="1">
      <c r="A1" s="2" t="s">
        <v>397</v>
      </c>
      <c r="B1" s="2" t="s">
        <v>398</v>
      </c>
      <c r="C1" s="3" t="s">
        <v>440</v>
      </c>
    </row>
    <row r="2" spans="1:3" ht="1.9" customHeight="1">
      <c r="A2" s="5" t="s">
        <v>4</v>
      </c>
      <c r="B2" s="5" t="s">
        <v>4</v>
      </c>
      <c r="C2" s="5" t="str">
        <f>IF(ISBLANK(テーブル17814[[#This Row],[機能]]),"","|"&amp;テーブル17814[[#This Row],[Key]]&amp;"|"&amp;テーブル17814[[#This Row],[機能]]&amp;"|")</f>
        <v>|:---|:---|</v>
      </c>
    </row>
    <row r="3" spans="1:3" ht="11.25" customHeight="1">
      <c r="A3" s="2" t="s">
        <v>409</v>
      </c>
      <c r="B3" s="3" t="s">
        <v>441</v>
      </c>
      <c r="C3" s="3" t="str">
        <f>IF(ISBLANK(テーブル17814[[#This Row],[機能]]),"","|"&amp;テーブル17814[[#This Row],[Key]]&amp;"|"&amp;テーブル17814[[#This Row],[機能]]&amp;"|")</f>
        <v>|HFF|[セル書式] [フォント] フォント変更|</v>
      </c>
    </row>
    <row r="4" spans="1:3" ht="11.25" customHeight="1">
      <c r="A4" s="2" t="s">
        <v>410</v>
      </c>
      <c r="B4" s="3" t="s">
        <v>442</v>
      </c>
      <c r="C4" s="3" t="str">
        <f>IF(ISBLANK(テーブル17814[[#This Row],[機能]]),"","|"&amp;テーブル17814[[#This Row],[Key]]&amp;"|"&amp;テーブル17814[[#This Row],[機能]]&amp;"|")</f>
        <v>|HFS|[セル書式] [フォント] サイズ変更|</v>
      </c>
    </row>
    <row r="5" spans="1:3" ht="11.25" customHeight="1">
      <c r="A5" s="2" t="s">
        <v>411</v>
      </c>
      <c r="B5" s="2" t="s">
        <v>443</v>
      </c>
      <c r="C5" s="3" t="str">
        <f>IF(ISBLANK(テーブル17814[[#This Row],[機能]]),"","|"&amp;テーブル17814[[#This Row],[Key]]&amp;"|"&amp;テーブル17814[[#This Row],[機能]]&amp;"|")</f>
        <v>|HF1|[セル書式] [フォント] カラー変更|</v>
      </c>
    </row>
    <row r="6" spans="1:3" ht="11.25" customHeight="1">
      <c r="A6" s="10" t="s">
        <v>412</v>
      </c>
      <c r="B6" s="2" t="s">
        <v>444</v>
      </c>
      <c r="C6" s="3" t="str">
        <f>IF(ISBLANK(テーブル17814[[#This Row],[機能]]),"","|"&amp;テーブル17814[[#This Row],[Key]]&amp;"|"&amp;テーブル17814[[#This Row],[機能]]&amp;"|")</f>
        <v>|HH|[セル書式] [セル] 背景色変更|</v>
      </c>
    </row>
    <row r="7" spans="1:3" ht="11.25" customHeight="1">
      <c r="A7" s="2" t="s">
        <v>413</v>
      </c>
      <c r="B7" s="2" t="s">
        <v>445</v>
      </c>
      <c r="C7" s="3" t="str">
        <f>IF(ISBLANK(テーブル17814[[#This Row],[機能]]),"","|"&amp;テーブル17814[[#This Row],[Key]]&amp;"|"&amp;テーブル17814[[#This Row],[機能]]&amp;"|")</f>
        <v>|HW|[セル書式] [文字配置] 折り返して全体を表示|</v>
      </c>
    </row>
    <row r="8" spans="1:3" ht="11.25" customHeight="1">
      <c r="A8" s="2" t="s">
        <v>439</v>
      </c>
      <c r="B8" s="2" t="s">
        <v>460</v>
      </c>
      <c r="C8" s="3" t="str">
        <f>IF(ISBLANK(テーブル17814[[#This Row],[機能]]),"","|"&amp;テーブル17814[[#This Row],[Key]]&amp;"|"&amp;テーブル17814[[#This Row],[機能]]&amp;"|")</f>
        <v>|H&amp;color(red){L1} / HAC / H&amp;color(red){R}|[セル書式] [文字配置] 左 / 中央 / 右|</v>
      </c>
    </row>
    <row r="9" spans="1:3" ht="11.25" customHeight="1">
      <c r="A9" s="2" t="s">
        <v>431</v>
      </c>
      <c r="B9" s="2" t="s">
        <v>461</v>
      </c>
      <c r="C9" s="3" t="str">
        <f>IF(ISBLANK(テーブル17814[[#This Row],[機能]]),"","|"&amp;テーブル17814[[#This Row],[Key]]&amp;"|"&amp;テーブル17814[[#This Row],[機能]]&amp;"|")</f>
        <v>|HAT / HAM / HAB|[セル書式] [文字配置] 上 / 中央 / 下|</v>
      </c>
    </row>
    <row r="10" spans="1:3" ht="11.25" customHeight="1">
      <c r="A10" s="2" t="s">
        <v>432</v>
      </c>
      <c r="B10" s="2" t="s">
        <v>462</v>
      </c>
      <c r="C10" s="3" t="str">
        <f>IF(ISBLANK(テーブル17814[[#This Row],[機能]]),"","|"&amp;テーブル17814[[#This Row],[Key]]&amp;"|"&amp;テーブル17814[[#This Row],[機能]]&amp;"|")</f>
        <v>|HBN / HBA / HBT|[セル書式] [罫線] なし / 格子 / 太外枠|</v>
      </c>
    </row>
    <row r="11" spans="1:3" ht="11.25" customHeight="1">
      <c r="A11" s="2" t="s">
        <v>433</v>
      </c>
      <c r="B11" s="2" t="s">
        <v>463</v>
      </c>
      <c r="C11" s="3" t="str">
        <f>IF(ISBLANK(テーブル17814[[#This Row],[機能]]),"","|"&amp;テーブル17814[[#This Row],[Key]]&amp;"|"&amp;テーブル17814[[#This Row],[機能]]&amp;"|")</f>
        <v>|HMM / HMC / HMA / HMU|[セル書式] [セル結合] 結合 / 結合(中央) / 結合(横方向) / 解除|</v>
      </c>
    </row>
    <row r="12" spans="1:3" ht="11.25" customHeight="1">
      <c r="A12" s="2" t="s">
        <v>434</v>
      </c>
      <c r="B12" s="2" t="s">
        <v>464</v>
      </c>
      <c r="C12" s="3" t="str">
        <f>IF(ISBLANK(テーブル17814[[#This Row],[機能]]),"","|"&amp;テーブル17814[[#This Row],[Key]]&amp;"|"&amp;テーブル17814[[#This Row],[機能]]&amp;"|")</f>
        <v>|H0(zero) / H9|[セル書式] [小数点以下の表示桁数] ＋＋ / －－|</v>
      </c>
    </row>
    <row r="13" spans="1:3" ht="11.25" customHeight="1">
      <c r="A13" s="2" t="s">
        <v>435</v>
      </c>
      <c r="B13" s="2" t="s">
        <v>465</v>
      </c>
      <c r="C13" s="3" t="str">
        <f>IF(ISBLANK(テーブル17814[[#This Row],[機能]]),"","|"&amp;テーブル17814[[#This Row],[Key]]&amp;"|"&amp;テーブル17814[[#This Row],[機能]]&amp;"|")</f>
        <v>|EAR / EAH|[セル書式] [ハイパーリンク] 削除 / クリア|</v>
      </c>
    </row>
    <row r="14" spans="1:3" ht="11.25" customHeight="1">
      <c r="A14" s="2" t="s">
        <v>414</v>
      </c>
      <c r="B14" s="2" t="s">
        <v>446</v>
      </c>
      <c r="C14" s="3" t="str">
        <f>IF(ISBLANK(テーブル17814[[#This Row],[機能]]),"","|"&amp;テーブル17814[[#This Row],[Key]]&amp;"|"&amp;テーブル17814[[#This Row],[機能]]&amp;"|")</f>
        <v>|OD|[セル書式] [条件付き書式] ダイアログ表示|</v>
      </c>
    </row>
    <row r="15" spans="1:3" ht="11.25" customHeight="1">
      <c r="A15" s="2" t="s">
        <v>415</v>
      </c>
      <c r="B15" s="2" t="s">
        <v>466</v>
      </c>
      <c r="C15" s="3" t="str">
        <f>IF(ISBLANK(テーブル17814[[#This Row],[機能]]),"","|"&amp;テーブル17814[[#This Row],[Key]]&amp;"|"&amp;テーブル17814[[#This Row],[機能]]&amp;"|")</f>
        <v>|RH1|[セル書式] [コメント] 表示 / 非表示|</v>
      </c>
    </row>
    <row r="16" spans="1:3" ht="11.25" customHeight="1">
      <c r="A16" s="2" t="s">
        <v>416</v>
      </c>
      <c r="B16" s="2" t="s">
        <v>447</v>
      </c>
      <c r="C16" s="3" t="str">
        <f>IF(ISBLANK(テーブル17814[[#This Row],[機能]]),"","|"&amp;テーブル17814[[#This Row],[Key]]&amp;"|"&amp;テーブル17814[[#This Row],[機能]]&amp;"|")</f>
        <v>|WFF|[シート表示] ウィンドウ 枠固定 切り替え|</v>
      </c>
    </row>
    <row r="17" spans="1:3" ht="11.25" customHeight="1">
      <c r="A17" s="2" t="s">
        <v>417</v>
      </c>
      <c r="B17" s="7" t="s">
        <v>467</v>
      </c>
      <c r="C17" s="3" t="str">
        <f>IF(ISBLANK(テーブル17814[[#This Row],[機能]]),"","|"&amp;テーブル17814[[#This Row],[Key]]&amp;"|"&amp;テーブル17814[[#This Row],[機能]]&amp;"|")</f>
        <v>|WVG|[シート表示] 枠線 表示 / 非表示|</v>
      </c>
    </row>
    <row r="18" spans="1:3" ht="11.25" customHeight="1">
      <c r="A18" s="2" t="s">
        <v>436</v>
      </c>
      <c r="B18" s="2" t="s">
        <v>468</v>
      </c>
      <c r="C18" s="3" t="str">
        <f>IF(ISBLANK(テーブル17814[[#This Row],[機能]]),"","|"&amp;テーブル17814[[#This Row],[Key]]&amp;"|"&amp;テーブル17814[[#This Row],[機能]]&amp;"|")</f>
        <v>|HOI / HOA|[シート表示] 列 / 行幅 自動調整|</v>
      </c>
    </row>
    <row r="19" spans="1:3" ht="11.25" customHeight="1">
      <c r="A19" s="2" t="s">
        <v>418</v>
      </c>
      <c r="B19" s="2" t="s">
        <v>448</v>
      </c>
      <c r="C19" s="3" t="str">
        <f>IF(ISBLANK(テーブル17814[[#This Row],[機能]]),"","|"&amp;テーブル17814[[#This Row],[Key]]&amp;"|"&amp;テーブル17814[[#This Row],[機能]]&amp;"|")</f>
        <v>|HOT|[シート操作] 見出し色|</v>
      </c>
    </row>
    <row r="20" spans="1:3" ht="11.25" customHeight="1">
      <c r="A20" s="2" t="s">
        <v>437</v>
      </c>
      <c r="B20" s="2" t="s">
        <v>469</v>
      </c>
      <c r="C20" s="3" t="str">
        <f>IF(ISBLANK(テーブル17814[[#This Row],[機能]]),"","|"&amp;テーブル17814[[#This Row],[Key]]&amp;"|"&amp;テーブル17814[[#This Row],[機能]]&amp;"|")</f>
        <v>|OHH / OHU|[シート操作] 非表示 / 表示|</v>
      </c>
    </row>
    <row r="21" spans="1:3" ht="11.25" customHeight="1">
      <c r="A21" s="2" t="s">
        <v>419</v>
      </c>
      <c r="B21" s="2" t="s">
        <v>449</v>
      </c>
      <c r="C21" s="3" t="str">
        <f>IF(ISBLANK(テーブル17814[[#This Row],[機能]]),"","|"&amp;テーブル17814[[#This Row],[Key]]&amp;"|"&amp;テーブル17814[[#This Row],[機能]]&amp;"|")</f>
        <v>|EL|[シート操作] 削除|</v>
      </c>
    </row>
    <row r="22" spans="1:3" ht="11.25" customHeight="1">
      <c r="A22" s="2" t="s">
        <v>420</v>
      </c>
      <c r="B22" s="2" t="s">
        <v>450</v>
      </c>
      <c r="C22" s="3" t="str">
        <f>IF(ISBLANK(テーブル17814[[#This Row],[機能]]),"","|"&amp;テーブル17814[[#This Row],[Key]]&amp;"|"&amp;テーブル17814[[#This Row],[機能]]&amp;"|")</f>
        <v>|EM|[シート操作] 移動orコピーダイアログ|</v>
      </c>
    </row>
    <row r="23" spans="1:3" ht="11.25" customHeight="1">
      <c r="A23" s="2" t="s">
        <v>421</v>
      </c>
      <c r="B23" s="2" t="s">
        <v>451</v>
      </c>
      <c r="C23" s="3" t="str">
        <f>IF(ISBLANK(テーブル17814[[#This Row],[機能]]),"","|"&amp;テーブル17814[[#This Row],[Key]]&amp;"|"&amp;テーブル17814[[#This Row],[機能]]&amp;"|")</f>
        <v>|HOR|[シート操作] 名前変更|</v>
      </c>
    </row>
    <row r="24" spans="1:3" ht="11.25" customHeight="1">
      <c r="A24" s="2" t="s">
        <v>422</v>
      </c>
      <c r="B24" s="2" t="s">
        <v>452</v>
      </c>
      <c r="C24" s="3" t="str">
        <f>IF(ISBLANK(テーブル17814[[#This Row],[機能]]),"","|"&amp;テーブル17814[[#This Row],[Key]]&amp;"|"&amp;テーブル17814[[#This Row],[機能]]&amp;"|")</f>
        <v>|IB|[シート表示] 改ページ挿入|</v>
      </c>
    </row>
    <row r="25" spans="1:3" ht="11.25" customHeight="1">
      <c r="A25" s="2" t="s">
        <v>423</v>
      </c>
      <c r="B25" s="2" t="s">
        <v>453</v>
      </c>
      <c r="C25" s="3" t="str">
        <f>IF(ISBLANK(テーブル17814[[#This Row],[機能]]),"","|"&amp;テーブル17814[[#This Row],[Key]]&amp;"|"&amp;テーブル17814[[#This Row],[機能]]&amp;"|")</f>
        <v>|AE|[データ] [区切り位置] ダイアログ|</v>
      </c>
    </row>
    <row r="26" spans="1:3" ht="11.25" customHeight="1">
      <c r="A26" s="2" t="s">
        <v>438</v>
      </c>
      <c r="B26" s="7" t="s">
        <v>470</v>
      </c>
      <c r="C26" s="3" t="str">
        <f>IF(ISBLANK(テーブル17814[[#This Row],[機能]]),"","|"&amp;テーブル17814[[#This Row],[Key]]&amp;"|"&amp;テーブル17814[[#This Row],[機能]]&amp;"|")</f>
        <v>|AH / AJ|[データ] [グループ] 折りたたむ / 展開|</v>
      </c>
    </row>
    <row r="27" spans="1:3" ht="11.25" customHeight="1">
      <c r="A27" s="2" t="s">
        <v>424</v>
      </c>
      <c r="B27" s="2" t="s">
        <v>454</v>
      </c>
      <c r="C27" s="3" t="str">
        <f>IF(ISBLANK(テーブル17814[[#This Row],[機能]]),"","|"&amp;テーブル17814[[#This Row],[Key]]&amp;"|"&amp;テーブル17814[[#This Row],[機能]]&amp;"|")</f>
        <v>|AM|[データ] 重複削除|</v>
      </c>
    </row>
    <row r="28" spans="1:3" ht="11.25" customHeight="1">
      <c r="A28" s="2" t="s">
        <v>425</v>
      </c>
      <c r="B28" s="7" t="s">
        <v>455</v>
      </c>
      <c r="C28" s="3" t="str">
        <f>IF(ISBLANK(テーブル17814[[#This Row],[機能]]),"","|"&amp;テーブル17814[[#This Row],[Key]]&amp;"|"&amp;テーブル17814[[#This Row],[機能]]&amp;"|")</f>
        <v>|DL|[データ] [入力規則] ダイアログ|</v>
      </c>
    </row>
    <row r="29" spans="1:3" ht="11.25" customHeight="1">
      <c r="A29" s="2" t="s">
        <v>426</v>
      </c>
      <c r="B29" s="2" t="s">
        <v>456</v>
      </c>
      <c r="C29" s="3" t="str">
        <f>IF(ISBLANK(テーブル17814[[#This Row],[機能]]),"","|"&amp;テーブル17814[[#This Row],[Key]]&amp;"|"&amp;テーブル17814[[#This Row],[機能]]&amp;"|")</f>
        <v>|EIS|[データ] [連続データ表示] |</v>
      </c>
    </row>
    <row r="30" spans="1:3" ht="11.25" customHeight="1">
      <c r="A30" s="2" t="s">
        <v>427</v>
      </c>
      <c r="B30" s="2" t="s">
        <v>457</v>
      </c>
      <c r="C30" s="3" t="str">
        <f>IF(ISBLANK(テーブル17814[[#This Row],[機能]]),"","|"&amp;テーブル17814[[#This Row],[Key]]&amp;"|"&amp;テーブル17814[[#This Row],[機能]]&amp;"|")</f>
        <v>|HFDO|[ツール] オブジェクト選択|</v>
      </c>
    </row>
    <row r="31" spans="1:3" ht="11.25" customHeight="1">
      <c r="A31" s="2" t="s">
        <v>428</v>
      </c>
      <c r="B31" s="2" t="s">
        <v>458</v>
      </c>
      <c r="C31" s="3" t="str">
        <f>IF(ISBLANK(テーブル17814[[#This Row],[機能]]),"","|"&amp;テーブル17814[[#This Row],[Key]]&amp;"|"&amp;テーブル17814[[#This Row],[機能]]&amp;"|")</f>
        <v>|MV|[ツール] 数式の検証|</v>
      </c>
    </row>
    <row r="32" spans="1:3" ht="11.25" customHeight="1">
      <c r="A32" s="2" t="s">
        <v>429</v>
      </c>
      <c r="B32" s="2" t="s">
        <v>459</v>
      </c>
      <c r="C32" s="3" t="str">
        <f>IF(ISBLANK(テーブル17814[[#This Row],[機能]]),"","|"&amp;テーブル17814[[#This Row],[Key]]&amp;"|"&amp;テーブル17814[[#This Row],[機能]]&amp;"|")</f>
        <v>|RU2|[ツール] ブック共有|</v>
      </c>
    </row>
    <row r="33" spans="1:3" ht="11.25" customHeight="1">
      <c r="A33" s="2" t="s">
        <v>430</v>
      </c>
      <c r="B33" s="2" t="s">
        <v>472</v>
      </c>
      <c r="C33" s="3" t="str">
        <f>IF(ISBLANK(テーブル17814[[#This Row],[機能]]),"","|"&amp;テーブル17814[[#This Row],[Key]]&amp;"|"&amp;テーブル17814[[#This Row],[機能]]&amp;"|")</f>
        <v>|DFS|[ツール] [フィルタ] クリア適用|</v>
      </c>
    </row>
    <row r="34" spans="1:3" ht="11.25" customHeight="1">
      <c r="A34" s="2" t="s">
        <v>471</v>
      </c>
      <c r="B34" s="2" t="s">
        <v>473</v>
      </c>
      <c r="C34" s="3" t="str">
        <f>IF(ISBLANK(テーブル17814[[#This Row],[機能]]),"","|"&amp;テーブル17814[[#This Row],[Key]]&amp;"|"&amp;テーブル17814[[#This Row],[機能]]&amp;"|")</f>
        <v>|MP|[ツール] [トレース] 参照元トレース|</v>
      </c>
    </row>
    <row r="35" spans="1:3" ht="11.25" customHeight="1">
      <c r="A35" s="2" t="s">
        <v>475</v>
      </c>
      <c r="B35" s="2" t="s">
        <v>474</v>
      </c>
      <c r="C35" s="3" t="str">
        <f>IF(ISBLANK(テーブル17814[[#This Row],[機能]]),"","|"&amp;テーブル17814[[#This Row],[Key]]&amp;"|"&amp;テーブル17814[[#This Row],[機能]]&amp;"|")</f>
        <v>|MD|[ツール] [トレース] 参照先トレース|</v>
      </c>
    </row>
    <row r="36" spans="1:3" ht="11.25" customHeight="1">
      <c r="A36" s="2"/>
      <c r="B36" s="2"/>
      <c r="C36" s="3" t="str">
        <f>IF(ISBLANK(テーブル17814[[#This Row],[機能]]),"","|"&amp;テーブル17814[[#This Row],[Key]]&amp;"|"&amp;テーブル17814[[#This Row],[機能]]&amp;"|")</f>
        <v/>
      </c>
    </row>
    <row r="37" spans="1:3" ht="11.25" customHeight="1">
      <c r="A37" s="2"/>
      <c r="B37" s="2"/>
      <c r="C37" s="3" t="str">
        <f>IF(ISBLANK(テーブル17814[[#This Row],[機能]]),"","|"&amp;テーブル17814[[#This Row],[Key]]&amp;"|"&amp;テーブル17814[[#This Row],[機能]]&amp;"|")</f>
        <v/>
      </c>
    </row>
    <row r="38" spans="1:3" ht="11.25" customHeight="1">
      <c r="A38" s="2"/>
      <c r="B38" s="2"/>
      <c r="C38" s="3" t="str">
        <f>IF(ISBLANK(テーブル17814[[#This Row],[機能]]),"","|"&amp;テーブル17814[[#This Row],[Key]]&amp;"|"&amp;テーブル17814[[#This Row],[機能]]&amp;"|")</f>
        <v/>
      </c>
    </row>
    <row r="39" spans="1:3" ht="11.25" customHeight="1">
      <c r="A39" s="2"/>
      <c r="B39" s="2"/>
      <c r="C39" s="3" t="str">
        <f>IF(ISBLANK(テーブル17814[[#This Row],[機能]]),"","|"&amp;テーブル17814[[#This Row],[Key]]&amp;"|"&amp;テーブル17814[[#This Row],[機能]]&amp;"|")</f>
        <v/>
      </c>
    </row>
    <row r="40" spans="1:3" ht="11.25" customHeight="1">
      <c r="A40" s="2"/>
      <c r="B40" s="2"/>
      <c r="C40" s="3" t="str">
        <f>IF(ISBLANK(テーブル17814[[#This Row],[機能]]),"","|"&amp;テーブル17814[[#This Row],[Key]]&amp;"|"&amp;テーブル17814[[#This Row],[機能]]&amp;"|")</f>
        <v/>
      </c>
    </row>
    <row r="41" spans="1:3" ht="11.25" customHeight="1">
      <c r="A41" s="2"/>
      <c r="B41" s="2"/>
      <c r="C41" s="3" t="str">
        <f>IF(ISBLANK(テーブル17814[[#This Row],[機能]]),"","|"&amp;テーブル17814[[#This Row],[Key]]&amp;"|"&amp;テーブル17814[[#This Row],[機能]]&amp;"|")</f>
        <v/>
      </c>
    </row>
    <row r="42" spans="1:3" ht="11.25" customHeight="1">
      <c r="A42" s="2"/>
      <c r="B42" s="2"/>
      <c r="C42" s="3" t="str">
        <f>IF(ISBLANK(テーブル17814[[#This Row],[機能]]),"","|"&amp;テーブル17814[[#This Row],[Key]]&amp;"|"&amp;テーブル17814[[#This Row],[機能]]&amp;"|")</f>
        <v/>
      </c>
    </row>
    <row r="43" spans="1:3" ht="11.25" customHeight="1">
      <c r="A43" s="2"/>
      <c r="B43" s="2"/>
      <c r="C43" s="3" t="str">
        <f>IF(ISBLANK(テーブル17814[[#This Row],[機能]]),"","|"&amp;テーブル17814[[#This Row],[Key]]&amp;"|"&amp;テーブル17814[[#This Row],[機能]]&amp;"|")</f>
        <v/>
      </c>
    </row>
    <row r="44" spans="1:3" ht="11.25" customHeight="1">
      <c r="A44" s="2"/>
      <c r="B44" s="2"/>
      <c r="C44" s="3" t="str">
        <f>IF(ISBLANK(テーブル17814[[#This Row],[機能]]),"","|"&amp;テーブル17814[[#This Row],[Key]]&amp;"|"&amp;テーブル17814[[#This Row],[機能]]&amp;"|")</f>
        <v/>
      </c>
    </row>
    <row r="45" spans="1:3" ht="11.25" customHeight="1">
      <c r="A45" s="2"/>
      <c r="B45" s="2"/>
      <c r="C45" s="3" t="str">
        <f>IF(ISBLANK(テーブル17814[[#This Row],[機能]]),"","|"&amp;テーブル17814[[#This Row],[Key]]&amp;"|"&amp;テーブル17814[[#This Row],[機能]]&amp;"|")</f>
        <v/>
      </c>
    </row>
    <row r="46" spans="1:3" ht="11.25" customHeight="1">
      <c r="A46" s="2"/>
      <c r="B46" s="2"/>
      <c r="C46" s="3" t="str">
        <f>IF(ISBLANK(テーブル17814[[#This Row],[機能]]),"","|"&amp;テーブル17814[[#This Row],[Key]]&amp;"|"&amp;テーブル17814[[#This Row],[機能]]&amp;"|")</f>
        <v/>
      </c>
    </row>
    <row r="47" spans="1:3" ht="11.25" customHeight="1">
      <c r="A47" s="2"/>
      <c r="B47" s="2"/>
      <c r="C47" s="3" t="str">
        <f>IF(ISBLANK(テーブル17814[[#This Row],[機能]]),"","|"&amp;テーブル17814[[#This Row],[Key]]&amp;"|"&amp;テーブル17814[[#This Row],[機能]]&amp;"|")</f>
        <v/>
      </c>
    </row>
    <row r="48" spans="1:3" ht="11.25" customHeight="1">
      <c r="A48" s="2"/>
      <c r="B48" s="2"/>
      <c r="C48" s="3" t="str">
        <f>IF(ISBLANK(テーブル17814[[#This Row],[機能]]),"","|"&amp;テーブル17814[[#This Row],[Key]]&amp;"|"&amp;テーブル17814[[#This Row],[機能]]&amp;"|")</f>
        <v/>
      </c>
    </row>
    <row r="49" spans="1:3" ht="11.25" customHeight="1">
      <c r="A49" s="2"/>
      <c r="B49" s="2"/>
      <c r="C49" s="3" t="str">
        <f>IF(ISBLANK(テーブル17814[[#This Row],[機能]]),"","|"&amp;テーブル17814[[#This Row],[Key]]&amp;"|"&amp;テーブル17814[[#This Row],[機能]]&amp;"|")</f>
        <v/>
      </c>
    </row>
    <row r="50" spans="1:3" ht="11.25" customHeight="1">
      <c r="A50" s="2"/>
      <c r="B50" s="2"/>
      <c r="C50" s="3" t="str">
        <f>IF(ISBLANK(テーブル17814[[#This Row],[機能]]),"","|"&amp;テーブル17814[[#This Row],[Key]]&amp;"|"&amp;テーブル17814[[#This Row],[機能]]&amp;"|")</f>
        <v/>
      </c>
    </row>
    <row r="51" spans="1:3" ht="11.25" customHeight="1">
      <c r="A51" s="2"/>
      <c r="B51" s="2"/>
      <c r="C51" s="3" t="str">
        <f>IF(ISBLANK(テーブル17814[[#This Row],[機能]]),"","|"&amp;テーブル17814[[#This Row],[Key]]&amp;"|"&amp;テーブル17814[[#This Row],[機能]]&amp;"|")</f>
        <v/>
      </c>
    </row>
    <row r="52" spans="1:3" ht="11.25" customHeight="1">
      <c r="A52" s="2"/>
      <c r="B52" s="2"/>
      <c r="C52" s="3" t="str">
        <f>IF(ISBLANK(テーブル17814[[#This Row],[機能]]),"","|"&amp;テーブル17814[[#This Row],[Key]]&amp;"|"&amp;テーブル17814[[#This Row],[機能]]&amp;"|")</f>
        <v/>
      </c>
    </row>
    <row r="53" spans="1:3" ht="11.25" customHeight="1">
      <c r="A53" s="2"/>
      <c r="B53" s="2"/>
      <c r="C53" s="3" t="str">
        <f>IF(ISBLANK(テーブル17814[[#This Row],[機能]]),"","|"&amp;テーブル17814[[#This Row],[Key]]&amp;"|"&amp;テーブル17814[[#This Row],[機能]]&amp;"|")</f>
        <v/>
      </c>
    </row>
    <row r="54" spans="1:3" ht="11.25" customHeight="1">
      <c r="A54" s="2"/>
      <c r="B54" s="2"/>
      <c r="C54" s="3" t="str">
        <f>IF(ISBLANK(テーブル17814[[#This Row],[機能]]),"","|"&amp;テーブル17814[[#This Row],[Key]]&amp;"|"&amp;テーブル17814[[#This Row],[機能]]&amp;"|")</f>
        <v/>
      </c>
    </row>
    <row r="55" spans="1:3" ht="11.25" customHeight="1">
      <c r="A55" s="2"/>
      <c r="B55" s="2"/>
      <c r="C55" s="3" t="str">
        <f>IF(ISBLANK(テーブル17814[[#This Row],[機能]]),"","|"&amp;テーブル17814[[#This Row],[Key]]&amp;"|"&amp;テーブル17814[[#This Row],[機能]]&amp;"|")</f>
        <v/>
      </c>
    </row>
    <row r="56" spans="1:3" ht="11.25" customHeight="1">
      <c r="A56" s="2"/>
      <c r="B56" s="2"/>
      <c r="C56" s="3" t="str">
        <f>IF(ISBLANK(テーブル17814[[#This Row],[機能]]),"","|"&amp;テーブル17814[[#This Row],[Key]]&amp;"|"&amp;テーブル17814[[#This Row],[機能]]&amp;"|")</f>
        <v/>
      </c>
    </row>
    <row r="57" spans="1:3" ht="11.25" customHeight="1">
      <c r="A57" s="2"/>
      <c r="B57" s="2"/>
      <c r="C57" s="3" t="str">
        <f>IF(ISBLANK(テーブル17814[[#This Row],[機能]]),"","|"&amp;テーブル17814[[#This Row],[Key]]&amp;"|"&amp;テーブル17814[[#This Row],[機能]]&amp;"|")</f>
        <v/>
      </c>
    </row>
    <row r="58" spans="1:3" ht="11.25" customHeight="1">
      <c r="A58" s="2"/>
      <c r="B58" s="2"/>
      <c r="C58" s="3" t="str">
        <f>IF(ISBLANK(テーブル17814[[#This Row],[機能]]),"","|"&amp;テーブル17814[[#This Row],[Key]]&amp;"|"&amp;テーブル17814[[#This Row],[機能]]&amp;"|")</f>
        <v/>
      </c>
    </row>
    <row r="59" spans="1:3" ht="11.25" customHeight="1">
      <c r="A59" s="2"/>
      <c r="B59" s="2"/>
      <c r="C59" s="3" t="str">
        <f>IF(ISBLANK(テーブル17814[[#This Row],[機能]]),"","|"&amp;テーブル17814[[#This Row],[Key]]&amp;"|"&amp;テーブル17814[[#This Row],[機能]]&amp;"|")</f>
        <v/>
      </c>
    </row>
    <row r="60" spans="1:3" ht="11.25" customHeight="1">
      <c r="A60" s="2"/>
      <c r="B60" s="2"/>
      <c r="C60" s="3" t="str">
        <f>IF(ISBLANK(テーブル17814[[#This Row],[機能]]),"","|"&amp;テーブル17814[[#This Row],[Key]]&amp;"|"&amp;テーブル17814[[#This Row],[機能]]&amp;"|")</f>
        <v/>
      </c>
    </row>
    <row r="61" spans="1:3" ht="11.25" customHeight="1">
      <c r="A61" s="2"/>
      <c r="B61" s="2"/>
      <c r="C61" s="3" t="str">
        <f>IF(ISBLANK(テーブル17814[[#This Row],[機能]]),"","|"&amp;テーブル17814[[#This Row],[Key]]&amp;"|"&amp;テーブル17814[[#This Row],[機能]]&amp;"|")</f>
        <v/>
      </c>
    </row>
    <row r="62" spans="1:3" ht="11.25" customHeight="1">
      <c r="A62" s="2"/>
      <c r="B62" s="2"/>
      <c r="C62" s="3" t="str">
        <f>IF(ISBLANK(テーブル17814[[#This Row],[機能]]),"","|"&amp;テーブル17814[[#This Row],[Key]]&amp;"|"&amp;テーブル17814[[#This Row],[機能]]&amp;"|")</f>
        <v/>
      </c>
    </row>
    <row r="63" spans="1:3" ht="11.25" customHeight="1">
      <c r="A63" s="2"/>
      <c r="B63" s="2"/>
      <c r="C63" s="3" t="str">
        <f>IF(ISBLANK(テーブル17814[[#This Row],[機能]]),"","|"&amp;テーブル17814[[#This Row],[Key]]&amp;"|"&amp;テーブル17814[[#This Row],[機能]]&amp;"|")</f>
        <v/>
      </c>
    </row>
    <row r="64" spans="1:3" ht="11.25" customHeight="1">
      <c r="A64" s="2"/>
      <c r="B64" s="2"/>
      <c r="C64" s="3" t="str">
        <f>IF(ISBLANK(テーブル17814[[#This Row],[機能]]),"","|"&amp;テーブル17814[[#This Row],[Key]]&amp;"|"&amp;テーブル17814[[#This Row],[機能]]&amp;"|")</f>
        <v/>
      </c>
    </row>
    <row r="65" spans="1:3" ht="11.25" customHeight="1">
      <c r="A65" s="2"/>
      <c r="B65" s="2"/>
      <c r="C65" s="3" t="str">
        <f>IF(ISBLANK(テーブル17814[[#This Row],[機能]]),"","|"&amp;テーブル17814[[#This Row],[Key]]&amp;"|"&amp;テーブル17814[[#This Row],[機能]]&amp;"|")</f>
        <v/>
      </c>
    </row>
    <row r="66" spans="1:3" ht="11.25" customHeight="1">
      <c r="A66" s="2"/>
      <c r="B66" s="2"/>
      <c r="C66" s="3" t="str">
        <f>IF(ISBLANK(テーブル17814[[#This Row],[機能]]),"","|"&amp;テーブル17814[[#This Row],[Key]]&amp;"|"&amp;テーブル17814[[#This Row],[機能]]&amp;"|")</f>
        <v/>
      </c>
    </row>
    <row r="67" spans="1:3" ht="11.25" customHeight="1">
      <c r="A67" s="2"/>
      <c r="B67" s="2"/>
      <c r="C67" s="3" t="str">
        <f>IF(ISBLANK(テーブル17814[[#This Row],[機能]]),"","|"&amp;テーブル17814[[#This Row],[Key]]&amp;"|"&amp;テーブル17814[[#This Row],[機能]]&amp;"|")</f>
        <v/>
      </c>
    </row>
    <row r="68" spans="1:3" ht="11.25" customHeight="1">
      <c r="A68" s="2"/>
      <c r="B68" s="2"/>
      <c r="C68" s="3" t="str">
        <f>IF(ISBLANK(テーブル17814[[#This Row],[機能]]),"","|"&amp;テーブル17814[[#This Row],[Key]]&amp;"|"&amp;テーブル17814[[#This Row],[機能]]&amp;"|")</f>
        <v/>
      </c>
    </row>
    <row r="69" spans="1:3" ht="11.25" customHeight="1">
      <c r="A69" s="2"/>
      <c r="B69" s="2"/>
      <c r="C69" s="3" t="str">
        <f>IF(ISBLANK(テーブル17814[[#This Row],[機能]]),"","|"&amp;テーブル17814[[#This Row],[Key]]&amp;"|"&amp;テーブル17814[[#This Row],[機能]]&amp;"|")</f>
        <v/>
      </c>
    </row>
    <row r="70" spans="1:3" ht="11.25" customHeight="1">
      <c r="A70" s="2"/>
      <c r="B70" s="2"/>
      <c r="C70" s="3" t="str">
        <f>IF(ISBLANK(テーブル17814[[#This Row],[機能]]),"","|"&amp;テーブル17814[[#This Row],[Key]]&amp;"|"&amp;テーブル17814[[#This Row],[機能]]&amp;"|")</f>
        <v/>
      </c>
    </row>
    <row r="71" spans="1:3" ht="11.25" customHeight="1">
      <c r="A71" s="2"/>
      <c r="B71" s="2"/>
      <c r="C71" s="3" t="str">
        <f>IF(ISBLANK(テーブル17814[[#This Row],[機能]]),"","|"&amp;テーブル17814[[#This Row],[Key]]&amp;"|"&amp;テーブル17814[[#This Row],[機能]]&amp;"|")</f>
        <v/>
      </c>
    </row>
    <row r="72" spans="1:3" ht="11.25" customHeight="1">
      <c r="A72" s="2"/>
      <c r="B72" s="2"/>
      <c r="C72" s="3" t="str">
        <f>IF(ISBLANK(テーブル17814[[#This Row],[機能]]),"","|"&amp;テーブル17814[[#This Row],[Key]]&amp;"|"&amp;テーブル17814[[#This Row],[機能]]&amp;"|")</f>
        <v/>
      </c>
    </row>
    <row r="73" spans="1:3" ht="11.25" customHeight="1">
      <c r="A73" s="2"/>
      <c r="B73" s="2"/>
      <c r="C73" s="3" t="str">
        <f>IF(ISBLANK(テーブル17814[[#This Row],[機能]]),"","|"&amp;テーブル17814[[#This Row],[Key]]&amp;"|"&amp;テーブル17814[[#This Row],[機能]]&amp;"|")</f>
        <v/>
      </c>
    </row>
    <row r="74" spans="1:3" ht="11.25" customHeight="1">
      <c r="A74" s="2"/>
      <c r="B74" s="2"/>
      <c r="C74" s="3" t="str">
        <f>IF(ISBLANK(テーブル17814[[#This Row],[機能]]),"","|"&amp;テーブル17814[[#This Row],[Key]]&amp;"|"&amp;テーブル17814[[#This Row],[機能]]&amp;"|")</f>
        <v/>
      </c>
    </row>
    <row r="75" spans="1:3" ht="11.25" customHeight="1">
      <c r="A75" s="2"/>
      <c r="B75" s="2"/>
      <c r="C75" s="3" t="str">
        <f>IF(ISBLANK(テーブル17814[[#This Row],[機能]]),"","|"&amp;テーブル17814[[#This Row],[Key]]&amp;"|"&amp;テーブル17814[[#This Row],[機能]]&amp;"|")</f>
        <v/>
      </c>
    </row>
    <row r="76" spans="1:3" ht="11.25" customHeight="1">
      <c r="A76" s="2"/>
      <c r="B76" s="2"/>
      <c r="C76" s="3" t="str">
        <f>IF(ISBLANK(テーブル17814[[#This Row],[機能]]),"","|"&amp;テーブル17814[[#This Row],[Key]]&amp;"|"&amp;テーブル17814[[#This Row],[機能]]&amp;"|")</f>
        <v/>
      </c>
    </row>
    <row r="77" spans="1:3" ht="11.25" customHeight="1">
      <c r="A77" s="2"/>
      <c r="B77" s="2"/>
      <c r="C77" s="3" t="str">
        <f>IF(ISBLANK(テーブル17814[[#This Row],[機能]]),"","|"&amp;テーブル17814[[#This Row],[Key]]&amp;"|"&amp;テーブル17814[[#This Row],[機能]]&amp;"|")</f>
        <v/>
      </c>
    </row>
    <row r="78" spans="1:3" ht="11.25" customHeight="1">
      <c r="A78" s="2"/>
      <c r="B78" s="2"/>
      <c r="C78" s="3" t="str">
        <f>IF(ISBLANK(テーブル17814[[#This Row],[機能]]),"","|"&amp;テーブル17814[[#This Row],[Key]]&amp;"|"&amp;テーブル17814[[#This Row],[機能]]&amp;"|")</f>
        <v/>
      </c>
    </row>
    <row r="79" spans="1:3" ht="11.25" customHeight="1">
      <c r="A79" s="2"/>
      <c r="B79" s="2"/>
      <c r="C79" s="3" t="str">
        <f>IF(ISBLANK(テーブル17814[[#This Row],[機能]]),"","|"&amp;テーブル17814[[#This Row],[Key]]&amp;"|"&amp;テーブル17814[[#This Row],[機能]]&amp;"|")</f>
        <v/>
      </c>
    </row>
    <row r="80" spans="1:3" ht="11.25" customHeight="1">
      <c r="A80" s="2"/>
      <c r="B80" s="2"/>
      <c r="C80" s="3" t="str">
        <f>IF(ISBLANK(テーブル17814[[#This Row],[機能]]),"","|"&amp;テーブル17814[[#This Row],[Key]]&amp;"|"&amp;テーブル17814[[#This Row],[機能]]&amp;"|")</f>
        <v/>
      </c>
    </row>
    <row r="81" spans="1:3" ht="11.25" customHeight="1">
      <c r="A81" s="2"/>
      <c r="B81" s="2"/>
      <c r="C81" s="3" t="str">
        <f>IF(ISBLANK(テーブル17814[[#This Row],[機能]]),"","|"&amp;テーブル17814[[#This Row],[Key]]&amp;"|"&amp;テーブル17814[[#This Row],[機能]]&amp;"|")</f>
        <v/>
      </c>
    </row>
    <row r="82" spans="1:3" ht="11.25" customHeight="1">
      <c r="A82" s="2"/>
      <c r="B82" s="2"/>
      <c r="C82" s="3" t="str">
        <f>IF(ISBLANK(テーブル17814[[#This Row],[機能]]),"","|"&amp;テーブル17814[[#This Row],[Key]]&amp;"|"&amp;テーブル17814[[#This Row],[機能]]&amp;"|")</f>
        <v/>
      </c>
    </row>
    <row r="83" spans="1:3" ht="11.25" customHeight="1">
      <c r="A83" s="2"/>
      <c r="B83" s="2"/>
      <c r="C83" s="3" t="str">
        <f>IF(ISBLANK(テーブル17814[[#This Row],[機能]]),"","|"&amp;テーブル17814[[#This Row],[Key]]&amp;"|"&amp;テーブル17814[[#This Row],[機能]]&amp;"|")</f>
        <v/>
      </c>
    </row>
    <row r="84" spans="1:3" ht="11.25" customHeight="1">
      <c r="A84" s="2"/>
      <c r="B84" s="2"/>
      <c r="C84" s="3" t="str">
        <f>IF(ISBLANK(テーブル17814[[#This Row],[機能]]),"","|"&amp;テーブル17814[[#This Row],[Key]]&amp;"|"&amp;テーブル17814[[#This Row],[機能]]&amp;"|")</f>
        <v/>
      </c>
    </row>
    <row r="85" spans="1:3" ht="11.25" customHeight="1">
      <c r="A85" s="2"/>
      <c r="B85" s="2"/>
      <c r="C85" s="3" t="str">
        <f>IF(ISBLANK(テーブル17814[[#This Row],[機能]]),"","|"&amp;テーブル17814[[#This Row],[Key]]&amp;"|"&amp;テーブル17814[[#This Row],[機能]]&amp;"|")</f>
        <v/>
      </c>
    </row>
    <row r="86" spans="1:3" ht="11.25" customHeight="1">
      <c r="A86" s="2"/>
      <c r="B86" s="2"/>
      <c r="C86" s="3" t="str">
        <f>IF(ISBLANK(テーブル17814[[#This Row],[機能]]),"","|"&amp;テーブル17814[[#This Row],[Key]]&amp;"|"&amp;テーブル17814[[#This Row],[機能]]&amp;"|")</f>
        <v/>
      </c>
    </row>
    <row r="87" spans="1:3" ht="11.25" customHeight="1">
      <c r="A87" s="2"/>
      <c r="B87" s="2"/>
      <c r="C87" s="3" t="str">
        <f>IF(ISBLANK(テーブル17814[[#This Row],[機能]]),"","|"&amp;テーブル17814[[#This Row],[Key]]&amp;"|"&amp;テーブル17814[[#This Row],[機能]]&amp;"|")</f>
        <v/>
      </c>
    </row>
    <row r="88" spans="1:3" ht="11.25" customHeight="1">
      <c r="A88" s="2"/>
      <c r="B88" s="2"/>
      <c r="C88" s="3" t="str">
        <f>IF(ISBLANK(テーブル17814[[#This Row],[機能]]),"","|"&amp;テーブル17814[[#This Row],[Key]]&amp;"|"&amp;テーブル17814[[#This Row],[機能]]&amp;"|")</f>
        <v/>
      </c>
    </row>
    <row r="89" spans="1:3" ht="11.25" customHeight="1">
      <c r="A89" s="2"/>
      <c r="B89" s="2"/>
      <c r="C89" s="3" t="str">
        <f>IF(ISBLANK(テーブル17814[[#This Row],[機能]]),"","|"&amp;テーブル17814[[#This Row],[Key]]&amp;"|"&amp;テーブル17814[[#This Row],[機能]]&amp;"|")</f>
        <v/>
      </c>
    </row>
    <row r="90" spans="1:3" ht="11.25" customHeight="1">
      <c r="A90" s="2"/>
      <c r="B90" s="2"/>
      <c r="C90" s="3" t="str">
        <f>IF(ISBLANK(テーブル17814[[#This Row],[機能]]),"","|"&amp;テーブル17814[[#This Row],[Key]]&amp;"|"&amp;テーブル17814[[#This Row],[機能]]&amp;"|")</f>
        <v/>
      </c>
    </row>
    <row r="91" spans="1:3" ht="11.25" customHeight="1">
      <c r="A91" s="2"/>
      <c r="B91" s="2"/>
      <c r="C91" s="3" t="str">
        <f>IF(ISBLANK(テーブル17814[[#This Row],[機能]]),"","|"&amp;テーブル17814[[#This Row],[Key]]&amp;"|"&amp;テーブル17814[[#This Row],[機能]]&amp;"|")</f>
        <v/>
      </c>
    </row>
    <row r="92" spans="1:3" ht="11.25" customHeight="1">
      <c r="A92" s="2"/>
      <c r="B92" s="2"/>
      <c r="C92" s="3" t="str">
        <f>IF(ISBLANK(テーブル17814[[#This Row],[機能]]),"","|"&amp;テーブル17814[[#This Row],[Key]]&amp;"|"&amp;テーブル17814[[#This Row],[機能]]&amp;"|")</f>
        <v/>
      </c>
    </row>
  </sheetData>
  <phoneticPr fontId="4"/>
  <pageMargins left="0.7" right="0.7" top="0.75" bottom="0.75" header="0.3" footer="0.3"/>
  <pageSetup paperSize="9" scale="76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DBF7-FA1F-4653-A24F-5632360CCE3C}">
  <sheetPr codeName="Sheet14">
    <tabColor theme="8" tint="0.79998168889431442"/>
  </sheetPr>
  <dimension ref="A1:F99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|:---|:---|:---|:---|:---|</v>
      </c>
    </row>
    <row r="3" spans="1:6" ht="11.25" customHeight="1">
      <c r="D3" s="2" t="s">
        <v>159</v>
      </c>
      <c r="E3" s="2" t="s">
        <v>477</v>
      </c>
      <c r="F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||||F5|実行|</v>
      </c>
    </row>
    <row r="4" spans="1:6" ht="11.25" customHeight="1">
      <c r="D4" s="2" t="s">
        <v>238</v>
      </c>
      <c r="E4" s="2" t="s">
        <v>490</v>
      </c>
      <c r="F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||||F8|ステップイン|</v>
      </c>
    </row>
    <row r="5" spans="1:6" ht="11.25" customHeight="1">
      <c r="B5" s="1" t="s">
        <v>480</v>
      </c>
      <c r="D5" s="2" t="s">
        <v>238</v>
      </c>
      <c r="E5" s="2" t="s">
        <v>487</v>
      </c>
      <c r="F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||Shift||F8|ステップオーバー|</v>
      </c>
    </row>
    <row r="6" spans="1:6" ht="11.25" customHeight="1">
      <c r="A6" s="1" t="s">
        <v>0</v>
      </c>
      <c r="B6" s="1" t="s">
        <v>480</v>
      </c>
      <c r="D6" s="2" t="s">
        <v>238</v>
      </c>
      <c r="E6" s="2" t="s">
        <v>488</v>
      </c>
      <c r="F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|Ctrl|Shift||F8|ステップアウト|</v>
      </c>
    </row>
    <row r="7" spans="1:6" ht="11.25" customHeight="1">
      <c r="D7" s="2" t="s">
        <v>353</v>
      </c>
      <c r="E7" s="2" t="s">
        <v>489</v>
      </c>
      <c r="F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||||F2|ウィンドウ表示/移動 オブジェクト移動|</v>
      </c>
    </row>
    <row r="8" spans="1:6" ht="11.25" customHeight="1">
      <c r="D8" s="2" t="s">
        <v>150</v>
      </c>
      <c r="E8" s="2" t="s">
        <v>486</v>
      </c>
      <c r="F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||||F4|ウィンドウ表示/移動 プロパティ|</v>
      </c>
    </row>
    <row r="9" spans="1:6" ht="11.25" customHeight="1">
      <c r="D9" s="2" t="s">
        <v>224</v>
      </c>
      <c r="E9" s="2" t="s">
        <v>483</v>
      </c>
      <c r="F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||||F7|ウィンドウ表示/移動 コード|</v>
      </c>
    </row>
    <row r="10" spans="1:6" ht="11.25" customHeight="1">
      <c r="A10" s="1" t="s">
        <v>0</v>
      </c>
      <c r="D10" s="2" t="s">
        <v>478</v>
      </c>
      <c r="E10" s="2" t="s">
        <v>484</v>
      </c>
      <c r="F1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|Ctrl|||G|ウィンドウ表示/移動 イミディエイト|</v>
      </c>
    </row>
    <row r="11" spans="1:6" ht="11.25" customHeight="1">
      <c r="A11" s="1" t="s">
        <v>0</v>
      </c>
      <c r="D11" s="2" t="s">
        <v>479</v>
      </c>
      <c r="E11" s="2" t="s">
        <v>485</v>
      </c>
      <c r="F1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|Ctrl|||R|ウィンドウ表示/移動 プロジェクトエクスプローラー|</v>
      </c>
    </row>
    <row r="12" spans="1:6" ht="11.25" customHeight="1">
      <c r="A12" s="1" t="s">
        <v>0</v>
      </c>
      <c r="D12" s="2" t="s">
        <v>300</v>
      </c>
      <c r="E12" s="2" t="s">
        <v>482</v>
      </c>
      <c r="F1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|Ctrl|||↑/↓|プロシージャ移動 前/次|</v>
      </c>
    </row>
    <row r="13" spans="1:6" ht="11.25" customHeight="1">
      <c r="A13" s="1" t="s">
        <v>77</v>
      </c>
      <c r="D13" s="2" t="s">
        <v>297</v>
      </c>
      <c r="E13" s="2" t="s">
        <v>476</v>
      </c>
      <c r="F1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|Ctrl|||Space|入力候補の表示|</v>
      </c>
    </row>
    <row r="14" spans="1:6" ht="11.25" customHeight="1">
      <c r="B14" s="1" t="s">
        <v>65</v>
      </c>
      <c r="D14" s="2" t="s">
        <v>154</v>
      </c>
      <c r="E14" s="7" t="s">
        <v>481</v>
      </c>
      <c r="F1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||/Shift||F2|タグジャンプ/バックタグジャンプ|</v>
      </c>
    </row>
    <row r="15" spans="1:6" ht="11.25" customHeight="1">
      <c r="A15" s="1" t="s">
        <v>0</v>
      </c>
      <c r="D15" s="2" t="s">
        <v>491</v>
      </c>
      <c r="E15" s="7" t="s">
        <v>492</v>
      </c>
      <c r="F1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>|Ctrl|||Break|マクロ強制終了|</v>
      </c>
    </row>
    <row r="16" spans="1:6" ht="11.25" customHeight="1">
      <c r="F1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17" spans="4:6" ht="11.25" customHeight="1">
      <c r="F1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18" spans="4:6" ht="11.25" customHeight="1">
      <c r="F1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19" spans="4:6" ht="11.25" customHeight="1">
      <c r="F1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0" spans="4:6" ht="11.25" customHeight="1">
      <c r="F2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1" spans="4:6" ht="11.25" customHeight="1">
      <c r="F2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2" spans="4:6" ht="11.25" customHeight="1">
      <c r="F2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3" spans="4:6" ht="11.25" customHeight="1">
      <c r="F2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4" spans="4:6" ht="11.25" customHeight="1">
      <c r="F2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5" spans="4:6" ht="11.25" customHeight="1">
      <c r="F2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6" spans="4:6" ht="11.25" customHeight="1">
      <c r="F2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7" spans="4:6" ht="11.25" customHeight="1">
      <c r="D27" s="9"/>
      <c r="F2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8" spans="4:6" ht="11.25" customHeight="1">
      <c r="F2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29" spans="4:6" ht="11.25" customHeight="1">
      <c r="F2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0" spans="4:6" ht="11.25" customHeight="1">
      <c r="F3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1" spans="4:6" ht="11.25" customHeight="1">
      <c r="E31" s="7"/>
      <c r="F3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2" spans="4:6" ht="11.25" customHeight="1">
      <c r="F3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3" spans="1:6" ht="11.25" customHeight="1">
      <c r="A33" s="8"/>
      <c r="F3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4" spans="1:6" ht="11.25" customHeight="1">
      <c r="E34" s="7"/>
      <c r="F3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5" spans="1:6" ht="11.25" customHeight="1">
      <c r="F3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6" spans="1:6" ht="11.25" customHeight="1">
      <c r="F3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7" spans="1:6" ht="11.25" customHeight="1">
      <c r="F3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8" spans="1:6" ht="11.25" customHeight="1">
      <c r="F3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39" spans="1:6" ht="11.25" customHeight="1">
      <c r="F3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0" spans="1:6" ht="11.25" customHeight="1">
      <c r="F4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1" spans="1:6" ht="11.25" customHeight="1">
      <c r="F4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2" spans="1:6" ht="11.25" customHeight="1">
      <c r="F4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3" spans="1:6" ht="11.25" customHeight="1">
      <c r="F4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4" spans="1:6" ht="11.25" customHeight="1">
      <c r="F4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5" spans="1:6" ht="11.25" customHeight="1">
      <c r="F4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6" spans="1:6" ht="11.25" customHeight="1">
      <c r="F4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7" spans="1:6" ht="11.25" customHeight="1">
      <c r="F4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8" spans="1:6" ht="11.25" customHeight="1">
      <c r="F4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49" spans="6:6" ht="11.25" customHeight="1">
      <c r="F4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0" spans="6:6" ht="11.25" customHeight="1">
      <c r="F5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1" spans="6:6" ht="11.25" customHeight="1">
      <c r="F5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2" spans="6:6" ht="11.25" customHeight="1">
      <c r="F5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3" spans="6:6" ht="11.25" customHeight="1">
      <c r="F5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4" spans="6:6" ht="11.25" customHeight="1">
      <c r="F5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5" spans="6:6" ht="11.25" customHeight="1">
      <c r="F5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6" spans="6:6" ht="11.25" customHeight="1">
      <c r="F5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7" spans="6:6" ht="11.25" customHeight="1">
      <c r="F5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8" spans="6:6" ht="11.25" customHeight="1">
      <c r="F5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59" spans="6:6" ht="11.25" customHeight="1">
      <c r="F5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0" spans="6:6" ht="11.25" customHeight="1">
      <c r="F6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1" spans="6:6" ht="11.25" customHeight="1">
      <c r="F6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2" spans="6:6" ht="11.25" customHeight="1">
      <c r="F6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3" spans="6:6" ht="11.25" customHeight="1">
      <c r="F6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4" spans="6:6" ht="11.25" customHeight="1">
      <c r="F6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5" spans="6:6" ht="11.25" customHeight="1">
      <c r="F6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6" spans="6:6" ht="11.25" customHeight="1">
      <c r="F6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7" spans="6:6" ht="11.25" customHeight="1">
      <c r="F6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8" spans="6:6" ht="11.25" customHeight="1">
      <c r="F6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69" spans="6:6" ht="11.25" customHeight="1">
      <c r="F6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0" spans="6:6" ht="11.25" customHeight="1">
      <c r="F7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1" spans="6:6" ht="11.25" customHeight="1">
      <c r="F7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2" spans="6:6" ht="11.25" customHeight="1">
      <c r="F7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3" spans="6:6" ht="11.25" customHeight="1">
      <c r="F7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4" spans="6:6" ht="11.25" customHeight="1">
      <c r="F7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5" spans="6:6" ht="11.25" customHeight="1">
      <c r="F7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6" spans="6:6" ht="11.25" customHeight="1">
      <c r="F7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7" spans="6:6" ht="11.25" customHeight="1">
      <c r="F7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8" spans="6:6" ht="11.25" customHeight="1">
      <c r="F7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79" spans="6:6" ht="11.25" customHeight="1">
      <c r="F7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0" spans="6:6" ht="11.25" customHeight="1">
      <c r="F8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1" spans="6:6" ht="11.25" customHeight="1">
      <c r="F8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2" spans="6:6" ht="11.25" customHeight="1">
      <c r="F8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3" spans="6:6" ht="11.25" customHeight="1">
      <c r="F8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4" spans="6:6" ht="11.25" customHeight="1">
      <c r="F8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5" spans="6:6" ht="11.25" customHeight="1">
      <c r="F8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6" spans="6:6" ht="11.25" customHeight="1">
      <c r="F8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7" spans="6:6" ht="11.25" customHeight="1">
      <c r="F8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8" spans="6:6" ht="11.25" customHeight="1">
      <c r="F8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89" spans="6:6" ht="11.25" customHeight="1">
      <c r="F8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0" spans="6:6" ht="11.25" customHeight="1">
      <c r="F90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1" spans="6:6" ht="11.25" customHeight="1">
      <c r="F91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2" spans="6:6" ht="11.25" customHeight="1">
      <c r="F92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3" spans="6:6" ht="11.25" customHeight="1">
      <c r="F93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4" spans="6:6" ht="11.25" customHeight="1">
      <c r="F94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5" spans="6:6" ht="11.25" customHeight="1">
      <c r="F95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6" spans="6:6" ht="11.25" customHeight="1">
      <c r="F96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7" spans="6:6" ht="11.25" customHeight="1">
      <c r="F97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8" spans="6:6" ht="11.25" customHeight="1">
      <c r="F98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  <row r="99" spans="6:6" ht="11.25" customHeight="1">
      <c r="F99" s="3" t="str">
        <f>IF(ISBLANK(テーブル17815[[#This Row],[機能]]),"","|"&amp;テーブル17815[[#This Row],[Ctrl]]&amp;"|"&amp;テーブル17815[[#This Row],[Shift]]&amp;"|"&amp;テーブル17815[[#This Row],[Alt]]&amp;"|"&amp;テーブル17815[[#This Row],[Key]]&amp;"|"&amp;テーブル17815[[#This Row],[機能]]&amp;"|")</f>
        <v/>
      </c>
    </row>
  </sheetData>
  <phoneticPr fontId="4"/>
  <dataValidations count="3">
    <dataValidation allowBlank="1" showInputMessage="1" sqref="B2:B99" xr:uid="{49557D20-BE52-4580-BA02-E7168CD79693}"/>
    <dataValidation type="list" allowBlank="1" showInputMessage="1" sqref="A2:A99" xr:uid="{FE226AA9-F96E-49BB-BAF8-B5EAE1D6A038}">
      <formula1>"Ctrl"</formula1>
    </dataValidation>
    <dataValidation type="list" allowBlank="1" showInputMessage="1" showErrorMessage="1" sqref="C3:C99" xr:uid="{954B0EC4-A8FE-4FD4-86C1-5D4961CD5FE6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33B2-7FA2-4740-86D0-2AD97053E21B}">
  <sheetPr codeName="Sheet4">
    <tabColor theme="8" tint="0.79998168889431442"/>
  </sheetPr>
  <dimension ref="A1:G80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7" width="18.875" style="3" bestFit="1" customWidth="1"/>
    <col min="8" max="16384" width="2" style="3"/>
  </cols>
  <sheetData>
    <row r="1" spans="1:7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  <c r="G1" s="3" t="s">
        <v>1188</v>
      </c>
    </row>
    <row r="2" spans="1:7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|:---|:---|:---|:---|:---|</v>
      </c>
      <c r="G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:---＋:---＋:---＋:---</v>
      </c>
    </row>
    <row r="3" spans="1:7" ht="11.25" customHeight="1">
      <c r="D3" s="2" t="s">
        <v>52</v>
      </c>
      <c r="E3" s="2" t="s">
        <v>305</v>
      </c>
      <c r="F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||||Tab|図形間でフォーカスを1つ移動|</v>
      </c>
      <c r="G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Tab</v>
      </c>
    </row>
    <row r="4" spans="1:7" ht="11.25" customHeight="1">
      <c r="D4" s="2" t="s">
        <v>238</v>
      </c>
      <c r="E4" s="2" t="s">
        <v>306</v>
      </c>
      <c r="F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||||F8|[図形の整列] ダイアログ|</v>
      </c>
      <c r="G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F8</v>
      </c>
    </row>
    <row r="5" spans="1:7" ht="11.25" customHeight="1">
      <c r="B5" s="1" t="s">
        <v>1</v>
      </c>
      <c r="D5" s="2" t="s">
        <v>307</v>
      </c>
      <c r="E5" s="2" t="s">
        <v>308</v>
      </c>
      <c r="F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||Shift||マウスホイール|左右スクロール|</v>
      </c>
      <c r="G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Shift＋マウスホイール</v>
      </c>
    </row>
    <row r="6" spans="1:7" ht="11.25" customHeight="1">
      <c r="A6" s="1" t="s">
        <v>0</v>
      </c>
      <c r="D6" s="2" t="s">
        <v>202</v>
      </c>
      <c r="E6" s="2" t="s">
        <v>309</v>
      </c>
      <c r="F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|Ctrl|||1|[オブジェクト選択ツール]|</v>
      </c>
      <c r="G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Ctrl＋1</v>
      </c>
    </row>
    <row r="7" spans="1:7" ht="11.25" customHeight="1">
      <c r="A7" s="1" t="s">
        <v>0</v>
      </c>
      <c r="D7" s="2" t="s">
        <v>203</v>
      </c>
      <c r="E7" s="2" t="s">
        <v>310</v>
      </c>
      <c r="F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|Ctrl|||2|[テキスト ツール]|</v>
      </c>
      <c r="G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Ctrl＋2</v>
      </c>
    </row>
    <row r="8" spans="1:7" ht="11.25" customHeight="1">
      <c r="A8" s="1" t="s">
        <v>0</v>
      </c>
      <c r="D8" s="6" t="s">
        <v>204</v>
      </c>
      <c r="E8" s="2" t="s">
        <v>311</v>
      </c>
      <c r="F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|Ctrl|||3|[コネクタ]|</v>
      </c>
      <c r="G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Ctrl＋3</v>
      </c>
    </row>
    <row r="9" spans="1:7" ht="11.25" customHeight="1">
      <c r="A9" s="1" t="s">
        <v>0</v>
      </c>
      <c r="D9" s="2" t="s">
        <v>324</v>
      </c>
      <c r="E9" s="2" t="s">
        <v>312</v>
      </c>
      <c r="F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|Ctrl|||6|[直線ツール]|</v>
      </c>
      <c r="G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Ctrl＋6</v>
      </c>
    </row>
    <row r="10" spans="1:7" ht="11.25" customHeight="1">
      <c r="A10" s="1" t="s">
        <v>0</v>
      </c>
      <c r="D10" s="2" t="s">
        <v>325</v>
      </c>
      <c r="E10" s="2" t="s">
        <v>313</v>
      </c>
      <c r="F1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|Ctrl|||7|[円弧ツール]|</v>
      </c>
      <c r="G1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Ctrl＋7</v>
      </c>
    </row>
    <row r="11" spans="1:7" ht="11.25" customHeight="1">
      <c r="A11" s="1" t="s">
        <v>0</v>
      </c>
      <c r="D11" s="2" t="s">
        <v>229</v>
      </c>
      <c r="E11" s="2" t="s">
        <v>314</v>
      </c>
      <c r="F11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|Ctrl|||8|[四角形ツール]|</v>
      </c>
      <c r="G11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Ctrl＋8</v>
      </c>
    </row>
    <row r="12" spans="1:7" ht="11.25" customHeight="1">
      <c r="A12" s="1" t="s">
        <v>0</v>
      </c>
      <c r="D12" s="2" t="s">
        <v>230</v>
      </c>
      <c r="E12" s="2" t="s">
        <v>315</v>
      </c>
      <c r="F1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|Ctrl|||9|[円/楕円ツール]|</v>
      </c>
      <c r="G1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Ctrl＋9</v>
      </c>
    </row>
    <row r="13" spans="1:7" ht="11.25" customHeight="1">
      <c r="A13" s="1" t="s">
        <v>0</v>
      </c>
      <c r="B13" s="1" t="s">
        <v>1</v>
      </c>
      <c r="D13" s="2" t="s">
        <v>202</v>
      </c>
      <c r="E13" s="2" t="s">
        <v>316</v>
      </c>
      <c r="F1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|Ctrl|Shift||1|[接続ポイント]|</v>
      </c>
      <c r="G1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Ctrl＋Shift＋1</v>
      </c>
    </row>
    <row r="14" spans="1:7" ht="11.25" customHeight="1">
      <c r="A14" s="1" t="s">
        <v>0</v>
      </c>
      <c r="B14" s="1" t="s">
        <v>1</v>
      </c>
      <c r="D14" s="2" t="s">
        <v>326</v>
      </c>
      <c r="E14" s="2" t="s">
        <v>317</v>
      </c>
      <c r="F1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|Ctrl|Shift||4|[テキスト ボックス ツール]|</v>
      </c>
      <c r="G1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Ctrl＋Shift＋4</v>
      </c>
    </row>
    <row r="15" spans="1:7" ht="11.25" customHeight="1">
      <c r="A15" s="1" t="s">
        <v>0</v>
      </c>
      <c r="B15" s="1" t="s">
        <v>1</v>
      </c>
      <c r="D15" s="2" t="s">
        <v>318</v>
      </c>
      <c r="E15" s="2" t="s">
        <v>319</v>
      </c>
      <c r="F1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|Ctrl|Shift||w|ページサイズ ウィンドウに合わせる|</v>
      </c>
      <c r="G1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Ctrl＋Shift＋w</v>
      </c>
    </row>
    <row r="16" spans="1:7" ht="11.25" customHeight="1">
      <c r="A16" s="1" t="s">
        <v>0</v>
      </c>
      <c r="B16" s="1" t="s">
        <v>1</v>
      </c>
      <c r="D16" s="2" t="s">
        <v>320</v>
      </c>
      <c r="E16" s="2" t="s">
        <v>321</v>
      </c>
      <c r="F1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|Ctrl|Shift||f7|開いている図面ウィンドウを左右に並べて表示|</v>
      </c>
      <c r="G1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Ctrl＋Shift＋f7</v>
      </c>
    </row>
    <row r="17" spans="1:7" ht="11.25" customHeight="1">
      <c r="A17" s="1" t="s">
        <v>0</v>
      </c>
      <c r="D17" s="2" t="s">
        <v>327</v>
      </c>
      <c r="E17" s="2" t="s">
        <v>328</v>
      </c>
      <c r="F1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|Ctrl|||h/j|オブジェクト 左右反転/上下反転|</v>
      </c>
      <c r="G1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Ctrl＋h/j</v>
      </c>
    </row>
    <row r="18" spans="1:7" ht="11.25" customHeight="1">
      <c r="A18" s="1" t="s">
        <v>0</v>
      </c>
      <c r="D18" s="2" t="s">
        <v>329</v>
      </c>
      <c r="E18" s="2" t="s">
        <v>339</v>
      </c>
      <c r="F1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|Ctrl|||l/r|オブジェクト 回転 反時計回り/時計回り|</v>
      </c>
      <c r="G1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Ctrl＋l/r</v>
      </c>
    </row>
    <row r="19" spans="1:7" ht="11.25" customHeight="1">
      <c r="A19" s="1" t="s">
        <v>0</v>
      </c>
      <c r="B19" s="1" t="s">
        <v>322</v>
      </c>
      <c r="D19" s="2" t="s">
        <v>337</v>
      </c>
      <c r="E19" s="2" t="s">
        <v>338</v>
      </c>
      <c r="F1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|Ctrl|(Shift)||g/u|オブジェクト グループ化/グループ化解除|</v>
      </c>
      <c r="G1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Ctrl＋(Shift)＋g/u</v>
      </c>
    </row>
    <row r="20" spans="1:7" ht="11.25" customHeight="1">
      <c r="A20" s="1" t="s">
        <v>0</v>
      </c>
      <c r="B20" s="1" t="s">
        <v>1</v>
      </c>
      <c r="D20" s="2" t="s">
        <v>76</v>
      </c>
      <c r="E20" s="2" t="s">
        <v>330</v>
      </c>
      <c r="F2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|Ctrl|Shift||f/b|オブジェクト 最前面/最背面に移動|</v>
      </c>
      <c r="G2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Ctrl＋Shift＋f/b</v>
      </c>
    </row>
    <row r="21" spans="1:7" ht="11.25" customHeight="1">
      <c r="A21" s="1" t="s">
        <v>0</v>
      </c>
      <c r="B21" s="1" t="s">
        <v>1</v>
      </c>
      <c r="D21" s="2" t="s">
        <v>331</v>
      </c>
      <c r="E21" s="2" t="s">
        <v>332</v>
      </c>
      <c r="F21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|Ctrl|Shift||&gt;/&lt;|テキスト フォント 拡大/縮小|</v>
      </c>
      <c r="G21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Ctrl＋Shift＋&gt;/&lt;</v>
      </c>
    </row>
    <row r="22" spans="1:7" ht="11.25" customHeight="1">
      <c r="A22" s="1" t="s">
        <v>0</v>
      </c>
      <c r="B22" s="1" t="s">
        <v>1</v>
      </c>
      <c r="D22" s="2" t="s">
        <v>15</v>
      </c>
      <c r="E22" s="2" t="s">
        <v>323</v>
      </c>
      <c r="F2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|Ctrl|Shift||p|テキスト 書式のコピー/貼り付け|</v>
      </c>
      <c r="G2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Ctrl＋Shift＋p</v>
      </c>
    </row>
    <row r="23" spans="1:7" ht="11.25" customHeight="1">
      <c r="A23" s="1" t="s">
        <v>0</v>
      </c>
      <c r="B23" s="1" t="s">
        <v>1</v>
      </c>
      <c r="D23" s="2" t="s">
        <v>334</v>
      </c>
      <c r="E23" s="2" t="s">
        <v>333</v>
      </c>
      <c r="F2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|Ctrl|Shift||l/r/c/j|テキスト 横 左揃え/右揃え/中央揃え/両端揃え|</v>
      </c>
      <c r="G2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Ctrl＋Shift＋l/r/c/j</v>
      </c>
    </row>
    <row r="24" spans="1:7" ht="11.25" customHeight="1">
      <c r="A24" s="1" t="s">
        <v>0</v>
      </c>
      <c r="B24" s="1" t="s">
        <v>1</v>
      </c>
      <c r="D24" s="2" t="s">
        <v>335</v>
      </c>
      <c r="E24" s="2" t="s">
        <v>336</v>
      </c>
      <c r="F2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|Ctrl|Shift||t/m/v|テキスト 縦 上揃え/中央揃え/下揃え|</v>
      </c>
      <c r="G2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Ctrl＋Shift＋t/m/v</v>
      </c>
    </row>
    <row r="25" spans="1:7" ht="11.25" customHeight="1">
      <c r="C25" s="1" t="s">
        <v>2</v>
      </c>
      <c r="D25" s="2" t="s">
        <v>402</v>
      </c>
      <c r="E25" s="2" t="s">
        <v>401</v>
      </c>
      <c r="F2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>|||Alt|f9|スナップと接着|</v>
      </c>
      <c r="G2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>Alt＋f9</v>
      </c>
    </row>
    <row r="26" spans="1:7" ht="11.25" customHeight="1">
      <c r="F2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2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27" spans="1:7" ht="11.25" customHeight="1">
      <c r="F2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2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28" spans="1:7" ht="11.25" customHeight="1">
      <c r="F2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2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29" spans="1:7" ht="11.25" customHeight="1">
      <c r="F2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2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0" spans="1:7" ht="11.25" customHeight="1">
      <c r="F3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1" spans="1:7" ht="11.25" customHeight="1">
      <c r="F31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1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2" spans="1:7" ht="11.25" customHeight="1">
      <c r="F3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3" spans="6:7" ht="11.25" customHeight="1">
      <c r="F3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4" spans="6:7" ht="11.25" customHeight="1">
      <c r="F3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5" spans="6:7" ht="11.25" customHeight="1">
      <c r="F3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6" spans="6:7" ht="11.25" customHeight="1">
      <c r="F3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7" spans="6:7" ht="11.25" customHeight="1">
      <c r="F3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8" spans="6:7" ht="11.25" customHeight="1">
      <c r="F3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39" spans="6:7" ht="11.25" customHeight="1">
      <c r="F3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3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0" spans="6:7" ht="11.25" customHeight="1">
      <c r="F4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1" spans="6:7" ht="11.25" customHeight="1">
      <c r="F41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1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2" spans="6:7" ht="11.25" customHeight="1">
      <c r="F4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3" spans="6:7" ht="11.25" customHeight="1">
      <c r="F4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4" spans="6:7" ht="11.25" customHeight="1">
      <c r="F4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5" spans="6:7" ht="11.25" customHeight="1">
      <c r="F4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6" spans="6:7" ht="11.25" customHeight="1">
      <c r="F4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7" spans="6:7" ht="11.25" customHeight="1">
      <c r="F4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8" spans="6:7" ht="11.25" customHeight="1">
      <c r="F4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49" spans="6:7" ht="11.25" customHeight="1">
      <c r="F4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4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0" spans="6:7" ht="11.25" customHeight="1">
      <c r="F5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1" spans="6:7" ht="11.25" customHeight="1">
      <c r="F51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1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2" spans="6:7" ht="11.25" customHeight="1">
      <c r="F5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3" spans="6:7" ht="11.25" customHeight="1">
      <c r="F5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4" spans="6:7" ht="11.25" customHeight="1">
      <c r="F5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5" spans="6:7" ht="11.25" customHeight="1">
      <c r="F5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6" spans="6:7" ht="11.25" customHeight="1">
      <c r="F5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7" spans="6:7" ht="11.25" customHeight="1">
      <c r="F5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8" spans="6:7" ht="11.25" customHeight="1">
      <c r="F5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59" spans="6:7" ht="11.25" customHeight="1">
      <c r="F5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5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0" spans="6:7" ht="11.25" customHeight="1">
      <c r="F6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1" spans="6:7" ht="11.25" customHeight="1">
      <c r="F61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1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2" spans="6:7" ht="11.25" customHeight="1">
      <c r="F6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3" spans="6:7" ht="11.25" customHeight="1">
      <c r="F6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4" spans="6:7" ht="11.25" customHeight="1">
      <c r="F6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5" spans="6:7" ht="11.25" customHeight="1">
      <c r="F6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6" spans="6:7" ht="11.25" customHeight="1">
      <c r="F6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7" spans="6:7" ht="11.25" customHeight="1">
      <c r="F6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8" spans="6:7" ht="11.25" customHeight="1">
      <c r="F6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69" spans="6:7" ht="11.25" customHeight="1">
      <c r="F6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6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0" spans="6:7" ht="11.25" customHeight="1">
      <c r="F7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1" spans="6:7" ht="11.25" customHeight="1">
      <c r="F71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1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2" spans="6:7" ht="11.25" customHeight="1">
      <c r="F72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2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3" spans="6:7" ht="11.25" customHeight="1">
      <c r="F73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3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4" spans="6:7" ht="11.25" customHeight="1">
      <c r="F74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4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5" spans="6:7" ht="11.25" customHeight="1">
      <c r="F75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5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6" spans="6:7" ht="11.25" customHeight="1">
      <c r="F76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6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7" spans="6:7" ht="11.25" customHeight="1">
      <c r="F77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7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8" spans="6:7" ht="11.25" customHeight="1">
      <c r="F78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8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79" spans="6:7" ht="11.25" customHeight="1">
      <c r="F79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79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  <row r="80" spans="6:7" ht="11.25" customHeight="1">
      <c r="F80" s="3" t="str">
        <f>IF(ISBLANK(テーブル1312[[#This Row],[機能]]),"","|"&amp;テーブル1312[[#This Row],[Ctrl]]&amp;"|"&amp;テーブル1312[[#This Row],[Shift]]&amp;"|"&amp;テーブル1312[[#This Row],[Alt]]&amp;"|"&amp;テーブル1312[[#This Row],[Key]]&amp;"|"&amp;テーブル1312[[#This Row],[機能]]&amp;"|")</f>
        <v/>
      </c>
      <c r="G80" s="47" t="str">
        <f>IF(テーブル1312[[#This Row],[Ctrl]]="","",テーブル1312[[#This Row],[Ctrl]]&amp;"＋")&amp;
IF(テーブル1312[[#This Row],[Shift]]="","",テーブル1312[[#This Row],[Shift]]&amp;"＋")&amp;
IF(テーブル1312[[#This Row],[Alt]]="","",テーブル1312[[#This Row],[Alt]]&amp;"＋")&amp;テーブル1312[[#This Row],[Key]]</f>
        <v/>
      </c>
    </row>
  </sheetData>
  <phoneticPr fontId="4"/>
  <dataValidations count="3">
    <dataValidation type="list" allowBlank="1" showInputMessage="1" showErrorMessage="1" sqref="C3:C80" xr:uid="{B0834657-2E29-4A19-AE1C-B10FFB76245B}">
      <formula1>"Alt"</formula1>
    </dataValidation>
    <dataValidation type="list" allowBlank="1" showInputMessage="1" sqref="B3:B80" xr:uid="{E9A93F75-2B9B-42D2-8A59-8732AB5D8F80}">
      <formula1>"Shift"</formula1>
    </dataValidation>
    <dataValidation type="list" allowBlank="1" showInputMessage="1" sqref="A3:A80" xr:uid="{C2F148BE-7B4D-461A-93ED-FD44E03BAC03}">
      <formula1>"Ctrl"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1D50-28F6-403B-8295-1028362E0434}">
  <sheetPr codeName="Sheet5">
    <tabColor theme="8" tint="0.79998168889431442"/>
  </sheetPr>
  <dimension ref="A1:F40"/>
  <sheetViews>
    <sheetView workbookViewId="0">
      <selection activeCell="F161" sqref="F161"/>
    </sheetView>
  </sheetViews>
  <sheetFormatPr defaultColWidth="2" defaultRowHeight="11.25" customHeight="1"/>
  <cols>
    <col min="1" max="1" width="9" style="1" bestFit="1" customWidth="1"/>
    <col min="2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5" t="s">
        <v>4</v>
      </c>
      <c r="D2" s="5" t="s">
        <v>4</v>
      </c>
      <c r="E2" s="5" t="s">
        <v>4</v>
      </c>
      <c r="F2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|:---|:---|:---|:---|:---|</v>
      </c>
    </row>
    <row r="3" spans="1:6" ht="11.25" customHeight="1">
      <c r="D3" s="2" t="s">
        <v>150</v>
      </c>
      <c r="E3" s="2" t="s">
        <v>233</v>
      </c>
      <c r="F3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||||F4|直前の操作の繰り返し|</v>
      </c>
    </row>
    <row r="4" spans="1:6" ht="11.25" customHeight="1">
      <c r="B4" s="1" t="s">
        <v>493</v>
      </c>
      <c r="D4" s="2" t="s">
        <v>53</v>
      </c>
      <c r="E4" s="2" t="s">
        <v>539</v>
      </c>
      <c r="F4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||/Shift||F6|ウィンドウ切り替え 前/次|</v>
      </c>
    </row>
    <row r="5" spans="1:6" ht="11.25" customHeight="1">
      <c r="D5" s="2" t="s">
        <v>224</v>
      </c>
      <c r="E5" s="2" t="s">
        <v>234</v>
      </c>
      <c r="F5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||||F7|［スペルチェックと文章校正］の実行|</v>
      </c>
    </row>
    <row r="6" spans="1:6" ht="11.25" customHeight="1">
      <c r="A6" s="1" t="s">
        <v>0</v>
      </c>
      <c r="D6" s="2" t="s">
        <v>527</v>
      </c>
      <c r="E6" s="2" t="s">
        <v>526</v>
      </c>
      <c r="F6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|Ctrl|||:/^|文字入力 ウムラウト/曲折アクセント付き文字|</v>
      </c>
    </row>
    <row r="7" spans="1:6" ht="11.25" customHeight="1">
      <c r="A7" s="1" t="s">
        <v>0</v>
      </c>
      <c r="D7" s="2" t="s">
        <v>516</v>
      </c>
      <c r="E7" s="2" t="s">
        <v>508</v>
      </c>
      <c r="F7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|Ctrl|||j/l/e/r|［両端揃え/左揃え/中央揃え/右揃え］の設定|</v>
      </c>
    </row>
    <row r="8" spans="1:6" ht="11.25" customHeight="1">
      <c r="A8" s="1" t="s">
        <v>0</v>
      </c>
      <c r="D8" s="2" t="s">
        <v>525</v>
      </c>
      <c r="E8" s="2" t="s">
        <v>524</v>
      </c>
      <c r="F8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|Ctrl|||d/g/k|ダイアログ表示［フォント/ジャンプ/ハイパーリンクの挿入］|</v>
      </c>
    </row>
    <row r="9" spans="1:6" ht="11.25" customHeight="1">
      <c r="A9" s="1" t="s">
        <v>0</v>
      </c>
      <c r="D9" s="2" t="s">
        <v>531</v>
      </c>
      <c r="E9" s="2" t="s">
        <v>530</v>
      </c>
      <c r="F9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|Ctrl|||q/Space|書式の解除 段落/フォント|</v>
      </c>
    </row>
    <row r="10" spans="1:6" ht="11.25" customHeight="1">
      <c r="A10" s="1" t="s">
        <v>0</v>
      </c>
      <c r="D10" s="2" t="s">
        <v>143</v>
      </c>
      <c r="E10" s="2" t="s">
        <v>237</v>
      </c>
      <c r="F10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|Ctrl|||Enter|［改ページ］の挿入|</v>
      </c>
    </row>
    <row r="11" spans="1:6" ht="11.25" customHeight="1">
      <c r="A11" s="1" t="s">
        <v>0</v>
      </c>
      <c r="D11" s="2" t="s">
        <v>497</v>
      </c>
      <c r="E11" s="2" t="s">
        <v>528</v>
      </c>
      <c r="F11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|Ctrl|||Home/End|ジャンプ to 文頭/文末|</v>
      </c>
    </row>
    <row r="12" spans="1:6" ht="11.25" customHeight="1">
      <c r="A12" s="1" t="s">
        <v>0</v>
      </c>
      <c r="D12" s="2" t="s">
        <v>253</v>
      </c>
      <c r="E12" s="2" t="s">
        <v>529</v>
      </c>
      <c r="F12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|Ctrl|||PgDn/Up|ジャンプ to 次/前ページ先頭|</v>
      </c>
    </row>
    <row r="13" spans="1:6" ht="11.25" customHeight="1">
      <c r="A13" s="1" t="s">
        <v>0</v>
      </c>
      <c r="B13" s="1" t="s">
        <v>493</v>
      </c>
      <c r="D13" s="2" t="s">
        <v>221</v>
      </c>
      <c r="E13" s="2" t="s">
        <v>532</v>
      </c>
      <c r="F13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|Ctrl|/Shift||F11|フィールドロック 設定/解除|</v>
      </c>
    </row>
    <row r="14" spans="1:6" ht="11.25" customHeight="1">
      <c r="B14" s="1" t="s">
        <v>1</v>
      </c>
      <c r="D14" s="2" t="s">
        <v>143</v>
      </c>
      <c r="E14" s="2" t="s">
        <v>239</v>
      </c>
      <c r="F14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||Shift||Enter|段落内で改行|</v>
      </c>
    </row>
    <row r="15" spans="1:6" ht="11.25" customHeight="1">
      <c r="B15" s="1" t="s">
        <v>1</v>
      </c>
      <c r="D15" s="2" t="s">
        <v>150</v>
      </c>
      <c r="E15" s="2" t="s">
        <v>240</v>
      </c>
      <c r="F15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||Shift||F4|次を検索|</v>
      </c>
    </row>
    <row r="16" spans="1:6" ht="11.25" customHeight="1">
      <c r="B16" s="1" t="s">
        <v>1</v>
      </c>
      <c r="D16" s="2" t="s">
        <v>159</v>
      </c>
      <c r="E16" s="2" t="s">
        <v>533</v>
      </c>
      <c r="F16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||Shift||F5|ジャンプ to 直前の編集箇所|</v>
      </c>
    </row>
    <row r="17" spans="1:6" ht="11.25" customHeight="1">
      <c r="B17" s="1" t="s">
        <v>493</v>
      </c>
      <c r="D17" s="2" t="s">
        <v>221</v>
      </c>
      <c r="E17" s="2" t="s">
        <v>534</v>
      </c>
      <c r="F17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||/Shift||F11|ジャンプ to 次/前フィールド|</v>
      </c>
    </row>
    <row r="18" spans="1:6" ht="11.25" customHeight="1">
      <c r="C18" s="1" t="s">
        <v>535</v>
      </c>
      <c r="D18" s="2" t="s">
        <v>156</v>
      </c>
      <c r="E18" s="2" t="s">
        <v>536</v>
      </c>
      <c r="F18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|||/Alt|F3|定型句 挿入/登録|</v>
      </c>
    </row>
    <row r="19" spans="1:6" ht="11.25" customHeight="1">
      <c r="C19" s="1" t="s">
        <v>502</v>
      </c>
      <c r="D19" s="2" t="s">
        <v>537</v>
      </c>
      <c r="E19" s="17" t="s">
        <v>538</v>
      </c>
      <c r="F19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|||/Alt|S → R → F|相互参照の挿入|</v>
      </c>
    </row>
    <row r="20" spans="1:6" ht="11.25" customHeight="1">
      <c r="A20" s="1" t="s">
        <v>0</v>
      </c>
      <c r="B20" s="1" t="s">
        <v>1</v>
      </c>
      <c r="D20" s="2" t="s">
        <v>143</v>
      </c>
      <c r="E20" s="2" t="s">
        <v>506</v>
      </c>
      <c r="F20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|Ctrl|Shift||Enter|［段区切り］の挿入|</v>
      </c>
    </row>
    <row r="21" spans="1:6" ht="11.25" customHeight="1">
      <c r="A21" s="1" t="s">
        <v>0</v>
      </c>
      <c r="B21" s="1" t="s">
        <v>1</v>
      </c>
      <c r="D21" s="2" t="s">
        <v>21</v>
      </c>
      <c r="E21" s="2" t="s">
        <v>249</v>
      </c>
      <c r="F21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|Ctrl|Shift||e|［変更履歴の記録］の開始|</v>
      </c>
    </row>
    <row r="22" spans="1:6" ht="11.25" customHeight="1">
      <c r="A22" s="1" t="s">
        <v>0</v>
      </c>
      <c r="B22" s="1" t="s">
        <v>1</v>
      </c>
      <c r="D22" s="2" t="s">
        <v>510</v>
      </c>
      <c r="E22" s="2" t="s">
        <v>495</v>
      </c>
      <c r="F22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|Ctrl|Shift||g|ダイアログ表示［文字数カウント］|</v>
      </c>
    </row>
    <row r="23" spans="1:6" ht="11.25" customHeight="1">
      <c r="A23" s="1" t="s">
        <v>0</v>
      </c>
      <c r="B23" s="1" t="s">
        <v>1</v>
      </c>
      <c r="D23" s="2" t="s">
        <v>511</v>
      </c>
      <c r="E23" s="2" t="s">
        <v>250</v>
      </c>
      <c r="F23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|Ctrl|Shift||l|［箇条書き］の設定|</v>
      </c>
    </row>
    <row r="24" spans="1:6" ht="11.25" customHeight="1">
      <c r="A24" s="1" t="s">
        <v>0</v>
      </c>
      <c r="B24" s="1" t="s">
        <v>1</v>
      </c>
      <c r="D24" s="2" t="s">
        <v>512</v>
      </c>
      <c r="E24" s="2" t="s">
        <v>251</v>
      </c>
      <c r="F24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|Ctrl|Shift||n|［標準］スタイルを設定|</v>
      </c>
    </row>
    <row r="25" spans="1:6" ht="11.25" customHeight="1">
      <c r="A25" s="1" t="s">
        <v>0</v>
      </c>
      <c r="B25" s="1" t="s">
        <v>1</v>
      </c>
      <c r="D25" s="2" t="s">
        <v>252</v>
      </c>
      <c r="E25" s="2" t="s">
        <v>500</v>
      </c>
      <c r="F25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|Ctrl|Shift||&lt;/&gt;|フォントサイズ 縮小/拡大|</v>
      </c>
    </row>
    <row r="26" spans="1:6" ht="11.25" customHeight="1">
      <c r="A26" s="1" t="s">
        <v>0</v>
      </c>
      <c r="B26" s="1" t="s">
        <v>1</v>
      </c>
      <c r="D26" s="2" t="s">
        <v>254</v>
      </c>
      <c r="E26" s="2" t="s">
        <v>517</v>
      </c>
      <c r="F26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|Ctrl|Shift||;/=|［上付き/下付き］の設定・解除|</v>
      </c>
    </row>
    <row r="27" spans="1:6" ht="11.25" customHeight="1">
      <c r="A27" s="1" t="s">
        <v>0</v>
      </c>
      <c r="B27" s="1" t="s">
        <v>1</v>
      </c>
      <c r="D27" s="2" t="s">
        <v>245</v>
      </c>
      <c r="E27" s="2" t="s">
        <v>518</v>
      </c>
      <c r="F27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|Ctrl|Shift||'|文字入力 アクセント付き文字/低アクセント付き文字/チルダ付き文字|</v>
      </c>
    </row>
    <row r="28" spans="1:6" ht="11.25" customHeight="1">
      <c r="A28" s="1" t="s">
        <v>0</v>
      </c>
      <c r="B28" s="1" t="s">
        <v>1</v>
      </c>
      <c r="D28" s="2" t="s">
        <v>159</v>
      </c>
      <c r="E28" s="2" t="s">
        <v>496</v>
      </c>
      <c r="F28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|Ctrl|Shift||F5|ダイアログ表示［ブックマーク］|</v>
      </c>
    </row>
    <row r="29" spans="1:6" ht="11.25" customHeight="1">
      <c r="A29" s="1" t="s">
        <v>505</v>
      </c>
      <c r="B29" s="1" t="s">
        <v>504</v>
      </c>
      <c r="D29" s="2" t="s">
        <v>235</v>
      </c>
      <c r="E29" s="2" t="s">
        <v>503</v>
      </c>
      <c r="F29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|/Ctrl/Ctrl|//Shift||F9|フィールド更新/フィールド挿入/フィールド変換(to直値)|</v>
      </c>
    </row>
    <row r="30" spans="1:6" ht="11.25" customHeight="1">
      <c r="B30" s="1" t="s">
        <v>1</v>
      </c>
      <c r="C30" s="1" t="s">
        <v>2</v>
      </c>
      <c r="D30" s="2" t="s">
        <v>522</v>
      </c>
      <c r="E30" s="2" t="s">
        <v>521</v>
      </c>
      <c r="F30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||Shift|Alt|d/t/p|フィールド入力 現在日付/現在時刻/現在ページ|</v>
      </c>
    </row>
    <row r="31" spans="1:6" ht="11.25" customHeight="1">
      <c r="B31" s="1" t="s">
        <v>1</v>
      </c>
      <c r="C31" s="1" t="s">
        <v>2</v>
      </c>
      <c r="D31" s="2" t="s">
        <v>494</v>
      </c>
      <c r="E31" s="2" t="s">
        <v>523</v>
      </c>
      <c r="F31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||Shift|Alt|→/←|レベル変更 下/上|</v>
      </c>
    </row>
    <row r="32" spans="1:6" ht="11.25" customHeight="1">
      <c r="B32" s="1" t="s">
        <v>501</v>
      </c>
      <c r="C32" s="1" t="s">
        <v>502</v>
      </c>
      <c r="D32" s="2" t="s">
        <v>235</v>
      </c>
      <c r="E32" s="2" t="s">
        <v>507</v>
      </c>
      <c r="F32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||Shift/|/Alt|F9|フィールド表示切替＠選択範囲/全範囲|</v>
      </c>
    </row>
    <row r="33" spans="1:6" ht="11.25" customHeight="1">
      <c r="A33" s="1" t="s">
        <v>0</v>
      </c>
      <c r="C33" s="1" t="s">
        <v>2</v>
      </c>
      <c r="D33" s="2" t="s">
        <v>498</v>
      </c>
      <c r="E33" s="2" t="s">
        <v>499</v>
      </c>
      <c r="F33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|Ctrl||Alt|1/2/3|［見出し1/2/3］スタイルを設定|</v>
      </c>
    </row>
    <row r="34" spans="1:6" ht="11.25" customHeight="1">
      <c r="A34" s="1" t="s">
        <v>0</v>
      </c>
      <c r="C34" s="1" t="s">
        <v>2</v>
      </c>
      <c r="D34" s="2" t="s">
        <v>513</v>
      </c>
      <c r="E34" s="2" t="s">
        <v>509</v>
      </c>
      <c r="F34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|Ctrl||Alt|c/r/t|特殊記号の入力(著作権&amp;copy;/登録商標&amp;reg;/商品商標&amp;trade;)|</v>
      </c>
    </row>
    <row r="35" spans="1:6" ht="11.25" customHeight="1">
      <c r="A35" s="1" t="s">
        <v>0</v>
      </c>
      <c r="C35" s="1" t="s">
        <v>2</v>
      </c>
      <c r="D35" s="2" t="s">
        <v>514</v>
      </c>
      <c r="E35" s="2" t="s">
        <v>241</v>
      </c>
      <c r="F35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|Ctrl||Alt|f|脚注の挿入|</v>
      </c>
    </row>
    <row r="36" spans="1:6" ht="11.25" customHeight="1">
      <c r="A36" s="1" t="s">
        <v>0</v>
      </c>
      <c r="C36" s="1" t="s">
        <v>2</v>
      </c>
      <c r="D36" s="2" t="s">
        <v>56</v>
      </c>
      <c r="E36" s="2" t="s">
        <v>242</v>
      </c>
      <c r="F36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|Ctrl||Alt|m|新しいコメントの挿入|</v>
      </c>
    </row>
    <row r="37" spans="1:6" ht="11.25" customHeight="1">
      <c r="A37" s="1" t="s">
        <v>0</v>
      </c>
      <c r="C37" s="1" t="s">
        <v>2</v>
      </c>
      <c r="D37" s="2" t="s">
        <v>520</v>
      </c>
      <c r="E37" s="2" t="s">
        <v>519</v>
      </c>
      <c r="F37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|Ctrl||Alt|n/o/p|表示切り替え［下書き表示/アウトライン表示/印刷レイアウト表示］|</v>
      </c>
    </row>
    <row r="38" spans="1:6" ht="11.25" customHeight="1">
      <c r="A38" s="1" t="s">
        <v>0</v>
      </c>
      <c r="C38" s="1" t="s">
        <v>2</v>
      </c>
      <c r="D38" s="2" t="s">
        <v>58</v>
      </c>
      <c r="E38" s="2" t="s">
        <v>243</v>
      </c>
      <c r="F38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|Ctrl||Alt|s|ウィンドウの分割|</v>
      </c>
    </row>
    <row r="39" spans="1:6" ht="11.25" customHeight="1">
      <c r="A39" s="1" t="s">
        <v>0</v>
      </c>
      <c r="C39" s="1" t="s">
        <v>2</v>
      </c>
      <c r="D39" s="2" t="s">
        <v>515</v>
      </c>
      <c r="E39" s="2" t="s">
        <v>244</v>
      </c>
      <c r="F39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>|Ctrl||Alt|u|罫線の削除|</v>
      </c>
    </row>
    <row r="40" spans="1:6" ht="11.25" customHeight="1">
      <c r="F40" s="3" t="str">
        <f>IF(ISBLANK(テーブル17810[[#This Row],[機能]]),"","|"&amp;テーブル17810[[#This Row],[Ctrl]]&amp;"|"&amp;テーブル17810[[#This Row],[Shift]]&amp;"|"&amp;テーブル17810[[#This Row],[Alt]]&amp;"|"&amp;テーブル17810[[#This Row],[Key]]&amp;"|"&amp;テーブル17810[[#This Row],[機能]]&amp;"|")</f>
        <v/>
      </c>
    </row>
  </sheetData>
  <phoneticPr fontId="4"/>
  <dataValidations count="3">
    <dataValidation type="list" allowBlank="1" sqref="A13:A40 A3:A12" xr:uid="{3DC5BD26-73D1-4741-B208-CBBC878D6540}">
      <formula1>"Ctrl"</formula1>
    </dataValidation>
    <dataValidation type="list" allowBlank="1" showInputMessage="1" sqref="B13:B40 B3:B12" xr:uid="{577A78F3-A76B-484D-976B-1A547402AB61}">
      <formula1>"Shift"</formula1>
    </dataValidation>
    <dataValidation type="list" allowBlank="1" showInputMessage="1" sqref="C13:C40 C3:C12" xr:uid="{568F5846-DE2F-4265-BCD5-D50710BE4F7A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B5F8-4007-484B-9529-20F8AFF30FB1}">
  <sheetPr codeName="Sheet12">
    <tabColor theme="8" tint="0.79998168889431442"/>
  </sheetPr>
  <dimension ref="A1:I104"/>
  <sheetViews>
    <sheetView workbookViewId="0">
      <pane xSplit="1" ySplit="1" topLeftCell="B31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9" ht="24">
      <c r="A1" s="20" t="s">
        <v>540</v>
      </c>
      <c r="B1" s="25" t="s">
        <v>670</v>
      </c>
      <c r="C1" s="25" t="s">
        <v>542</v>
      </c>
      <c r="D1" s="25" t="s">
        <v>541</v>
      </c>
      <c r="E1" s="25" t="s">
        <v>543</v>
      </c>
      <c r="F1" s="25" t="s">
        <v>544</v>
      </c>
      <c r="G1" s="25" t="s">
        <v>545</v>
      </c>
      <c r="H1" s="25" t="s">
        <v>546</v>
      </c>
      <c r="I1" s="26" t="s">
        <v>861</v>
      </c>
    </row>
    <row r="2" spans="1:9" s="14" customFormat="1" ht="12">
      <c r="A2" s="21" t="s">
        <v>215</v>
      </c>
      <c r="B2" s="12" t="s">
        <v>753</v>
      </c>
      <c r="C2" s="12" t="s">
        <v>804</v>
      </c>
      <c r="D2" s="12" t="s">
        <v>758</v>
      </c>
      <c r="E2" s="12" t="s">
        <v>799</v>
      </c>
      <c r="F2" s="12" t="s">
        <v>266</v>
      </c>
      <c r="G2" s="12" t="s">
        <v>815</v>
      </c>
      <c r="H2" s="12" t="s">
        <v>719</v>
      </c>
      <c r="I2" s="19" t="s">
        <v>266</v>
      </c>
    </row>
    <row r="3" spans="1:9" s="14" customFormat="1" ht="12">
      <c r="A3" s="21" t="s">
        <v>154</v>
      </c>
      <c r="B3" s="12" t="s">
        <v>762</v>
      </c>
      <c r="C3" s="12" t="s">
        <v>838</v>
      </c>
      <c r="D3" s="12" t="s">
        <v>764</v>
      </c>
      <c r="E3" s="12" t="s">
        <v>266</v>
      </c>
      <c r="F3" s="12" t="s">
        <v>266</v>
      </c>
      <c r="G3" s="12" t="s">
        <v>850</v>
      </c>
      <c r="H3" s="12" t="s">
        <v>773</v>
      </c>
      <c r="I3" s="19" t="s">
        <v>266</v>
      </c>
    </row>
    <row r="4" spans="1:9" s="14" customFormat="1" ht="12">
      <c r="A4" s="21" t="s">
        <v>156</v>
      </c>
      <c r="B4" s="12" t="s">
        <v>841</v>
      </c>
      <c r="C4" s="12" t="s">
        <v>837</v>
      </c>
      <c r="D4" s="12" t="s">
        <v>726</v>
      </c>
      <c r="E4" s="12" t="s">
        <v>826</v>
      </c>
      <c r="F4" s="12" t="s">
        <v>725</v>
      </c>
      <c r="G4" s="12" t="s">
        <v>266</v>
      </c>
      <c r="H4" s="12" t="s">
        <v>266</v>
      </c>
      <c r="I4" s="19" t="s">
        <v>266</v>
      </c>
    </row>
    <row r="5" spans="1:9" s="14" customFormat="1" ht="12">
      <c r="A5" s="21" t="s">
        <v>150</v>
      </c>
      <c r="B5" s="12" t="s">
        <v>756</v>
      </c>
      <c r="C5" s="12" t="s">
        <v>778</v>
      </c>
      <c r="D5" s="12" t="s">
        <v>843</v>
      </c>
      <c r="E5" s="12" t="s">
        <v>848</v>
      </c>
      <c r="F5" s="12" t="s">
        <v>266</v>
      </c>
      <c r="G5" s="12" t="s">
        <v>266</v>
      </c>
      <c r="H5" s="12" t="s">
        <v>266</v>
      </c>
      <c r="I5" s="19" t="s">
        <v>266</v>
      </c>
    </row>
    <row r="6" spans="1:9" s="14" customFormat="1" ht="12">
      <c r="A6" s="21" t="s">
        <v>159</v>
      </c>
      <c r="B6" s="12" t="s">
        <v>720</v>
      </c>
      <c r="C6" s="12" t="s">
        <v>279</v>
      </c>
      <c r="D6" s="12" t="s">
        <v>781</v>
      </c>
      <c r="E6" s="12" t="s">
        <v>782</v>
      </c>
      <c r="F6" s="12" t="s">
        <v>747</v>
      </c>
      <c r="G6" s="12" t="s">
        <v>266</v>
      </c>
      <c r="H6" s="12" t="s">
        <v>266</v>
      </c>
      <c r="I6" s="19" t="s">
        <v>266</v>
      </c>
    </row>
    <row r="7" spans="1:9" s="14" customFormat="1" ht="12">
      <c r="A7" s="21" t="s">
        <v>53</v>
      </c>
      <c r="B7" s="12" t="s">
        <v>800</v>
      </c>
      <c r="C7" s="12" t="s">
        <v>816</v>
      </c>
      <c r="D7" s="12" t="s">
        <v>796</v>
      </c>
      <c r="E7" s="12" t="s">
        <v>796</v>
      </c>
      <c r="F7" s="12" t="s">
        <v>813</v>
      </c>
      <c r="G7" s="12" t="s">
        <v>813</v>
      </c>
      <c r="H7" s="12" t="s">
        <v>266</v>
      </c>
      <c r="I7" s="19" t="s">
        <v>266</v>
      </c>
    </row>
    <row r="8" spans="1:9" s="14" customFormat="1" ht="12">
      <c r="A8" s="21" t="s">
        <v>224</v>
      </c>
      <c r="B8" s="12" t="s">
        <v>860</v>
      </c>
      <c r="C8" s="12" t="s">
        <v>853</v>
      </c>
      <c r="D8" s="12" t="s">
        <v>266</v>
      </c>
      <c r="E8" s="12" t="s">
        <v>798</v>
      </c>
      <c r="F8" s="12" t="s">
        <v>759</v>
      </c>
      <c r="G8" s="12" t="s">
        <v>851</v>
      </c>
      <c r="H8" s="12" t="s">
        <v>736</v>
      </c>
      <c r="I8" s="19" t="s">
        <v>266</v>
      </c>
    </row>
    <row r="9" spans="1:9" s="14" customFormat="1" ht="12">
      <c r="A9" s="21" t="s">
        <v>238</v>
      </c>
      <c r="B9" s="12" t="s">
        <v>811</v>
      </c>
      <c r="C9" s="12" t="s">
        <v>802</v>
      </c>
      <c r="D9" s="12" t="s">
        <v>717</v>
      </c>
      <c r="E9" s="12" t="s">
        <v>754</v>
      </c>
      <c r="F9" s="12" t="s">
        <v>750</v>
      </c>
      <c r="G9" s="12" t="s">
        <v>266</v>
      </c>
      <c r="H9" s="12" t="s">
        <v>266</v>
      </c>
      <c r="I9" s="19" t="s">
        <v>266</v>
      </c>
    </row>
    <row r="10" spans="1:9" s="14" customFormat="1" ht="12">
      <c r="A10" s="21" t="s">
        <v>235</v>
      </c>
      <c r="B10" s="12" t="s">
        <v>740</v>
      </c>
      <c r="C10" s="12" t="s">
        <v>742</v>
      </c>
      <c r="D10" s="12" t="s">
        <v>741</v>
      </c>
      <c r="E10" s="12" t="s">
        <v>727</v>
      </c>
      <c r="F10" s="12" t="s">
        <v>738</v>
      </c>
      <c r="G10" s="12" t="s">
        <v>755</v>
      </c>
      <c r="H10" s="12" t="s">
        <v>266</v>
      </c>
      <c r="I10" s="19" t="s">
        <v>266</v>
      </c>
    </row>
    <row r="11" spans="1:9" s="14" customFormat="1" ht="12">
      <c r="A11" s="21" t="s">
        <v>141</v>
      </c>
      <c r="B11" s="12" t="s">
        <v>266</v>
      </c>
      <c r="C11" s="12" t="s">
        <v>266</v>
      </c>
      <c r="D11" s="12" t="s">
        <v>793</v>
      </c>
      <c r="E11" s="12" t="s">
        <v>266</v>
      </c>
      <c r="F11" s="12" t="s">
        <v>266</v>
      </c>
      <c r="G11" s="12" t="s">
        <v>266</v>
      </c>
      <c r="H11" s="12" t="s">
        <v>266</v>
      </c>
      <c r="I11" s="19" t="s">
        <v>266</v>
      </c>
    </row>
    <row r="12" spans="1:9" s="14" customFormat="1" ht="12">
      <c r="A12" s="21" t="s">
        <v>221</v>
      </c>
      <c r="B12" s="12" t="s">
        <v>799</v>
      </c>
      <c r="C12" s="12" t="s">
        <v>815</v>
      </c>
      <c r="D12" s="12" t="s">
        <v>739</v>
      </c>
      <c r="E12" s="12" t="s">
        <v>700</v>
      </c>
      <c r="F12" s="12" t="s">
        <v>737</v>
      </c>
      <c r="G12" s="12" t="s">
        <v>266</v>
      </c>
      <c r="H12" s="12" t="s">
        <v>266</v>
      </c>
      <c r="I12" s="19" t="s">
        <v>266</v>
      </c>
    </row>
    <row r="13" spans="1:9" s="14" customFormat="1" ht="12">
      <c r="A13" s="21" t="s">
        <v>225</v>
      </c>
      <c r="B13" s="12" t="s">
        <v>226</v>
      </c>
      <c r="C13" s="12" t="s">
        <v>850</v>
      </c>
      <c r="D13" s="12" t="s">
        <v>773</v>
      </c>
      <c r="E13" s="12" t="s">
        <v>715</v>
      </c>
      <c r="F13" s="12" t="s">
        <v>764</v>
      </c>
      <c r="G13" s="12" t="s">
        <v>266</v>
      </c>
      <c r="H13" s="12" t="s">
        <v>266</v>
      </c>
      <c r="I13" s="19" t="s">
        <v>266</v>
      </c>
    </row>
    <row r="14" spans="1:9" ht="12">
      <c r="A14" s="22">
        <v>1</v>
      </c>
      <c r="B14" s="19" t="s">
        <v>995</v>
      </c>
      <c r="C14" s="12" t="s">
        <v>266</v>
      </c>
      <c r="D14" s="45" t="s">
        <v>1094</v>
      </c>
      <c r="E14" s="19" t="s">
        <v>953</v>
      </c>
      <c r="F14" s="12" t="s">
        <v>266</v>
      </c>
      <c r="G14" s="12" t="s">
        <v>681</v>
      </c>
      <c r="H14" s="12" t="s">
        <v>722</v>
      </c>
      <c r="I14" s="19" t="s">
        <v>266</v>
      </c>
    </row>
    <row r="15" spans="1:9" ht="12">
      <c r="A15" s="22">
        <v>2</v>
      </c>
      <c r="B15" s="19" t="s">
        <v>995</v>
      </c>
      <c r="C15" s="12" t="s">
        <v>266</v>
      </c>
      <c r="D15" s="45" t="s">
        <v>1095</v>
      </c>
      <c r="E15" s="19" t="s">
        <v>953</v>
      </c>
      <c r="F15" s="12" t="s">
        <v>266</v>
      </c>
      <c r="G15" s="12" t="s">
        <v>689</v>
      </c>
      <c r="H15" s="12" t="s">
        <v>722</v>
      </c>
      <c r="I15" s="19" t="s">
        <v>266</v>
      </c>
    </row>
    <row r="16" spans="1:9" ht="12">
      <c r="A16" s="22">
        <v>3</v>
      </c>
      <c r="B16" s="19" t="s">
        <v>995</v>
      </c>
      <c r="C16" s="12" t="s">
        <v>266</v>
      </c>
      <c r="D16" s="12" t="s">
        <v>739</v>
      </c>
      <c r="E16" s="19" t="s">
        <v>953</v>
      </c>
      <c r="F16" s="12" t="s">
        <v>266</v>
      </c>
      <c r="G16" s="12" t="s">
        <v>690</v>
      </c>
      <c r="H16" s="12" t="s">
        <v>722</v>
      </c>
      <c r="I16" s="19" t="s">
        <v>266</v>
      </c>
    </row>
    <row r="17" spans="1:9" ht="12">
      <c r="A17" s="22">
        <v>4</v>
      </c>
      <c r="B17" s="19" t="s">
        <v>995</v>
      </c>
      <c r="C17" s="12" t="s">
        <v>266</v>
      </c>
      <c r="D17" s="12" t="s">
        <v>737</v>
      </c>
      <c r="E17" s="19" t="s">
        <v>953</v>
      </c>
      <c r="F17" s="12" t="s">
        <v>266</v>
      </c>
      <c r="G17" s="12" t="s">
        <v>691</v>
      </c>
      <c r="H17" s="12" t="s">
        <v>266</v>
      </c>
      <c r="I17" s="19" t="s">
        <v>266</v>
      </c>
    </row>
    <row r="18" spans="1:9" ht="12">
      <c r="A18" s="22">
        <v>5</v>
      </c>
      <c r="B18" s="19" t="s">
        <v>995</v>
      </c>
      <c r="C18" s="12" t="s">
        <v>266</v>
      </c>
      <c r="D18" s="12" t="s">
        <v>821</v>
      </c>
      <c r="E18" s="19" t="s">
        <v>953</v>
      </c>
      <c r="F18" s="12" t="s">
        <v>266</v>
      </c>
      <c r="G18" s="12" t="s">
        <v>692</v>
      </c>
      <c r="H18" s="12" t="s">
        <v>704</v>
      </c>
      <c r="I18" s="19" t="s">
        <v>266</v>
      </c>
    </row>
    <row r="19" spans="1:9" ht="12">
      <c r="A19" s="22">
        <v>6</v>
      </c>
      <c r="B19" s="19" t="s">
        <v>995</v>
      </c>
      <c r="C19" s="12" t="s">
        <v>266</v>
      </c>
      <c r="D19" s="12" t="s">
        <v>738</v>
      </c>
      <c r="E19" s="19" t="s">
        <v>953</v>
      </c>
      <c r="F19" s="12" t="s">
        <v>266</v>
      </c>
      <c r="G19" s="12" t="s">
        <v>693</v>
      </c>
      <c r="H19" s="12" t="s">
        <v>266</v>
      </c>
      <c r="I19" s="19" t="s">
        <v>266</v>
      </c>
    </row>
    <row r="20" spans="1:9" ht="12">
      <c r="A20" s="22">
        <v>7</v>
      </c>
      <c r="B20" s="19" t="s">
        <v>995</v>
      </c>
      <c r="C20" s="12" t="s">
        <v>266</v>
      </c>
      <c r="D20" s="12" t="s">
        <v>266</v>
      </c>
      <c r="E20" s="19" t="s">
        <v>953</v>
      </c>
      <c r="F20" s="12" t="s">
        <v>266</v>
      </c>
      <c r="G20" s="12" t="s">
        <v>694</v>
      </c>
      <c r="H20" s="12" t="s">
        <v>266</v>
      </c>
      <c r="I20" s="19" t="s">
        <v>266</v>
      </c>
    </row>
    <row r="21" spans="1:9" ht="12">
      <c r="A21" s="22">
        <v>8</v>
      </c>
      <c r="B21" s="19" t="s">
        <v>995</v>
      </c>
      <c r="C21" s="12" t="s">
        <v>266</v>
      </c>
      <c r="D21" s="12" t="s">
        <v>266</v>
      </c>
      <c r="E21" s="19" t="s">
        <v>953</v>
      </c>
      <c r="F21" s="12" t="s">
        <v>731</v>
      </c>
      <c r="G21" s="12" t="s">
        <v>695</v>
      </c>
      <c r="H21" s="12" t="s">
        <v>266</v>
      </c>
      <c r="I21" s="19" t="s">
        <v>266</v>
      </c>
    </row>
    <row r="22" spans="1:9" ht="12">
      <c r="A22" s="22">
        <v>9</v>
      </c>
      <c r="B22" s="19" t="s">
        <v>995</v>
      </c>
      <c r="C22" s="12" t="s">
        <v>266</v>
      </c>
      <c r="D22" s="12" t="s">
        <v>266</v>
      </c>
      <c r="E22" s="19" t="s">
        <v>953</v>
      </c>
      <c r="F22" s="12" t="s">
        <v>266</v>
      </c>
      <c r="G22" s="12" t="s">
        <v>696</v>
      </c>
      <c r="H22" s="12" t="s">
        <v>266</v>
      </c>
      <c r="I22" s="19" t="s">
        <v>266</v>
      </c>
    </row>
    <row r="23" spans="1:9" ht="12">
      <c r="A23" s="22">
        <v>0</v>
      </c>
      <c r="B23" s="19" t="s">
        <v>995</v>
      </c>
      <c r="C23" s="12" t="s">
        <v>266</v>
      </c>
      <c r="D23" s="12" t="s">
        <v>824</v>
      </c>
      <c r="E23" s="19" t="s">
        <v>953</v>
      </c>
      <c r="F23" s="12" t="s">
        <v>266</v>
      </c>
      <c r="G23" s="12" t="s">
        <v>266</v>
      </c>
      <c r="H23" s="12" t="s">
        <v>266</v>
      </c>
      <c r="I23" s="19" t="s">
        <v>266</v>
      </c>
    </row>
    <row r="24" spans="1:9" s="14" customFormat="1" ht="12">
      <c r="A24" s="21" t="s">
        <v>673</v>
      </c>
      <c r="B24" s="12" t="s">
        <v>708</v>
      </c>
      <c r="C24" s="12" t="s">
        <v>683</v>
      </c>
      <c r="D24" s="12" t="s">
        <v>687</v>
      </c>
      <c r="E24" s="12" t="s">
        <v>814</v>
      </c>
      <c r="F24" s="12" t="s">
        <v>688</v>
      </c>
      <c r="G24" s="12" t="s">
        <v>806</v>
      </c>
      <c r="H24" s="12" t="s">
        <v>859</v>
      </c>
      <c r="I24" s="19" t="s">
        <v>266</v>
      </c>
    </row>
    <row r="25" spans="1:9" s="14" customFormat="1" ht="12">
      <c r="A25" s="21" t="s">
        <v>674</v>
      </c>
      <c r="B25" s="12" t="s">
        <v>707</v>
      </c>
      <c r="C25" s="12" t="s">
        <v>682</v>
      </c>
      <c r="D25" s="12" t="s">
        <v>685</v>
      </c>
      <c r="E25" s="12" t="s">
        <v>797</v>
      </c>
      <c r="F25" s="12" t="s">
        <v>686</v>
      </c>
      <c r="G25" s="12" t="s">
        <v>768</v>
      </c>
      <c r="H25" s="12" t="s">
        <v>858</v>
      </c>
      <c r="I25" s="19" t="s">
        <v>266</v>
      </c>
    </row>
    <row r="26" spans="1:9" ht="12">
      <c r="A26" s="21" t="s">
        <v>671</v>
      </c>
      <c r="B26" s="12" t="s">
        <v>711</v>
      </c>
      <c r="C26" s="12" t="s">
        <v>767</v>
      </c>
      <c r="D26" s="12" t="s">
        <v>709</v>
      </c>
      <c r="E26" s="12" t="s">
        <v>809</v>
      </c>
      <c r="F26" s="12" t="s">
        <v>705</v>
      </c>
      <c r="G26" s="12" t="s">
        <v>760</v>
      </c>
      <c r="H26" s="12" t="s">
        <v>266</v>
      </c>
      <c r="I26" s="19" t="s">
        <v>266</v>
      </c>
    </row>
    <row r="27" spans="1:9" ht="12">
      <c r="A27" s="21" t="s">
        <v>672</v>
      </c>
      <c r="B27" s="12" t="s">
        <v>712</v>
      </c>
      <c r="C27" s="12" t="s">
        <v>789</v>
      </c>
      <c r="D27" s="12" t="s">
        <v>710</v>
      </c>
      <c r="E27" s="12" t="s">
        <v>279</v>
      </c>
      <c r="F27" s="12" t="s">
        <v>706</v>
      </c>
      <c r="G27" s="12" t="s">
        <v>761</v>
      </c>
      <c r="H27" s="12" t="s">
        <v>266</v>
      </c>
      <c r="I27" s="19" t="s">
        <v>266</v>
      </c>
    </row>
    <row r="28" spans="1:9" ht="12">
      <c r="A28" s="23" t="s">
        <v>587</v>
      </c>
      <c r="B28" s="12" t="s">
        <v>266</v>
      </c>
      <c r="C28" s="12" t="s">
        <v>266</v>
      </c>
      <c r="D28" s="12" t="s">
        <v>266</v>
      </c>
      <c r="E28" s="12" t="s">
        <v>266</v>
      </c>
      <c r="F28" s="12" t="s">
        <v>266</v>
      </c>
      <c r="G28" s="12" t="s">
        <v>266</v>
      </c>
      <c r="H28" s="12" t="s">
        <v>266</v>
      </c>
      <c r="I28" s="19" t="s">
        <v>266</v>
      </c>
    </row>
    <row r="29" spans="1:9" ht="12">
      <c r="A29" s="23" t="s">
        <v>589</v>
      </c>
      <c r="B29" s="12" t="s">
        <v>266</v>
      </c>
      <c r="C29" s="12" t="s">
        <v>643</v>
      </c>
      <c r="D29" s="12" t="s">
        <v>617</v>
      </c>
      <c r="E29" s="12" t="s">
        <v>817</v>
      </c>
      <c r="F29" s="12" t="s">
        <v>266</v>
      </c>
      <c r="G29" s="12" t="s">
        <v>266</v>
      </c>
      <c r="H29" s="12" t="s">
        <v>266</v>
      </c>
      <c r="I29" s="19" t="s">
        <v>266</v>
      </c>
    </row>
    <row r="30" spans="1:9" ht="12">
      <c r="A30" s="23" t="s">
        <v>592</v>
      </c>
      <c r="B30" s="12" t="s">
        <v>714</v>
      </c>
      <c r="C30" s="12" t="s">
        <v>810</v>
      </c>
      <c r="D30" s="12" t="s">
        <v>819</v>
      </c>
      <c r="E30" s="12" t="s">
        <v>266</v>
      </c>
      <c r="F30" s="12" t="s">
        <v>266</v>
      </c>
      <c r="G30" s="12" t="s">
        <v>266</v>
      </c>
      <c r="H30" s="12" t="s">
        <v>266</v>
      </c>
      <c r="I30" s="19" t="s">
        <v>266</v>
      </c>
    </row>
    <row r="31" spans="1:9" ht="12">
      <c r="A31" s="23" t="s">
        <v>596</v>
      </c>
      <c r="B31" s="12" t="s">
        <v>266</v>
      </c>
      <c r="C31" s="12" t="s">
        <v>266</v>
      </c>
      <c r="D31" s="12" t="s">
        <v>266</v>
      </c>
      <c r="E31" s="12" t="s">
        <v>266</v>
      </c>
      <c r="F31" s="12" t="s">
        <v>266</v>
      </c>
      <c r="G31" s="12" t="s">
        <v>266</v>
      </c>
      <c r="H31" s="12" t="s">
        <v>266</v>
      </c>
      <c r="I31" s="19" t="s">
        <v>266</v>
      </c>
    </row>
    <row r="32" spans="1:9" ht="12">
      <c r="A32" s="23" t="s">
        <v>669</v>
      </c>
      <c r="B32" s="12" t="s">
        <v>266</v>
      </c>
      <c r="C32" s="12" t="s">
        <v>266</v>
      </c>
      <c r="D32" s="12" t="s">
        <v>266</v>
      </c>
      <c r="E32" s="12" t="s">
        <v>266</v>
      </c>
      <c r="F32" s="12" t="s">
        <v>266</v>
      </c>
      <c r="G32" s="12" t="s">
        <v>266</v>
      </c>
      <c r="H32" s="12" t="s">
        <v>266</v>
      </c>
      <c r="I32" s="19" t="s">
        <v>266</v>
      </c>
    </row>
    <row r="33" spans="1:9" ht="12">
      <c r="A33" s="23" t="s">
        <v>854</v>
      </c>
      <c r="B33" s="12" t="s">
        <v>783</v>
      </c>
      <c r="C33" s="12" t="s">
        <v>784</v>
      </c>
      <c r="D33" s="12" t="s">
        <v>840</v>
      </c>
      <c r="E33" s="12" t="s">
        <v>786</v>
      </c>
      <c r="F33" s="12" t="s">
        <v>844</v>
      </c>
      <c r="G33" s="12" t="s">
        <v>786</v>
      </c>
      <c r="H33" s="12" t="s">
        <v>721</v>
      </c>
      <c r="I33" s="19" t="s">
        <v>266</v>
      </c>
    </row>
    <row r="34" spans="1:9" ht="12">
      <c r="A34" s="23" t="s">
        <v>855</v>
      </c>
      <c r="B34" s="12" t="s">
        <v>787</v>
      </c>
      <c r="C34" s="12" t="s">
        <v>788</v>
      </c>
      <c r="D34" s="12" t="s">
        <v>839</v>
      </c>
      <c r="E34" s="12" t="s">
        <v>785</v>
      </c>
      <c r="F34" s="12" t="s">
        <v>845</v>
      </c>
      <c r="G34" s="12" t="s">
        <v>785</v>
      </c>
      <c r="H34" s="12" t="s">
        <v>266</v>
      </c>
      <c r="I34" s="19" t="s">
        <v>266</v>
      </c>
    </row>
    <row r="35" spans="1:9" ht="12">
      <c r="A35" s="23" t="s">
        <v>856</v>
      </c>
      <c r="B35" s="12" t="s">
        <v>266</v>
      </c>
      <c r="C35" s="12" t="s">
        <v>266</v>
      </c>
      <c r="D35" s="12" t="s">
        <v>266</v>
      </c>
      <c r="E35" s="12" t="s">
        <v>266</v>
      </c>
      <c r="F35" s="12" t="s">
        <v>266</v>
      </c>
      <c r="G35" s="12" t="s">
        <v>266</v>
      </c>
      <c r="H35" s="12" t="s">
        <v>266</v>
      </c>
      <c r="I35" s="19" t="s">
        <v>266</v>
      </c>
    </row>
    <row r="36" spans="1:9" ht="12">
      <c r="A36" s="23" t="s">
        <v>857</v>
      </c>
      <c r="B36" s="12" t="s">
        <v>266</v>
      </c>
      <c r="C36" s="12" t="s">
        <v>266</v>
      </c>
      <c r="D36" s="12" t="s">
        <v>266</v>
      </c>
      <c r="E36" s="12" t="s">
        <v>266</v>
      </c>
      <c r="F36" s="12" t="s">
        <v>266</v>
      </c>
      <c r="G36" s="12" t="s">
        <v>266</v>
      </c>
      <c r="H36" s="12" t="s">
        <v>266</v>
      </c>
      <c r="I36" s="19" t="s">
        <v>266</v>
      </c>
    </row>
    <row r="37" spans="1:9" ht="12">
      <c r="A37" s="23" t="s">
        <v>601</v>
      </c>
      <c r="B37" s="12" t="s">
        <v>266</v>
      </c>
      <c r="C37" s="12" t="s">
        <v>266</v>
      </c>
      <c r="D37" s="12" t="s">
        <v>772</v>
      </c>
      <c r="E37" s="12" t="s">
        <v>756</v>
      </c>
      <c r="F37" s="12" t="s">
        <v>820</v>
      </c>
      <c r="G37" s="12" t="s">
        <v>266</v>
      </c>
      <c r="H37" s="12" t="s">
        <v>724</v>
      </c>
      <c r="I37" s="19" t="s">
        <v>266</v>
      </c>
    </row>
    <row r="38" spans="1:9" ht="12">
      <c r="A38" s="23" t="s">
        <v>914</v>
      </c>
      <c r="B38" s="12" t="s">
        <v>266</v>
      </c>
      <c r="C38" s="12" t="s">
        <v>266</v>
      </c>
      <c r="D38" s="12" t="s">
        <v>266</v>
      </c>
      <c r="E38" s="12" t="s">
        <v>266</v>
      </c>
      <c r="F38" s="12" t="s">
        <v>770</v>
      </c>
      <c r="G38" s="12" t="s">
        <v>808</v>
      </c>
      <c r="H38" s="12" t="s">
        <v>266</v>
      </c>
      <c r="I38" s="19" t="s">
        <v>266</v>
      </c>
    </row>
    <row r="39" spans="1:9" ht="12">
      <c r="A39" s="23" t="s">
        <v>916</v>
      </c>
      <c r="B39" s="12" t="s">
        <v>266</v>
      </c>
      <c r="C39" s="12" t="s">
        <v>266</v>
      </c>
      <c r="D39" s="12" t="s">
        <v>266</v>
      </c>
      <c r="E39" s="12" t="s">
        <v>266</v>
      </c>
      <c r="F39" s="12" t="s">
        <v>266</v>
      </c>
      <c r="G39" s="12" t="s">
        <v>266</v>
      </c>
      <c r="H39" s="12" t="s">
        <v>266</v>
      </c>
      <c r="I39" s="19" t="s">
        <v>266</v>
      </c>
    </row>
    <row r="40" spans="1:9" ht="12">
      <c r="A40" s="23" t="s">
        <v>918</v>
      </c>
      <c r="B40" s="12" t="s">
        <v>266</v>
      </c>
      <c r="C40" s="12" t="s">
        <v>266</v>
      </c>
      <c r="D40" s="12" t="s">
        <v>718</v>
      </c>
      <c r="E40" s="12" t="s">
        <v>266</v>
      </c>
      <c r="F40" s="12" t="s">
        <v>266</v>
      </c>
      <c r="G40" s="12" t="s">
        <v>266</v>
      </c>
      <c r="H40" s="12" t="s">
        <v>266</v>
      </c>
      <c r="I40" s="19" t="s">
        <v>266</v>
      </c>
    </row>
    <row r="41" spans="1:9" ht="12">
      <c r="A41" s="23" t="s">
        <v>920</v>
      </c>
      <c r="B41" s="12" t="s">
        <v>266</v>
      </c>
      <c r="C41" s="12" t="s">
        <v>266</v>
      </c>
      <c r="D41" s="12" t="s">
        <v>266</v>
      </c>
      <c r="E41" s="12" t="s">
        <v>266</v>
      </c>
      <c r="F41" s="12" t="s">
        <v>266</v>
      </c>
      <c r="G41" s="12" t="s">
        <v>266</v>
      </c>
      <c r="H41" s="12" t="s">
        <v>266</v>
      </c>
      <c r="I41" s="19" t="s">
        <v>266</v>
      </c>
    </row>
    <row r="42" spans="1:9" ht="12">
      <c r="A42" s="23" t="s">
        <v>922</v>
      </c>
      <c r="B42" s="12" t="s">
        <v>266</v>
      </c>
      <c r="C42" s="12" t="s">
        <v>266</v>
      </c>
      <c r="D42" s="12" t="s">
        <v>746</v>
      </c>
      <c r="E42" s="12" t="s">
        <v>266</v>
      </c>
      <c r="F42" s="12" t="s">
        <v>266</v>
      </c>
      <c r="G42" s="12" t="s">
        <v>266</v>
      </c>
      <c r="H42" s="12" t="s">
        <v>266</v>
      </c>
      <c r="I42" s="19" t="s">
        <v>266</v>
      </c>
    </row>
    <row r="43" spans="1:9" ht="12">
      <c r="A43" s="23" t="s">
        <v>924</v>
      </c>
      <c r="B43" s="12" t="s">
        <v>266</v>
      </c>
      <c r="C43" s="12" t="s">
        <v>266</v>
      </c>
      <c r="D43" s="12" t="s">
        <v>745</v>
      </c>
      <c r="E43" s="12" t="s">
        <v>266</v>
      </c>
      <c r="F43" s="12" t="s">
        <v>266</v>
      </c>
      <c r="G43" s="12" t="s">
        <v>266</v>
      </c>
      <c r="H43" s="12" t="s">
        <v>266</v>
      </c>
      <c r="I43" s="19" t="s">
        <v>266</v>
      </c>
    </row>
    <row r="44" spans="1:9" ht="12">
      <c r="A44" s="23" t="s">
        <v>926</v>
      </c>
      <c r="B44" s="12" t="s">
        <v>266</v>
      </c>
      <c r="C44" s="12" t="s">
        <v>266</v>
      </c>
      <c r="D44" s="12" t="s">
        <v>266</v>
      </c>
      <c r="E44" s="12" t="s">
        <v>266</v>
      </c>
      <c r="F44" s="12" t="s">
        <v>807</v>
      </c>
      <c r="G44" s="12" t="s">
        <v>779</v>
      </c>
      <c r="H44" s="12" t="s">
        <v>266</v>
      </c>
      <c r="I44" s="19" t="s">
        <v>266</v>
      </c>
    </row>
    <row r="45" spans="1:9" ht="12">
      <c r="A45" s="23" t="s">
        <v>928</v>
      </c>
      <c r="B45" s="12" t="s">
        <v>266</v>
      </c>
      <c r="C45" s="12" t="s">
        <v>266</v>
      </c>
      <c r="D45" s="12" t="s">
        <v>266</v>
      </c>
      <c r="E45" s="12" t="s">
        <v>266</v>
      </c>
      <c r="F45" s="12" t="s">
        <v>266</v>
      </c>
      <c r="G45" s="12" t="s">
        <v>266</v>
      </c>
      <c r="H45" s="12" t="s">
        <v>266</v>
      </c>
      <c r="I45" s="19" t="s">
        <v>266</v>
      </c>
    </row>
    <row r="46" spans="1:9" ht="12">
      <c r="A46" s="23" t="s">
        <v>930</v>
      </c>
      <c r="B46" s="12" t="s">
        <v>266</v>
      </c>
      <c r="C46" s="12" t="s">
        <v>266</v>
      </c>
      <c r="D46" s="12" t="s">
        <v>266</v>
      </c>
      <c r="E46" s="12" t="s">
        <v>266</v>
      </c>
      <c r="F46" s="12" t="s">
        <v>266</v>
      </c>
      <c r="G46" s="12" t="s">
        <v>266</v>
      </c>
      <c r="H46" s="12" t="s">
        <v>266</v>
      </c>
      <c r="I46" s="19" t="s">
        <v>266</v>
      </c>
    </row>
    <row r="47" spans="1:9" ht="12">
      <c r="A47" s="23" t="s">
        <v>932</v>
      </c>
      <c r="B47" s="12" t="s">
        <v>266</v>
      </c>
      <c r="C47" s="12" t="s">
        <v>266</v>
      </c>
      <c r="D47" s="12" t="s">
        <v>266</v>
      </c>
      <c r="E47" s="12" t="s">
        <v>266</v>
      </c>
      <c r="F47" s="12" t="s">
        <v>266</v>
      </c>
      <c r="G47" s="12" t="s">
        <v>266</v>
      </c>
      <c r="H47" s="12" t="s">
        <v>266</v>
      </c>
      <c r="I47" s="19" t="s">
        <v>266</v>
      </c>
    </row>
    <row r="48" spans="1:9" ht="12">
      <c r="A48" s="23" t="s">
        <v>934</v>
      </c>
      <c r="B48" s="12" t="s">
        <v>266</v>
      </c>
      <c r="C48" s="12" t="s">
        <v>266</v>
      </c>
      <c r="D48" s="12" t="s">
        <v>266</v>
      </c>
      <c r="E48" s="12" t="s">
        <v>266</v>
      </c>
      <c r="F48" s="12" t="s">
        <v>266</v>
      </c>
      <c r="G48" s="12" t="s">
        <v>266</v>
      </c>
      <c r="H48" s="12" t="s">
        <v>266</v>
      </c>
      <c r="I48" s="19" t="s">
        <v>266</v>
      </c>
    </row>
    <row r="49" spans="1:9" ht="12">
      <c r="A49" s="23" t="s">
        <v>936</v>
      </c>
      <c r="B49" s="12" t="s">
        <v>266</v>
      </c>
      <c r="C49" s="12" t="s">
        <v>266</v>
      </c>
      <c r="D49" s="12" t="s">
        <v>718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19" t="s">
        <v>266</v>
      </c>
    </row>
    <row r="50" spans="1:9" ht="12">
      <c r="A50" s="23" t="s">
        <v>667</v>
      </c>
      <c r="B50" s="12" t="s">
        <v>713</v>
      </c>
      <c r="C50" s="12" t="s">
        <v>266</v>
      </c>
      <c r="D50" s="12" t="s">
        <v>266</v>
      </c>
      <c r="E50" s="12" t="s">
        <v>266</v>
      </c>
      <c r="F50" s="12" t="s">
        <v>266</v>
      </c>
      <c r="G50" s="12" t="s">
        <v>266</v>
      </c>
      <c r="H50" s="12" t="s">
        <v>266</v>
      </c>
      <c r="I50" s="19" t="s">
        <v>266</v>
      </c>
    </row>
    <row r="51" spans="1:9" ht="12">
      <c r="A51" s="23" t="s">
        <v>607</v>
      </c>
      <c r="B51" s="12" t="s">
        <v>266</v>
      </c>
      <c r="C51" s="12" t="s">
        <v>266</v>
      </c>
      <c r="D51" s="12" t="s">
        <v>266</v>
      </c>
      <c r="E51" s="12" t="s">
        <v>266</v>
      </c>
      <c r="F51" s="12" t="s">
        <v>266</v>
      </c>
      <c r="G51" s="12" t="s">
        <v>266</v>
      </c>
      <c r="H51" s="12" t="s">
        <v>266</v>
      </c>
      <c r="I51" s="19" t="s">
        <v>266</v>
      </c>
    </row>
    <row r="52" spans="1:9" ht="12">
      <c r="A52" s="23" t="s">
        <v>609</v>
      </c>
      <c r="B52" s="12" t="s">
        <v>266</v>
      </c>
      <c r="C52" s="12" t="s">
        <v>266</v>
      </c>
      <c r="D52" s="12" t="s">
        <v>266</v>
      </c>
      <c r="E52" s="12" t="s">
        <v>266</v>
      </c>
      <c r="F52" s="12" t="s">
        <v>266</v>
      </c>
      <c r="G52" s="12" t="s">
        <v>266</v>
      </c>
      <c r="H52" s="12" t="s">
        <v>266</v>
      </c>
      <c r="I52" s="19" t="s">
        <v>266</v>
      </c>
    </row>
    <row r="53" spans="1:9" ht="12">
      <c r="A53" s="23" t="s">
        <v>610</v>
      </c>
      <c r="B53" s="12" t="s">
        <v>266</v>
      </c>
      <c r="C53" s="12" t="s">
        <v>266</v>
      </c>
      <c r="D53" s="12" t="s">
        <v>266</v>
      </c>
      <c r="E53" s="12" t="s">
        <v>266</v>
      </c>
      <c r="F53" s="12" t="s">
        <v>266</v>
      </c>
      <c r="G53" s="12" t="s">
        <v>266</v>
      </c>
      <c r="H53" s="12" t="s">
        <v>266</v>
      </c>
      <c r="I53" s="19" t="s">
        <v>266</v>
      </c>
    </row>
    <row r="54" spans="1:9" ht="12">
      <c r="A54" s="23" t="s">
        <v>611</v>
      </c>
      <c r="B54" s="12" t="s">
        <v>266</v>
      </c>
      <c r="C54" s="12" t="s">
        <v>266</v>
      </c>
      <c r="D54" s="12" t="s">
        <v>266</v>
      </c>
      <c r="E54" s="12" t="s">
        <v>266</v>
      </c>
      <c r="F54" s="12" t="s">
        <v>266</v>
      </c>
      <c r="G54" s="12" t="s">
        <v>266</v>
      </c>
      <c r="H54" s="12" t="s">
        <v>266</v>
      </c>
      <c r="I54" s="19" t="s">
        <v>266</v>
      </c>
    </row>
    <row r="55" spans="1:9" ht="12">
      <c r="A55" s="23" t="s">
        <v>946</v>
      </c>
      <c r="B55" s="12" t="s">
        <v>266</v>
      </c>
      <c r="C55" s="12" t="s">
        <v>266</v>
      </c>
      <c r="D55" s="12" t="s">
        <v>266</v>
      </c>
      <c r="E55" s="12" t="s">
        <v>266</v>
      </c>
      <c r="F55" s="12" t="s">
        <v>266</v>
      </c>
      <c r="G55" s="12" t="s">
        <v>266</v>
      </c>
      <c r="H55" s="12" t="s">
        <v>266</v>
      </c>
      <c r="I55" s="19" t="s">
        <v>266</v>
      </c>
    </row>
    <row r="56" spans="1:9" ht="12">
      <c r="A56" s="23" t="s">
        <v>612</v>
      </c>
      <c r="B56" s="12" t="s">
        <v>266</v>
      </c>
      <c r="C56" s="12" t="s">
        <v>266</v>
      </c>
      <c r="D56" s="12" t="s">
        <v>266</v>
      </c>
      <c r="E56" s="12" t="s">
        <v>266</v>
      </c>
      <c r="F56" s="12" t="s">
        <v>266</v>
      </c>
      <c r="G56" s="12" t="s">
        <v>266</v>
      </c>
      <c r="H56" s="12" t="s">
        <v>266</v>
      </c>
      <c r="I56" s="19" t="s">
        <v>266</v>
      </c>
    </row>
    <row r="57" spans="1:9" ht="12">
      <c r="A57" s="23" t="s">
        <v>613</v>
      </c>
      <c r="B57" s="19" t="s">
        <v>995</v>
      </c>
      <c r="C57" s="12" t="s">
        <v>266</v>
      </c>
      <c r="D57" s="12" t="s">
        <v>729</v>
      </c>
      <c r="E57" s="19" t="s">
        <v>953</v>
      </c>
      <c r="F57" s="12" t="s">
        <v>730</v>
      </c>
      <c r="G57" s="12" t="s">
        <v>728</v>
      </c>
      <c r="H57" s="12" t="s">
        <v>266</v>
      </c>
      <c r="I57" s="19" t="s">
        <v>266</v>
      </c>
    </row>
    <row r="58" spans="1:9" ht="12">
      <c r="A58" s="23" t="s">
        <v>615</v>
      </c>
      <c r="B58" s="19" t="s">
        <v>995</v>
      </c>
      <c r="C58" s="12" t="s">
        <v>266</v>
      </c>
      <c r="D58" s="12" t="s">
        <v>818</v>
      </c>
      <c r="E58" s="19" t="s">
        <v>953</v>
      </c>
      <c r="F58" s="12" t="s">
        <v>818</v>
      </c>
      <c r="G58" s="12" t="s">
        <v>266</v>
      </c>
      <c r="H58" s="12" t="s">
        <v>266</v>
      </c>
      <c r="I58" s="19" t="s">
        <v>266</v>
      </c>
    </row>
    <row r="59" spans="1:9" ht="12">
      <c r="A59" s="23" t="s">
        <v>616</v>
      </c>
      <c r="B59" s="19" t="s">
        <v>995</v>
      </c>
      <c r="C59" s="12" t="s">
        <v>266</v>
      </c>
      <c r="D59" s="12" t="s">
        <v>617</v>
      </c>
      <c r="E59" s="19" t="s">
        <v>953</v>
      </c>
      <c r="F59" s="12" t="s">
        <v>803</v>
      </c>
      <c r="G59" s="12" t="s">
        <v>847</v>
      </c>
      <c r="H59" s="12" t="s">
        <v>266</v>
      </c>
      <c r="I59" s="19" t="s">
        <v>266</v>
      </c>
    </row>
    <row r="60" spans="1:9" ht="12">
      <c r="A60" s="23" t="s">
        <v>168</v>
      </c>
      <c r="B60" s="19" t="s">
        <v>995</v>
      </c>
      <c r="C60" s="12" t="s">
        <v>266</v>
      </c>
      <c r="D60" s="12" t="s">
        <v>743</v>
      </c>
      <c r="E60" s="19" t="s">
        <v>953</v>
      </c>
      <c r="F60" s="12" t="s">
        <v>828</v>
      </c>
      <c r="G60" s="12" t="s">
        <v>829</v>
      </c>
      <c r="H60" s="12" t="s">
        <v>846</v>
      </c>
      <c r="I60" s="19" t="s">
        <v>266</v>
      </c>
    </row>
    <row r="61" spans="1:9" ht="12">
      <c r="A61" s="23" t="s">
        <v>115</v>
      </c>
      <c r="B61" s="19" t="s">
        <v>995</v>
      </c>
      <c r="C61" s="12" t="s">
        <v>266</v>
      </c>
      <c r="D61" s="12" t="s">
        <v>822</v>
      </c>
      <c r="E61" s="19" t="s">
        <v>953</v>
      </c>
      <c r="F61" s="12" t="s">
        <v>849</v>
      </c>
      <c r="G61" s="12" t="s">
        <v>733</v>
      </c>
      <c r="H61" s="12" t="s">
        <v>266</v>
      </c>
      <c r="I61" s="19" t="s">
        <v>266</v>
      </c>
    </row>
    <row r="62" spans="1:9" ht="12">
      <c r="A62" s="23" t="s">
        <v>49</v>
      </c>
      <c r="B62" s="19" t="s">
        <v>995</v>
      </c>
      <c r="C62" s="12" t="s">
        <v>266</v>
      </c>
      <c r="D62" s="12" t="s">
        <v>777</v>
      </c>
      <c r="E62" s="19" t="s">
        <v>953</v>
      </c>
      <c r="F62" s="12" t="s">
        <v>743</v>
      </c>
      <c r="G62" s="12" t="s">
        <v>791</v>
      </c>
      <c r="H62" s="12" t="s">
        <v>774</v>
      </c>
      <c r="I62" s="19" t="s">
        <v>266</v>
      </c>
    </row>
    <row r="63" spans="1:9" ht="12">
      <c r="A63" s="23" t="s">
        <v>620</v>
      </c>
      <c r="B63" s="19" t="s">
        <v>995</v>
      </c>
      <c r="C63" s="12" t="s">
        <v>266</v>
      </c>
      <c r="D63" s="12" t="s">
        <v>720</v>
      </c>
      <c r="E63" s="19" t="s">
        <v>953</v>
      </c>
      <c r="F63" s="12" t="s">
        <v>834</v>
      </c>
      <c r="G63" s="12" t="s">
        <v>266</v>
      </c>
      <c r="H63" s="12" t="s">
        <v>266</v>
      </c>
      <c r="I63" s="19" t="s">
        <v>266</v>
      </c>
    </row>
    <row r="64" spans="1:9" s="15" customFormat="1" ht="12">
      <c r="A64" s="23" t="s">
        <v>99</v>
      </c>
      <c r="B64" s="19" t="s">
        <v>995</v>
      </c>
      <c r="C64" s="12" t="s">
        <v>266</v>
      </c>
      <c r="D64" s="12" t="s">
        <v>825</v>
      </c>
      <c r="E64" s="19" t="s">
        <v>953</v>
      </c>
      <c r="F64" s="12" t="s">
        <v>766</v>
      </c>
      <c r="G64" s="12" t="s">
        <v>266</v>
      </c>
      <c r="H64" s="12" t="s">
        <v>735</v>
      </c>
      <c r="I64" s="19" t="s">
        <v>266</v>
      </c>
    </row>
    <row r="65" spans="1:9" s="15" customFormat="1" ht="12">
      <c r="A65" s="23" t="s">
        <v>119</v>
      </c>
      <c r="B65" s="19" t="s">
        <v>995</v>
      </c>
      <c r="C65" s="12" t="s">
        <v>266</v>
      </c>
      <c r="D65" s="12" t="s">
        <v>801</v>
      </c>
      <c r="E65" s="19" t="s">
        <v>953</v>
      </c>
      <c r="F65" s="12" t="s">
        <v>801</v>
      </c>
      <c r="G65" s="12" t="s">
        <v>765</v>
      </c>
      <c r="H65" s="12" t="s">
        <v>764</v>
      </c>
      <c r="I65" s="19" t="s">
        <v>266</v>
      </c>
    </row>
    <row r="66" spans="1:9" ht="12">
      <c r="A66" s="23" t="s">
        <v>625</v>
      </c>
      <c r="B66" s="19" t="s">
        <v>995</v>
      </c>
      <c r="C66" s="12" t="s">
        <v>266</v>
      </c>
      <c r="D66" s="12" t="s">
        <v>822</v>
      </c>
      <c r="E66" s="19" t="s">
        <v>953</v>
      </c>
      <c r="F66" s="12" t="s">
        <v>775</v>
      </c>
      <c r="G66" s="12" t="s">
        <v>266</v>
      </c>
      <c r="H66" s="12" t="s">
        <v>266</v>
      </c>
      <c r="I66" s="19" t="s">
        <v>266</v>
      </c>
    </row>
    <row r="67" spans="1:9" ht="12">
      <c r="A67" s="23" t="s">
        <v>626</v>
      </c>
      <c r="B67" s="19" t="s">
        <v>995</v>
      </c>
      <c r="C67" s="12" t="s">
        <v>266</v>
      </c>
      <c r="D67" s="12" t="s">
        <v>734</v>
      </c>
      <c r="E67" s="19" t="s">
        <v>953</v>
      </c>
      <c r="F67" s="12" t="s">
        <v>805</v>
      </c>
      <c r="G67" s="12" t="s">
        <v>790</v>
      </c>
      <c r="H67" s="12" t="s">
        <v>703</v>
      </c>
      <c r="I67" s="19" t="s">
        <v>266</v>
      </c>
    </row>
    <row r="68" spans="1:9" ht="12">
      <c r="A68" s="23" t="s">
        <v>121</v>
      </c>
      <c r="B68" s="19" t="s">
        <v>995</v>
      </c>
      <c r="C68" s="12" t="s">
        <v>266</v>
      </c>
      <c r="D68" s="12" t="s">
        <v>822</v>
      </c>
      <c r="E68" s="19" t="s">
        <v>953</v>
      </c>
      <c r="F68" s="12" t="s">
        <v>771</v>
      </c>
      <c r="G68" s="12" t="s">
        <v>684</v>
      </c>
      <c r="H68" s="12" t="s">
        <v>698</v>
      </c>
      <c r="I68" s="19" t="s">
        <v>266</v>
      </c>
    </row>
    <row r="69" spans="1:9" ht="12">
      <c r="A69" s="23" t="s">
        <v>629</v>
      </c>
      <c r="B69" s="19" t="s">
        <v>995</v>
      </c>
      <c r="C69" s="12" t="s">
        <v>266</v>
      </c>
      <c r="D69" s="12" t="s">
        <v>680</v>
      </c>
      <c r="E69" s="19" t="s">
        <v>953</v>
      </c>
      <c r="F69" s="12" t="s">
        <v>679</v>
      </c>
      <c r="G69" s="12" t="s">
        <v>732</v>
      </c>
      <c r="H69" s="12" t="s">
        <v>716</v>
      </c>
      <c r="I69" s="19" t="s">
        <v>266</v>
      </c>
    </row>
    <row r="70" spans="1:9" ht="12">
      <c r="A70" s="23" t="s">
        <v>50</v>
      </c>
      <c r="B70" s="19" t="s">
        <v>995</v>
      </c>
      <c r="C70" s="12" t="s">
        <v>266</v>
      </c>
      <c r="D70" s="12" t="s">
        <v>631</v>
      </c>
      <c r="E70" s="19" t="s">
        <v>953</v>
      </c>
      <c r="F70" s="12" t="s">
        <v>831</v>
      </c>
      <c r="G70" s="12" t="s">
        <v>842</v>
      </c>
      <c r="H70" s="12" t="s">
        <v>830</v>
      </c>
      <c r="I70" s="19" t="s">
        <v>266</v>
      </c>
    </row>
    <row r="71" spans="1:9" ht="12">
      <c r="A71" s="23" t="s">
        <v>124</v>
      </c>
      <c r="B71" s="19" t="s">
        <v>995</v>
      </c>
      <c r="C71" s="12" t="s">
        <v>266</v>
      </c>
      <c r="D71" s="12" t="s">
        <v>697</v>
      </c>
      <c r="E71" s="19" t="s">
        <v>953</v>
      </c>
      <c r="F71" s="12" t="s">
        <v>757</v>
      </c>
      <c r="G71" s="12" t="s">
        <v>852</v>
      </c>
      <c r="H71" s="12" t="s">
        <v>702</v>
      </c>
      <c r="I71" s="19" t="s">
        <v>266</v>
      </c>
    </row>
    <row r="72" spans="1:9" ht="12">
      <c r="A72" s="23" t="s">
        <v>51</v>
      </c>
      <c r="B72" s="19" t="s">
        <v>995</v>
      </c>
      <c r="C72" s="12" t="s">
        <v>266</v>
      </c>
      <c r="D72" s="12" t="s">
        <v>764</v>
      </c>
      <c r="E72" s="19" t="s">
        <v>953</v>
      </c>
      <c r="F72" s="12" t="s">
        <v>744</v>
      </c>
      <c r="G72" s="12" t="s">
        <v>752</v>
      </c>
      <c r="H72" s="12" t="s">
        <v>751</v>
      </c>
      <c r="I72" s="19" t="s">
        <v>266</v>
      </c>
    </row>
    <row r="73" spans="1:9" ht="12">
      <c r="A73" s="23" t="s">
        <v>636</v>
      </c>
      <c r="B73" s="19" t="s">
        <v>995</v>
      </c>
      <c r="C73" s="12" t="s">
        <v>266</v>
      </c>
      <c r="D73" s="12" t="s">
        <v>823</v>
      </c>
      <c r="E73" s="19" t="s">
        <v>953</v>
      </c>
      <c r="F73" s="12" t="s">
        <v>699</v>
      </c>
      <c r="G73" s="12" t="s">
        <v>266</v>
      </c>
      <c r="H73" s="12" t="s">
        <v>266</v>
      </c>
      <c r="I73" s="19" t="s">
        <v>266</v>
      </c>
    </row>
    <row r="74" spans="1:9" ht="12">
      <c r="A74" s="23" t="s">
        <v>48</v>
      </c>
      <c r="B74" s="19" t="s">
        <v>995</v>
      </c>
      <c r="C74" s="12" t="s">
        <v>266</v>
      </c>
      <c r="D74" s="12" t="s">
        <v>822</v>
      </c>
      <c r="E74" s="19" t="s">
        <v>953</v>
      </c>
      <c r="F74" s="12" t="s">
        <v>792</v>
      </c>
      <c r="G74" s="12" t="s">
        <v>812</v>
      </c>
      <c r="H74" s="12" t="s">
        <v>266</v>
      </c>
      <c r="I74" s="19" t="s">
        <v>266</v>
      </c>
    </row>
    <row r="75" spans="1:9" ht="12">
      <c r="A75" s="23" t="s">
        <v>638</v>
      </c>
      <c r="B75" s="19" t="s">
        <v>995</v>
      </c>
      <c r="C75" s="12" t="s">
        <v>266</v>
      </c>
      <c r="D75" s="12" t="s">
        <v>850</v>
      </c>
      <c r="E75" s="19" t="s">
        <v>953</v>
      </c>
      <c r="F75" s="12" t="s">
        <v>723</v>
      </c>
      <c r="G75" s="12" t="s">
        <v>266</v>
      </c>
      <c r="H75" s="12" t="s">
        <v>833</v>
      </c>
      <c r="I75" s="19" t="s">
        <v>722</v>
      </c>
    </row>
    <row r="76" spans="1:9" ht="12">
      <c r="A76" s="23" t="s">
        <v>640</v>
      </c>
      <c r="B76" s="19" t="s">
        <v>995</v>
      </c>
      <c r="C76" s="12" t="s">
        <v>266</v>
      </c>
      <c r="D76" s="12" t="s">
        <v>748</v>
      </c>
      <c r="E76" s="19" t="s">
        <v>953</v>
      </c>
      <c r="F76" s="12" t="s">
        <v>749</v>
      </c>
      <c r="G76" s="12" t="s">
        <v>795</v>
      </c>
      <c r="H76" s="12" t="s">
        <v>266</v>
      </c>
      <c r="I76" s="19" t="s">
        <v>266</v>
      </c>
    </row>
    <row r="77" spans="1:9" ht="12">
      <c r="A77" s="23" t="s">
        <v>641</v>
      </c>
      <c r="B77" s="19" t="s">
        <v>995</v>
      </c>
      <c r="C77" s="12" t="s">
        <v>266</v>
      </c>
      <c r="D77" s="12" t="s">
        <v>769</v>
      </c>
      <c r="E77" s="19" t="s">
        <v>953</v>
      </c>
      <c r="F77" s="12" t="s">
        <v>769</v>
      </c>
      <c r="G77" s="12" t="s">
        <v>740</v>
      </c>
      <c r="H77" s="12" t="s">
        <v>832</v>
      </c>
      <c r="I77" s="19" t="s">
        <v>266</v>
      </c>
    </row>
    <row r="78" spans="1:9" ht="12">
      <c r="A78" s="23" t="s">
        <v>642</v>
      </c>
      <c r="B78" s="19" t="s">
        <v>995</v>
      </c>
      <c r="C78" s="12" t="s">
        <v>266</v>
      </c>
      <c r="D78" s="12" t="s">
        <v>643</v>
      </c>
      <c r="E78" s="19" t="s">
        <v>953</v>
      </c>
      <c r="F78" s="12" t="s">
        <v>1096</v>
      </c>
      <c r="G78" s="12" t="s">
        <v>1097</v>
      </c>
      <c r="H78" s="12" t="s">
        <v>776</v>
      </c>
      <c r="I78" s="19" t="s">
        <v>841</v>
      </c>
    </row>
    <row r="79" spans="1:9" ht="12">
      <c r="A79" s="23" t="s">
        <v>128</v>
      </c>
      <c r="B79" s="19" t="s">
        <v>995</v>
      </c>
      <c r="C79" s="12" t="s">
        <v>266</v>
      </c>
      <c r="D79" s="12" t="s">
        <v>843</v>
      </c>
      <c r="E79" s="19" t="s">
        <v>953</v>
      </c>
      <c r="F79" s="12" t="s">
        <v>763</v>
      </c>
      <c r="G79" s="12" t="s">
        <v>266</v>
      </c>
      <c r="H79" s="12" t="s">
        <v>266</v>
      </c>
      <c r="I79" s="19" t="s">
        <v>266</v>
      </c>
    </row>
    <row r="80" spans="1:9" ht="12">
      <c r="A80" s="23" t="s">
        <v>645</v>
      </c>
      <c r="B80" s="19" t="s">
        <v>995</v>
      </c>
      <c r="C80" s="12" t="s">
        <v>266</v>
      </c>
      <c r="D80" s="12" t="s">
        <v>810</v>
      </c>
      <c r="E80" s="19" t="s">
        <v>835</v>
      </c>
      <c r="F80" s="12" t="s">
        <v>701</v>
      </c>
      <c r="G80" s="12" t="s">
        <v>794</v>
      </c>
      <c r="H80" s="12" t="s">
        <v>266</v>
      </c>
      <c r="I80" s="19" t="s">
        <v>266</v>
      </c>
    </row>
    <row r="81" spans="1:9" ht="12">
      <c r="A81" s="23" t="s">
        <v>648</v>
      </c>
      <c r="B81" s="19" t="s">
        <v>995</v>
      </c>
      <c r="C81" s="12" t="s">
        <v>266</v>
      </c>
      <c r="D81" s="12" t="s">
        <v>756</v>
      </c>
      <c r="E81" s="19" t="s">
        <v>953</v>
      </c>
      <c r="F81" s="12" t="s">
        <v>266</v>
      </c>
      <c r="G81" s="12" t="s">
        <v>266</v>
      </c>
      <c r="H81" s="12" t="s">
        <v>778</v>
      </c>
      <c r="I81" s="19" t="s">
        <v>266</v>
      </c>
    </row>
    <row r="82" spans="1:9" ht="12">
      <c r="A82" s="23" t="s">
        <v>650</v>
      </c>
      <c r="B82" s="19" t="s">
        <v>995</v>
      </c>
      <c r="C82" s="12" t="s">
        <v>266</v>
      </c>
      <c r="D82" s="12" t="s">
        <v>780</v>
      </c>
      <c r="E82" s="19" t="s">
        <v>953</v>
      </c>
      <c r="F82" s="12" t="s">
        <v>836</v>
      </c>
      <c r="G82" s="12" t="s">
        <v>266</v>
      </c>
      <c r="H82" s="12" t="s">
        <v>279</v>
      </c>
      <c r="I82" s="19" t="s">
        <v>266</v>
      </c>
    </row>
    <row r="83" spans="1:9" s="16" customFormat="1" ht="12">
      <c r="A83" s="23" t="s">
        <v>668</v>
      </c>
      <c r="B83" s="19" t="s">
        <v>995</v>
      </c>
      <c r="C83" s="12" t="s">
        <v>266</v>
      </c>
      <c r="D83" s="12" t="s">
        <v>836</v>
      </c>
      <c r="E83" s="12" t="s">
        <v>266</v>
      </c>
      <c r="F83" s="12" t="s">
        <v>266</v>
      </c>
      <c r="G83" s="12" t="s">
        <v>266</v>
      </c>
      <c r="H83" s="12" t="s">
        <v>827</v>
      </c>
      <c r="I83" s="19" t="s">
        <v>266</v>
      </c>
    </row>
    <row r="84" spans="1:9" ht="12">
      <c r="A84" s="23" t="s">
        <v>947</v>
      </c>
      <c r="B84" s="12" t="s">
        <v>909</v>
      </c>
      <c r="C84" s="12" t="s">
        <v>266</v>
      </c>
      <c r="D84" s="12" t="s">
        <v>266</v>
      </c>
      <c r="E84" s="12" t="s">
        <v>266</v>
      </c>
      <c r="F84" s="12" t="s">
        <v>266</v>
      </c>
      <c r="G84" s="12" t="s">
        <v>266</v>
      </c>
      <c r="H84" s="12" t="s">
        <v>266</v>
      </c>
      <c r="I84" s="29" t="s">
        <v>266</v>
      </c>
    </row>
    <row r="85" spans="1:9" ht="12">
      <c r="A85" s="23" t="s">
        <v>652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29" t="s">
        <v>670</v>
      </c>
    </row>
    <row r="86" spans="1:9" ht="12">
      <c r="A86" s="23" t="s">
        <v>654</v>
      </c>
      <c r="B86" s="12" t="s">
        <v>670</v>
      </c>
      <c r="C86" s="12" t="s">
        <v>670</v>
      </c>
      <c r="D86" s="12" t="s">
        <v>670</v>
      </c>
      <c r="E86" s="12" t="s">
        <v>670</v>
      </c>
      <c r="F86" s="12" t="s">
        <v>670</v>
      </c>
      <c r="G86" s="12" t="s">
        <v>670</v>
      </c>
      <c r="H86" s="12" t="s">
        <v>670</v>
      </c>
      <c r="I86" s="29" t="s">
        <v>670</v>
      </c>
    </row>
    <row r="87" spans="1:9" s="15" customFormat="1" ht="12">
      <c r="A87" s="23" t="s">
        <v>656</v>
      </c>
      <c r="B87" s="12" t="s">
        <v>670</v>
      </c>
      <c r="C87" s="12" t="s">
        <v>670</v>
      </c>
      <c r="D87" s="12" t="s">
        <v>670</v>
      </c>
      <c r="E87" s="12" t="s">
        <v>670</v>
      </c>
      <c r="F87" s="12" t="s">
        <v>670</v>
      </c>
      <c r="G87" s="12" t="s">
        <v>670</v>
      </c>
      <c r="H87" s="12" t="s">
        <v>670</v>
      </c>
      <c r="I87" s="29" t="s">
        <v>670</v>
      </c>
    </row>
    <row r="88" spans="1:9" s="15" customFormat="1" ht="12">
      <c r="A88" s="23" t="s">
        <v>949</v>
      </c>
      <c r="B88" s="12" t="s">
        <v>909</v>
      </c>
      <c r="C88" s="12" t="s">
        <v>266</v>
      </c>
      <c r="D88" s="12" t="s">
        <v>266</v>
      </c>
      <c r="E88" s="12" t="s">
        <v>266</v>
      </c>
      <c r="F88" s="12" t="s">
        <v>266</v>
      </c>
      <c r="G88" s="12" t="s">
        <v>266</v>
      </c>
      <c r="H88" s="12" t="s">
        <v>266</v>
      </c>
      <c r="I88" s="29" t="s">
        <v>266</v>
      </c>
    </row>
    <row r="89" spans="1:9" s="15" customFormat="1" ht="12">
      <c r="A89" s="23" t="s">
        <v>951</v>
      </c>
      <c r="B89" s="12" t="s">
        <v>909</v>
      </c>
      <c r="C89" s="12" t="s">
        <v>266</v>
      </c>
      <c r="D89" s="12" t="s">
        <v>266</v>
      </c>
      <c r="E89" s="12" t="s">
        <v>266</v>
      </c>
      <c r="F89" s="12" t="s">
        <v>266</v>
      </c>
      <c r="G89" s="12" t="s">
        <v>266</v>
      </c>
      <c r="H89" s="12" t="s">
        <v>266</v>
      </c>
      <c r="I89" s="29" t="s">
        <v>266</v>
      </c>
    </row>
    <row r="90" spans="1:9" ht="12">
      <c r="A90" s="23" t="s">
        <v>952</v>
      </c>
      <c r="B90" s="12" t="s">
        <v>909</v>
      </c>
      <c r="C90" s="12" t="s">
        <v>266</v>
      </c>
      <c r="D90" s="12" t="s">
        <v>266</v>
      </c>
      <c r="E90" s="12" t="s">
        <v>266</v>
      </c>
      <c r="F90" s="12" t="s">
        <v>266</v>
      </c>
      <c r="G90" s="12" t="s">
        <v>266</v>
      </c>
      <c r="H90" s="12" t="s">
        <v>266</v>
      </c>
      <c r="I90" s="29" t="s">
        <v>266</v>
      </c>
    </row>
    <row r="91" spans="1:9" ht="12">
      <c r="A91" s="23" t="s">
        <v>658</v>
      </c>
      <c r="B91" s="12" t="s">
        <v>670</v>
      </c>
      <c r="C91" s="12" t="s">
        <v>670</v>
      </c>
      <c r="D91" s="12" t="s">
        <v>670</v>
      </c>
      <c r="E91" s="12" t="s">
        <v>670</v>
      </c>
      <c r="F91" s="12" t="s">
        <v>670</v>
      </c>
      <c r="G91" s="12" t="s">
        <v>670</v>
      </c>
      <c r="H91" s="12" t="s">
        <v>670</v>
      </c>
      <c r="I91" s="29" t="s">
        <v>670</v>
      </c>
    </row>
    <row r="92" spans="1:9" ht="12">
      <c r="A92" s="24" t="s">
        <v>660</v>
      </c>
      <c r="B92" s="18" t="s">
        <v>670</v>
      </c>
      <c r="C92" s="18" t="s">
        <v>670</v>
      </c>
      <c r="D92" s="18" t="s">
        <v>670</v>
      </c>
      <c r="E92" s="18" t="s">
        <v>670</v>
      </c>
      <c r="F92" s="18" t="s">
        <v>670</v>
      </c>
      <c r="G92" s="18" t="s">
        <v>670</v>
      </c>
      <c r="H92" s="18" t="s">
        <v>670</v>
      </c>
      <c r="I92" s="30" t="s">
        <v>670</v>
      </c>
    </row>
    <row r="95" spans="1:9">
      <c r="B95" s="16"/>
      <c r="C95" s="16"/>
      <c r="D95" s="16"/>
      <c r="E95" s="16"/>
      <c r="F95" s="16"/>
      <c r="G95" s="16"/>
      <c r="H95" s="16"/>
      <c r="I95" s="16"/>
    </row>
    <row r="102" spans="2:9">
      <c r="B102" s="15"/>
      <c r="C102" s="15"/>
      <c r="D102" s="15"/>
      <c r="E102" s="15"/>
      <c r="F102" s="15"/>
      <c r="G102" s="15"/>
      <c r="H102" s="15"/>
      <c r="I102" s="15"/>
    </row>
    <row r="103" spans="2:9">
      <c r="B103" s="15"/>
      <c r="C103" s="15"/>
      <c r="D103" s="15"/>
      <c r="E103" s="15"/>
      <c r="F103" s="15"/>
      <c r="G103" s="15"/>
      <c r="H103" s="15"/>
      <c r="I103" s="15"/>
    </row>
    <row r="104" spans="2:9">
      <c r="B104" s="15"/>
      <c r="C104" s="15"/>
      <c r="D104" s="15"/>
      <c r="E104" s="15"/>
      <c r="F104" s="15"/>
      <c r="G104" s="15"/>
      <c r="H104" s="15"/>
      <c r="I104" s="15"/>
    </row>
  </sheetData>
  <autoFilter ref="A1:I92" xr:uid="{279B3E32-A919-4505-A4D0-B1ADDF1DA672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8" tint="0.79998168889431442"/>
  </sheetPr>
  <dimension ref="A1:F91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196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>|:---|:---|:---|:---|:---|</v>
      </c>
    </row>
    <row r="3" spans="1:6" ht="11.25" customHeight="1">
      <c r="A3" s="1" t="s">
        <v>0</v>
      </c>
      <c r="D3" s="2" t="s">
        <v>92</v>
      </c>
      <c r="E3" s="2" t="s">
        <v>93</v>
      </c>
      <c r="F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>|Ctrl|||d|ブックマーク登録|</v>
      </c>
    </row>
    <row r="4" spans="1:6" ht="11.25" customHeight="1">
      <c r="C4" s="1" t="s">
        <v>2</v>
      </c>
      <c r="D4" s="2" t="s">
        <v>95</v>
      </c>
      <c r="E4" s="2" t="s">
        <v>94</v>
      </c>
      <c r="F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>|||Alt|Left/Right|戻る/進む|</v>
      </c>
    </row>
    <row r="5" spans="1:6" ht="11.25" customHeight="1">
      <c r="F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" spans="1:6" ht="11.25" customHeight="1">
      <c r="F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" spans="1:6" ht="11.25" customHeight="1">
      <c r="F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" spans="1:6" ht="11.25" customHeight="1">
      <c r="F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9" spans="1:6" ht="11.25" customHeight="1">
      <c r="D9" s="6"/>
      <c r="F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0" spans="1:6" ht="11.25" customHeight="1">
      <c r="F1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1" spans="1:6" ht="11.25" customHeight="1">
      <c r="F1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2" spans="1:6" ht="11.25" customHeight="1">
      <c r="F1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3" spans="1:6" ht="11.25" customHeight="1">
      <c r="F1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4" spans="1:6" ht="11.25" customHeight="1">
      <c r="F1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5" spans="1:6" ht="11.25" customHeight="1">
      <c r="F1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6" spans="1:6" ht="11.25" customHeight="1">
      <c r="F1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7" spans="6:6" ht="11.25" customHeight="1">
      <c r="F1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8" spans="6:6" ht="11.25" customHeight="1">
      <c r="F1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19" spans="6:6" ht="11.25" customHeight="1">
      <c r="F1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0" spans="6:6" ht="11.25" customHeight="1">
      <c r="F2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1" spans="6:6" ht="11.25" customHeight="1">
      <c r="F2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2" spans="6:6" ht="11.25" customHeight="1">
      <c r="F2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3" spans="6:6" ht="11.25" customHeight="1">
      <c r="F2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4" spans="6:6" ht="11.25" customHeight="1">
      <c r="F2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5" spans="6:6" ht="11.25" customHeight="1">
      <c r="F2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6" spans="6:6" ht="11.25" customHeight="1">
      <c r="F2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7" spans="6:6" ht="11.25" customHeight="1">
      <c r="F2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8" spans="6:6" ht="11.25" customHeight="1">
      <c r="F2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29" spans="6:6" ht="11.25" customHeight="1">
      <c r="F2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0" spans="6:6" ht="11.25" customHeight="1">
      <c r="F3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1" spans="6:6" ht="11.25" customHeight="1">
      <c r="F3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2" spans="6:6" ht="11.25" customHeight="1">
      <c r="F3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3" spans="6:6" ht="11.25" customHeight="1">
      <c r="F3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4" spans="6:6" ht="11.25" customHeight="1">
      <c r="F3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5" spans="6:6" ht="11.25" customHeight="1">
      <c r="F3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6" spans="6:6" ht="11.25" customHeight="1">
      <c r="F3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7" spans="6:6" ht="11.25" customHeight="1">
      <c r="F3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8" spans="6:6" ht="11.25" customHeight="1">
      <c r="F3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39" spans="6:6" ht="11.25" customHeight="1">
      <c r="F3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0" spans="6:6" ht="11.25" customHeight="1">
      <c r="F4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1" spans="6:6" ht="11.25" customHeight="1">
      <c r="F4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2" spans="6:6" ht="11.25" customHeight="1">
      <c r="F4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3" spans="6:6" ht="11.25" customHeight="1">
      <c r="F4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4" spans="6:6" ht="11.25" customHeight="1">
      <c r="F4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5" spans="6:6" ht="11.25" customHeight="1">
      <c r="F4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6" spans="6:6" ht="11.25" customHeight="1">
      <c r="F4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7" spans="6:6" ht="11.25" customHeight="1">
      <c r="F4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8" spans="6:6" ht="11.25" customHeight="1">
      <c r="F4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49" spans="6:6" ht="11.25" customHeight="1">
      <c r="F4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0" spans="6:6" ht="11.25" customHeight="1">
      <c r="F5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1" spans="6:6" ht="11.25" customHeight="1">
      <c r="F5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2" spans="6:6" ht="11.25" customHeight="1">
      <c r="F5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3" spans="6:6" ht="11.25" customHeight="1">
      <c r="F5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4" spans="6:6" ht="11.25" customHeight="1">
      <c r="F5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5" spans="6:6" ht="11.25" customHeight="1">
      <c r="F5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6" spans="6:6" ht="11.25" customHeight="1">
      <c r="F5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7" spans="6:6" ht="11.25" customHeight="1">
      <c r="F5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8" spans="6:6" ht="11.25" customHeight="1">
      <c r="F5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59" spans="6:6" ht="11.25" customHeight="1">
      <c r="F5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0" spans="6:6" ht="11.25" customHeight="1">
      <c r="F6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1" spans="6:6" ht="11.25" customHeight="1">
      <c r="F6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2" spans="6:6" ht="11.25" customHeight="1">
      <c r="F6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3" spans="6:6" ht="11.25" customHeight="1">
      <c r="F6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4" spans="6:6" ht="11.25" customHeight="1">
      <c r="F6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5" spans="6:6" ht="11.25" customHeight="1">
      <c r="F6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6" spans="6:6" ht="11.25" customHeight="1">
      <c r="F6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7" spans="6:6" ht="11.25" customHeight="1">
      <c r="F6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8" spans="6:6" ht="11.25" customHeight="1">
      <c r="F6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69" spans="6:6" ht="11.25" customHeight="1">
      <c r="F6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0" spans="6:6" ht="11.25" customHeight="1">
      <c r="F7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1" spans="6:6" ht="11.25" customHeight="1">
      <c r="F7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2" spans="6:6" ht="11.25" customHeight="1">
      <c r="F7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3" spans="6:6" ht="11.25" customHeight="1">
      <c r="F7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4" spans="6:6" ht="11.25" customHeight="1">
      <c r="F7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5" spans="6:6" ht="11.25" customHeight="1">
      <c r="F7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6" spans="6:6" ht="11.25" customHeight="1">
      <c r="F7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7" spans="6:6" ht="11.25" customHeight="1">
      <c r="F7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8" spans="6:6" ht="11.25" customHeight="1">
      <c r="F7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79" spans="6:6" ht="11.25" customHeight="1">
      <c r="F7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0" spans="6:6" ht="11.25" customHeight="1">
      <c r="F8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1" spans="6:6" ht="11.25" customHeight="1">
      <c r="F8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2" spans="6:6" ht="11.25" customHeight="1">
      <c r="F82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3" spans="6:6" ht="11.25" customHeight="1">
      <c r="F83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4" spans="6:6" ht="11.25" customHeight="1">
      <c r="F84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5" spans="6:6" ht="11.25" customHeight="1">
      <c r="F85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6" spans="6:6" ht="11.25" customHeight="1">
      <c r="F86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7" spans="6:6" ht="11.25" customHeight="1">
      <c r="F87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8" spans="6:6" ht="11.25" customHeight="1">
      <c r="F88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89" spans="6:6" ht="11.25" customHeight="1">
      <c r="F89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90" spans="6:6" ht="11.25" customHeight="1">
      <c r="F90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  <row r="91" spans="6:6" ht="11.25" customHeight="1">
      <c r="F91" s="3" t="str">
        <f>IF(ISBLANK(テーブル134[[#This Row],[機能]]),"","|"&amp;テーブル134[[#This Row],[Ctrl]]&amp;"|"&amp;テーブル134[[#This Row],[Shift]]&amp;"|"&amp;テーブル134[[#This Row],[Alt]]&amp;"|"&amp;テーブル134[[#This Row],[Key]]&amp;"|"&amp;テーブル134[[#This Row],[機能]]&amp;"|")</f>
        <v/>
      </c>
    </row>
  </sheetData>
  <phoneticPr fontId="4"/>
  <dataValidations count="3">
    <dataValidation type="list" allowBlank="1" showInputMessage="1" showErrorMessage="1" sqref="C3:C91" xr:uid="{00000000-0002-0000-0100-000000000000}">
      <formula1>"Alt"</formula1>
    </dataValidation>
    <dataValidation type="list" allowBlank="1" showInputMessage="1" sqref="B3:B91" xr:uid="{00000000-0002-0000-0100-000001000000}">
      <formula1>"Shift"</formula1>
    </dataValidation>
    <dataValidation type="list" allowBlank="1" showInputMessage="1" sqref="A3:A91" xr:uid="{00000000-0002-0000-0100-000002000000}">
      <formula1>"Ctrl"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theme="8" tint="0.79998168889431442"/>
  </sheetPr>
  <dimension ref="A1:F90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196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|:---|:---|:---|:---|:---|</v>
      </c>
    </row>
    <row r="3" spans="1:6" ht="11.25" customHeight="1">
      <c r="D3" s="2" t="s">
        <v>63</v>
      </c>
      <c r="E3" s="2" t="s">
        <v>64</v>
      </c>
      <c r="F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||||Right/Left|スレッド 広げる/折りたたむ|</v>
      </c>
    </row>
    <row r="4" spans="1:6" ht="11.25" customHeight="1">
      <c r="A4" s="1" t="s">
        <v>77</v>
      </c>
      <c r="D4" s="2" t="s">
        <v>62</v>
      </c>
      <c r="E4" s="2" t="s">
        <v>61</v>
      </c>
      <c r="F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|Ctrl|||*/\|全スレッド 広げる/折りたたむ|</v>
      </c>
    </row>
    <row r="5" spans="1:6" ht="11.25" customHeight="1">
      <c r="D5" s="2" t="s">
        <v>56</v>
      </c>
      <c r="E5" s="2" t="s">
        <v>59</v>
      </c>
      <c r="F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||||m|既読/未読 メッセージ|</v>
      </c>
    </row>
    <row r="6" spans="1:6" ht="11.25" customHeight="1">
      <c r="D6" s="2" t="s">
        <v>57</v>
      </c>
      <c r="E6" s="2" t="s">
        <v>60</v>
      </c>
      <c r="F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||||r|既読/未読 スレッド|</v>
      </c>
    </row>
    <row r="7" spans="1:6" ht="11.25" customHeight="1">
      <c r="B7" s="1" t="s">
        <v>396</v>
      </c>
      <c r="D7" s="2" t="s">
        <v>54</v>
      </c>
      <c r="E7" s="2" t="s">
        <v>395</v>
      </c>
      <c r="F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||/Shift||j|迷惑マーク 付与/解除|</v>
      </c>
    </row>
    <row r="8" spans="1:6" ht="11.25" customHeight="1">
      <c r="D8" s="6" t="s">
        <v>58</v>
      </c>
      <c r="E8" s="2" t="s">
        <v>66</v>
      </c>
      <c r="F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||||s|スター 付与/解除|</v>
      </c>
    </row>
    <row r="9" spans="1:6" ht="11.25" customHeight="1">
      <c r="D9" s="2" t="s">
        <v>76</v>
      </c>
      <c r="E9" s="2" t="s">
        <v>82</v>
      </c>
      <c r="F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||||f/b|メッセージ選択切替 次/前|</v>
      </c>
    </row>
    <row r="10" spans="1:6" ht="11.25" customHeight="1">
      <c r="D10" s="2" t="s">
        <v>78</v>
      </c>
      <c r="E10" s="2" t="s">
        <v>81</v>
      </c>
      <c r="F1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||||n/p|メッセージ選択切替(未読) 次/前|</v>
      </c>
    </row>
    <row r="11" spans="1:6" ht="11.25" customHeight="1">
      <c r="B11" s="1" t="s">
        <v>84</v>
      </c>
      <c r="D11" s="2" t="s">
        <v>52</v>
      </c>
      <c r="E11" s="2" t="s">
        <v>80</v>
      </c>
      <c r="F1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||/Shift||Tab|フォーカス切替 UI要素 次/前|</v>
      </c>
    </row>
    <row r="12" spans="1:6" ht="11.25" customHeight="1">
      <c r="B12" s="1" t="s">
        <v>84</v>
      </c>
      <c r="D12" s="2" t="s">
        <v>53</v>
      </c>
      <c r="E12" s="2" t="s">
        <v>79</v>
      </c>
      <c r="F1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||/Shift||F6|フォーカス切替 メールペイン 次/前|</v>
      </c>
    </row>
    <row r="13" spans="1:6" ht="11.25" customHeight="1">
      <c r="A13" s="1" t="s">
        <v>0</v>
      </c>
      <c r="D13" s="2" t="s">
        <v>68</v>
      </c>
      <c r="E13" s="2" t="s">
        <v>67</v>
      </c>
      <c r="F1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|Ctrl|||n|新規メッセージ|</v>
      </c>
    </row>
    <row r="14" spans="1:6" ht="11.25" customHeight="1">
      <c r="A14" s="1" t="s">
        <v>0</v>
      </c>
      <c r="B14" s="1" t="s">
        <v>84</v>
      </c>
      <c r="D14" s="2" t="s">
        <v>69</v>
      </c>
      <c r="E14" s="2" t="s">
        <v>83</v>
      </c>
      <c r="F1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|Ctrl|/Shift||r|返信(送信者のみ/全受信者)|</v>
      </c>
    </row>
    <row r="15" spans="1:6" ht="11.25" customHeight="1">
      <c r="A15" s="1" t="s">
        <v>0</v>
      </c>
      <c r="D15" s="2" t="s">
        <v>71</v>
      </c>
      <c r="E15" s="2" t="s">
        <v>70</v>
      </c>
      <c r="F1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|Ctrl|||+/-|ズーム In/Out|</v>
      </c>
    </row>
    <row r="16" spans="1:6" ht="11.25" customHeight="1">
      <c r="A16" s="1" t="s">
        <v>0</v>
      </c>
      <c r="B16" s="1" t="s">
        <v>1</v>
      </c>
      <c r="D16" s="2" t="s">
        <v>72</v>
      </c>
      <c r="E16" s="2" t="s">
        <v>73</v>
      </c>
      <c r="F1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|Ctrl|Shift||k|検索 クイックフィルター|</v>
      </c>
    </row>
    <row r="17" spans="1:6" ht="11.25" customHeight="1">
      <c r="A17" s="1" t="s">
        <v>0</v>
      </c>
      <c r="B17" s="1" t="s">
        <v>1</v>
      </c>
      <c r="D17" s="2" t="s">
        <v>75</v>
      </c>
      <c r="E17" s="2" t="s">
        <v>74</v>
      </c>
      <c r="F1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|Ctrl|Shift||f|検索 フォルダー内の詳細検索|</v>
      </c>
    </row>
    <row r="18" spans="1:6" ht="11.25" customHeight="1">
      <c r="A18" s="1" t="s">
        <v>0</v>
      </c>
      <c r="B18" s="1" t="s">
        <v>65</v>
      </c>
      <c r="D18" s="2" t="s">
        <v>55</v>
      </c>
      <c r="E18" s="2" t="s">
        <v>85</v>
      </c>
      <c r="F1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|Ctrl|/Shift||Tab|タブ移動 次/前|</v>
      </c>
    </row>
    <row r="19" spans="1:6" ht="11.25" customHeight="1">
      <c r="A19" s="1" t="s">
        <v>0</v>
      </c>
      <c r="B19" s="1" t="s">
        <v>1</v>
      </c>
      <c r="D19" s="2" t="s">
        <v>86</v>
      </c>
      <c r="E19" s="2" t="s">
        <v>87</v>
      </c>
      <c r="F1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|Ctrl|Shift||c|カレンダータブ|</v>
      </c>
    </row>
    <row r="20" spans="1:6" ht="11.25" customHeight="1">
      <c r="A20" s="1" t="s">
        <v>0</v>
      </c>
      <c r="D20" s="2" t="s">
        <v>89</v>
      </c>
      <c r="E20" s="2" t="s">
        <v>88</v>
      </c>
      <c r="F2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|Ctrl|||i|新しい予定＠カレンダータブ|</v>
      </c>
    </row>
    <row r="21" spans="1:6" ht="11.25" customHeight="1">
      <c r="A21" s="1" t="s">
        <v>77</v>
      </c>
      <c r="D21" s="2" t="s">
        <v>90</v>
      </c>
      <c r="E21" s="2" t="s">
        <v>91</v>
      </c>
      <c r="F2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>|Ctrl|||d|新しいToDo＠カレンダータブ|</v>
      </c>
    </row>
    <row r="22" spans="1:6" ht="11.25" customHeight="1">
      <c r="F2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23" spans="1:6" ht="11.25" customHeight="1">
      <c r="F2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24" spans="1:6" ht="11.25" customHeight="1">
      <c r="F2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25" spans="1:6" ht="11.25" customHeight="1">
      <c r="F2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26" spans="1:6" ht="11.25" customHeight="1">
      <c r="F2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27" spans="1:6" ht="11.25" customHeight="1">
      <c r="F2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28" spans="1:6" ht="11.25" customHeight="1">
      <c r="F2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29" spans="1:6" ht="11.25" customHeight="1">
      <c r="F2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0" spans="1:6" ht="11.25" customHeight="1">
      <c r="F3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1" spans="1:6" ht="11.25" customHeight="1">
      <c r="F3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2" spans="1:6" ht="11.25" customHeight="1">
      <c r="F3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3" spans="6:6" ht="11.25" customHeight="1">
      <c r="F3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4" spans="6:6" ht="11.25" customHeight="1">
      <c r="F3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5" spans="6:6" ht="11.25" customHeight="1">
      <c r="F3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6" spans="6:6" ht="11.25" customHeight="1">
      <c r="F3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7" spans="6:6" ht="11.25" customHeight="1">
      <c r="F3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8" spans="6:6" ht="11.25" customHeight="1">
      <c r="F3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39" spans="6:6" ht="11.25" customHeight="1">
      <c r="F3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0" spans="6:6" ht="11.25" customHeight="1">
      <c r="F4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1" spans="6:6" ht="11.25" customHeight="1">
      <c r="F4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2" spans="6:6" ht="11.25" customHeight="1">
      <c r="F4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3" spans="6:6" ht="11.25" customHeight="1">
      <c r="F4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4" spans="6:6" ht="11.25" customHeight="1">
      <c r="F4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5" spans="6:6" ht="11.25" customHeight="1">
      <c r="F4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6" spans="6:6" ht="11.25" customHeight="1">
      <c r="F4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7" spans="6:6" ht="11.25" customHeight="1">
      <c r="F4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8" spans="6:6" ht="11.25" customHeight="1">
      <c r="F4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49" spans="6:6" ht="11.25" customHeight="1">
      <c r="F4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0" spans="6:6" ht="11.25" customHeight="1">
      <c r="F5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1" spans="6:6" ht="11.25" customHeight="1">
      <c r="F5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2" spans="6:6" ht="11.25" customHeight="1">
      <c r="F5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3" spans="6:6" ht="11.25" customHeight="1">
      <c r="F5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4" spans="6:6" ht="11.25" customHeight="1">
      <c r="F5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5" spans="6:6" ht="11.25" customHeight="1">
      <c r="F5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6" spans="6:6" ht="11.25" customHeight="1">
      <c r="F5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7" spans="6:6" ht="11.25" customHeight="1">
      <c r="F5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8" spans="6:6" ht="11.25" customHeight="1">
      <c r="F5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59" spans="6:6" ht="11.25" customHeight="1">
      <c r="F5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0" spans="6:6" ht="11.25" customHeight="1">
      <c r="F6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1" spans="6:6" ht="11.25" customHeight="1">
      <c r="F6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2" spans="6:6" ht="11.25" customHeight="1">
      <c r="F6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3" spans="6:6" ht="11.25" customHeight="1">
      <c r="F6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4" spans="6:6" ht="11.25" customHeight="1">
      <c r="F6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5" spans="6:6" ht="11.25" customHeight="1">
      <c r="F6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6" spans="6:6" ht="11.25" customHeight="1">
      <c r="F6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7" spans="6:6" ht="11.25" customHeight="1">
      <c r="F6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8" spans="6:6" ht="11.25" customHeight="1">
      <c r="F6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69" spans="6:6" ht="11.25" customHeight="1">
      <c r="F6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0" spans="6:6" ht="11.25" customHeight="1">
      <c r="F7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1" spans="6:6" ht="11.25" customHeight="1">
      <c r="F7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2" spans="6:6" ht="11.25" customHeight="1">
      <c r="F7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3" spans="6:6" ht="11.25" customHeight="1">
      <c r="F7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4" spans="6:6" ht="11.25" customHeight="1">
      <c r="F7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5" spans="6:6" ht="11.25" customHeight="1">
      <c r="F7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6" spans="6:6" ht="11.25" customHeight="1">
      <c r="F7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7" spans="6:6" ht="11.25" customHeight="1">
      <c r="F7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8" spans="6:6" ht="11.25" customHeight="1">
      <c r="F7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79" spans="6:6" ht="11.25" customHeight="1">
      <c r="F7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0" spans="6:6" ht="11.25" customHeight="1">
      <c r="F8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1" spans="6:6" ht="11.25" customHeight="1">
      <c r="F81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2" spans="6:6" ht="11.25" customHeight="1">
      <c r="F82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3" spans="6:6" ht="11.25" customHeight="1">
      <c r="F83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4" spans="6:6" ht="11.25" customHeight="1">
      <c r="F84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5" spans="6:6" ht="11.25" customHeight="1">
      <c r="F85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6" spans="6:6" ht="11.25" customHeight="1">
      <c r="F86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7" spans="6:6" ht="11.25" customHeight="1">
      <c r="F87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8" spans="6:6" ht="11.25" customHeight="1">
      <c r="F88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89" spans="6:6" ht="11.25" customHeight="1">
      <c r="F89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  <row r="90" spans="6:6" ht="11.25" customHeight="1">
      <c r="F90" s="3" t="str">
        <f>IF(ISBLANK(テーブル13[[#This Row],[機能]]),"","|"&amp;テーブル13[[#This Row],[Ctrl]]&amp;"|"&amp;テーブル13[[#This Row],[Shift]]&amp;"|"&amp;テーブル13[[#This Row],[Alt]]&amp;"|"&amp;テーブル13[[#This Row],[Key]]&amp;"|"&amp;テーブル13[[#This Row],[機能]]&amp;"|")</f>
        <v/>
      </c>
    </row>
  </sheetData>
  <phoneticPr fontId="4"/>
  <dataValidations count="3">
    <dataValidation type="list" allowBlank="1" showInputMessage="1" sqref="A3:A90" xr:uid="{00000000-0002-0000-0200-000000000000}">
      <formula1>"Ctrl"</formula1>
    </dataValidation>
    <dataValidation type="list" allowBlank="1" showInputMessage="1" sqref="B3:B90" xr:uid="{00000000-0002-0000-0200-000001000000}">
      <formula1>"Shift"</formula1>
    </dataValidation>
    <dataValidation type="list" allowBlank="1" showInputMessage="1" showErrorMessage="1" sqref="C3:C90" xr:uid="{00000000-0002-0000-0200-000002000000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theme="8" tint="0.79998168889431442"/>
  </sheetPr>
  <dimension ref="A1:F99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196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|:---|:---|:---|:---|:---|</v>
      </c>
    </row>
    <row r="3" spans="1:6" ht="11.25" customHeight="1">
      <c r="A3" s="1" t="s">
        <v>0</v>
      </c>
      <c r="D3" s="2" t="s">
        <v>5</v>
      </c>
      <c r="E3" s="2" t="s">
        <v>6</v>
      </c>
      <c r="F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|Ctrl|||↑/↓|トピック 順番入替え|</v>
      </c>
    </row>
    <row r="4" spans="1:6" ht="11.25" customHeight="1">
      <c r="C4" s="1" t="s">
        <v>2</v>
      </c>
      <c r="D4" s="2" t="s">
        <v>7</v>
      </c>
      <c r="E4" s="2" t="s">
        <v>8</v>
      </c>
      <c r="F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|||Alt|1..9|トピック お気に入りアイコン|</v>
      </c>
    </row>
    <row r="5" spans="1:6" ht="11.25" customHeight="1">
      <c r="A5" s="1" t="s">
        <v>0</v>
      </c>
      <c r="D5" s="2" t="s">
        <v>9</v>
      </c>
      <c r="E5" s="2" t="s">
        <v>10</v>
      </c>
      <c r="F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|Ctrl|||Delete|トピック 選択中トピックのみ削除|</v>
      </c>
    </row>
    <row r="6" spans="1:6" ht="11.25" customHeight="1">
      <c r="A6" s="1" t="s">
        <v>0</v>
      </c>
      <c r="D6" s="2" t="s">
        <v>11</v>
      </c>
      <c r="E6" s="2" t="s">
        <v>12</v>
      </c>
      <c r="F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|Ctrl|||k|トピック ハイパーリンク 挿入|</v>
      </c>
    </row>
    <row r="7" spans="1:6" ht="11.25" customHeight="1">
      <c r="A7" s="1" t="s">
        <v>0</v>
      </c>
      <c r="B7" s="1" t="s">
        <v>1</v>
      </c>
      <c r="D7" s="2" t="s">
        <v>13</v>
      </c>
      <c r="E7" s="2" t="s">
        <v>14</v>
      </c>
      <c r="F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|Ctrl|Shift||k|トピック ハイパーリンク 開く|</v>
      </c>
    </row>
    <row r="8" spans="1:6" ht="11.25" customHeight="1">
      <c r="D8" s="2" t="s">
        <v>15</v>
      </c>
      <c r="E8" s="2" t="s">
        <v>16</v>
      </c>
      <c r="F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||||p|タスク 進捗Up|</v>
      </c>
    </row>
    <row r="9" spans="1:6" ht="11.25" customHeight="1">
      <c r="B9" s="1" t="s">
        <v>1</v>
      </c>
      <c r="D9" s="2" t="s">
        <v>17</v>
      </c>
      <c r="E9" s="2" t="s">
        <v>18</v>
      </c>
      <c r="F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||Shift||p|タスク 完了(進捗Down)|</v>
      </c>
    </row>
    <row r="10" spans="1:6" ht="11.25" customHeight="1">
      <c r="D10" s="2" t="s">
        <v>19</v>
      </c>
      <c r="E10" s="2" t="s">
        <v>20</v>
      </c>
      <c r="F1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||||c|タスク コスト|</v>
      </c>
    </row>
    <row r="11" spans="1:6" ht="11.25" customHeight="1">
      <c r="D11" s="2" t="s">
        <v>21</v>
      </c>
      <c r="E11" s="2" t="s">
        <v>22</v>
      </c>
      <c r="F1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||||e|タスク 労力|</v>
      </c>
    </row>
    <row r="12" spans="1:6" ht="11.25" customHeight="1">
      <c r="A12" s="1" t="s">
        <v>0</v>
      </c>
      <c r="D12" s="6" t="s">
        <v>23</v>
      </c>
      <c r="E12" s="2" t="s">
        <v>24</v>
      </c>
      <c r="F1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|Ctrl|||1-5|タスク 優先度|</v>
      </c>
    </row>
    <row r="13" spans="1:6" ht="11.25" customHeight="1">
      <c r="A13" s="1" t="s">
        <v>0</v>
      </c>
      <c r="D13" s="2" t="s">
        <v>25</v>
      </c>
      <c r="E13" s="2" t="s">
        <v>26</v>
      </c>
      <c r="F1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|Ctrl|||+/-|フォント サイズUp/Down|</v>
      </c>
    </row>
    <row r="14" spans="1:6" ht="11.25" customHeight="1">
      <c r="A14" s="1" t="s">
        <v>0</v>
      </c>
      <c r="D14" s="2" t="s">
        <v>27</v>
      </c>
      <c r="E14" s="2" t="s">
        <v>28</v>
      </c>
      <c r="F1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|Ctrl|||b|フォント 太字|</v>
      </c>
    </row>
    <row r="15" spans="1:6" ht="11.25" customHeight="1">
      <c r="A15" s="1" t="s">
        <v>0</v>
      </c>
      <c r="D15" s="2" t="s">
        <v>29</v>
      </c>
      <c r="E15" s="2" t="s">
        <v>30</v>
      </c>
      <c r="F1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|Ctrl|||u|フォント イタリック|</v>
      </c>
    </row>
    <row r="16" spans="1:6" ht="11.25" customHeight="1">
      <c r="A16" s="1" t="s">
        <v>0</v>
      </c>
      <c r="B16" s="1" t="s">
        <v>1</v>
      </c>
      <c r="D16" s="2" t="s">
        <v>29</v>
      </c>
      <c r="E16" s="2" t="s">
        <v>31</v>
      </c>
      <c r="F1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|Ctrl|Shift||u|フォント 取り消し線(テキスト選択時)|</v>
      </c>
    </row>
    <row r="17" spans="1:6" ht="11.25" customHeight="1">
      <c r="A17" s="1" t="s">
        <v>0</v>
      </c>
      <c r="B17" s="1" t="s">
        <v>1</v>
      </c>
      <c r="D17" s="2" t="s">
        <v>32</v>
      </c>
      <c r="E17" s="2" t="s">
        <v>33</v>
      </c>
      <c r="F1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|Ctrl|Shift||t|表示 ノートウィンドウ View/Hide|</v>
      </c>
    </row>
    <row r="18" spans="1:6" ht="11.25" customHeight="1">
      <c r="D18" s="2" t="s">
        <v>34</v>
      </c>
      <c r="E18" s="2" t="s">
        <v>35</v>
      </c>
      <c r="F1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||||F4|表示 ノートウィンドウ View/Hide|</v>
      </c>
    </row>
    <row r="19" spans="1:6" ht="11.25" customHeight="1">
      <c r="A19" s="1" t="s">
        <v>0</v>
      </c>
      <c r="D19" s="2" t="s">
        <v>36</v>
      </c>
      <c r="E19" s="2" t="s">
        <v>37</v>
      </c>
      <c r="F1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|Ctrl|||t|表示 ノートモード切替(編集/閲覧)|</v>
      </c>
    </row>
    <row r="20" spans="1:6" ht="11.25" customHeight="1">
      <c r="A20" s="1" t="s">
        <v>0</v>
      </c>
      <c r="D20" s="2" t="s">
        <v>38</v>
      </c>
      <c r="E20" s="2" t="s">
        <v>39</v>
      </c>
      <c r="F2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|Ctrl|||0|表示 オートズームOn/Off|</v>
      </c>
    </row>
    <row r="21" spans="1:6" ht="11.25" customHeight="1">
      <c r="D21" s="2" t="s">
        <v>40</v>
      </c>
      <c r="E21" s="2" t="s">
        <v>41</v>
      </c>
      <c r="F2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||||.|表示 ブランチView/Hide|</v>
      </c>
    </row>
    <row r="22" spans="1:6" ht="11.25" customHeight="1">
      <c r="A22" s="1" t="s">
        <v>0</v>
      </c>
      <c r="D22" s="2" t="s">
        <v>42</v>
      </c>
      <c r="E22" s="2" t="s">
        <v>43</v>
      </c>
      <c r="F2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|Ctrl|||PgUp/Dn|表示 ズームIn/Out|</v>
      </c>
    </row>
    <row r="23" spans="1:6" ht="11.25" customHeight="1">
      <c r="A23" s="1" t="s">
        <v>0</v>
      </c>
      <c r="B23" s="1" t="s">
        <v>1</v>
      </c>
      <c r="D23" s="2" t="s">
        <v>44</v>
      </c>
      <c r="E23" s="2" t="s">
        <v>45</v>
      </c>
      <c r="F2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|Ctrl|Shift||f|表示 フォーカスモードOn/Off|</v>
      </c>
    </row>
    <row r="24" spans="1:6" ht="11.25" customHeight="1">
      <c r="A24" s="1" t="s">
        <v>0</v>
      </c>
      <c r="B24" s="1" t="s">
        <v>1</v>
      </c>
      <c r="D24" s="2" t="s">
        <v>46</v>
      </c>
      <c r="E24" s="2" t="s">
        <v>47</v>
      </c>
      <c r="F2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>|Ctrl|Shift||o|表示 アウトラインモードOn/Off|</v>
      </c>
    </row>
    <row r="25" spans="1:6" ht="11.25" customHeight="1">
      <c r="F2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26" spans="1:6" ht="11.25" customHeight="1">
      <c r="F2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27" spans="1:6" ht="11.25" customHeight="1">
      <c r="F2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28" spans="1:6" ht="11.25" customHeight="1">
      <c r="F2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29" spans="1:6" ht="11.25" customHeight="1">
      <c r="F2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0" spans="1:6" ht="11.25" customHeight="1">
      <c r="F3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1" spans="1:6" ht="11.25" customHeight="1">
      <c r="F3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2" spans="1:6" ht="11.25" customHeight="1">
      <c r="F3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3" spans="6:6" ht="11.25" customHeight="1">
      <c r="F3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4" spans="6:6" ht="11.25" customHeight="1">
      <c r="F3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5" spans="6:6" ht="11.25" customHeight="1">
      <c r="F3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6" spans="6:6" ht="11.25" customHeight="1">
      <c r="F3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7" spans="6:6" ht="11.25" customHeight="1">
      <c r="F3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8" spans="6:6" ht="11.25" customHeight="1">
      <c r="F3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39" spans="6:6" ht="11.25" customHeight="1">
      <c r="F3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0" spans="6:6" ht="11.25" customHeight="1">
      <c r="F4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1" spans="6:6" ht="11.25" customHeight="1">
      <c r="F4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2" spans="6:6" ht="11.25" customHeight="1">
      <c r="F4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3" spans="6:6" ht="11.25" customHeight="1">
      <c r="F4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4" spans="6:6" ht="11.25" customHeight="1">
      <c r="F4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5" spans="6:6" ht="11.25" customHeight="1">
      <c r="F4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6" spans="6:6" ht="11.25" customHeight="1">
      <c r="F4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7" spans="6:6" ht="11.25" customHeight="1">
      <c r="F4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8" spans="6:6" ht="11.25" customHeight="1">
      <c r="F4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49" spans="6:6" ht="11.25" customHeight="1">
      <c r="F4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0" spans="6:6" ht="11.25" customHeight="1">
      <c r="F5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1" spans="6:6" ht="11.25" customHeight="1">
      <c r="F5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2" spans="6:6" ht="11.25" customHeight="1">
      <c r="F5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3" spans="6:6" ht="11.25" customHeight="1">
      <c r="F5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4" spans="6:6" ht="11.25" customHeight="1">
      <c r="F5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5" spans="6:6" ht="11.25" customHeight="1">
      <c r="F5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6" spans="6:6" ht="11.25" customHeight="1">
      <c r="F5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7" spans="6:6" ht="11.25" customHeight="1">
      <c r="F5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8" spans="6:6" ht="11.25" customHeight="1">
      <c r="F5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59" spans="6:6" ht="11.25" customHeight="1">
      <c r="F5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0" spans="6:6" ht="11.25" customHeight="1">
      <c r="F6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1" spans="6:6" ht="11.25" customHeight="1">
      <c r="F6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2" spans="6:6" ht="11.25" customHeight="1">
      <c r="F6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3" spans="6:6" ht="11.25" customHeight="1">
      <c r="F6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4" spans="6:6" ht="11.25" customHeight="1">
      <c r="F6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5" spans="6:6" ht="11.25" customHeight="1">
      <c r="F6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6" spans="6:6" ht="11.25" customHeight="1">
      <c r="F6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7" spans="6:6" ht="11.25" customHeight="1">
      <c r="F6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8" spans="6:6" ht="11.25" customHeight="1">
      <c r="F6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69" spans="6:6" ht="11.25" customHeight="1">
      <c r="F6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0" spans="6:6" ht="11.25" customHeight="1">
      <c r="F7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1" spans="6:6" ht="11.25" customHeight="1">
      <c r="F7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2" spans="6:6" ht="11.25" customHeight="1">
      <c r="F7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3" spans="6:6" ht="11.25" customHeight="1">
      <c r="F7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4" spans="6:6" ht="11.25" customHeight="1">
      <c r="F7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5" spans="6:6" ht="11.25" customHeight="1">
      <c r="F7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6" spans="6:6" ht="11.25" customHeight="1">
      <c r="F7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7" spans="6:6" ht="11.25" customHeight="1">
      <c r="F7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8" spans="6:6" ht="11.25" customHeight="1">
      <c r="F7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79" spans="6:6" ht="11.25" customHeight="1">
      <c r="F7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0" spans="6:6" ht="11.25" customHeight="1">
      <c r="F8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1" spans="6:6" ht="11.25" customHeight="1">
      <c r="F8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2" spans="6:6" ht="11.25" customHeight="1">
      <c r="F8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3" spans="6:6" ht="11.25" customHeight="1">
      <c r="F8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4" spans="6:6" ht="11.25" customHeight="1">
      <c r="F8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5" spans="6:6" ht="11.25" customHeight="1">
      <c r="F8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6" spans="6:6" ht="11.25" customHeight="1">
      <c r="F8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7" spans="6:6" ht="11.25" customHeight="1">
      <c r="F8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8" spans="6:6" ht="11.25" customHeight="1">
      <c r="F8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89" spans="6:6" ht="11.25" customHeight="1">
      <c r="F8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0" spans="6:6" ht="11.25" customHeight="1">
      <c r="F90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1" spans="6:6" ht="11.25" customHeight="1">
      <c r="F91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2" spans="6:6" ht="11.25" customHeight="1">
      <c r="F92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3" spans="6:6" ht="11.25" customHeight="1">
      <c r="F93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4" spans="6:6" ht="11.25" customHeight="1">
      <c r="F94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5" spans="6:6" ht="11.25" customHeight="1">
      <c r="F95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6" spans="6:6" ht="11.25" customHeight="1">
      <c r="F96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7" spans="6:6" ht="11.25" customHeight="1">
      <c r="F97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8" spans="6:6" ht="11.25" customHeight="1">
      <c r="F98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  <row r="99" spans="6:6" ht="11.25" customHeight="1">
      <c r="F99" s="3" t="str">
        <f>IF(ISBLANK(テーブル1[[#This Row],[機能]]),"","|"&amp;テーブル1[[#This Row],[Ctrl]]&amp;"|"&amp;テーブル1[[#This Row],[Shift]]&amp;"|"&amp;テーブル1[[#This Row],[Alt]]&amp;"|"&amp;テーブル1[[#This Row],[Key]]&amp;"|"&amp;テーブル1[[#This Row],[機能]]&amp;"|")</f>
        <v/>
      </c>
    </row>
  </sheetData>
  <phoneticPr fontId="4"/>
  <dataValidations count="3">
    <dataValidation type="list" allowBlank="1" showInputMessage="1" showErrorMessage="1" sqref="C3:C99" xr:uid="{00000000-0002-0000-0300-000000000000}">
      <formula1>"Alt"</formula1>
    </dataValidation>
    <dataValidation type="list" allowBlank="1" showInputMessage="1" showErrorMessage="1" sqref="B3:B99" xr:uid="{00000000-0002-0000-0300-000001000000}">
      <formula1>"Shift"</formula1>
    </dataValidation>
    <dataValidation type="list" allowBlank="1" showInputMessage="1" showErrorMessage="1" sqref="A3:A99" xr:uid="{00000000-0002-0000-0300-000002000000}">
      <formula1>"Ctrl"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8" tint="0.79998168889431442"/>
  </sheetPr>
  <dimension ref="A1:F78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3" customWidth="1"/>
    <col min="6" max="6" width="50.25" style="3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|:---|:---|:---|:---|:---|</v>
      </c>
    </row>
    <row r="3" spans="1:6" ht="11.25" customHeight="1">
      <c r="B3" s="1" t="s">
        <v>1</v>
      </c>
      <c r="D3" s="2" t="s">
        <v>193</v>
      </c>
      <c r="E3" s="2" t="s">
        <v>192</v>
      </c>
      <c r="F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||Shift||[/]|移動 前/次の空行|</v>
      </c>
    </row>
    <row r="4" spans="1:6" ht="11.25" customHeight="1">
      <c r="D4" s="2" t="s">
        <v>173</v>
      </c>
      <c r="E4" s="2" t="s">
        <v>174</v>
      </c>
      <c r="F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||||gv|再度同じ範囲を選択|</v>
      </c>
    </row>
    <row r="5" spans="1:6" ht="11.25" customHeight="1">
      <c r="D5" s="2" t="s">
        <v>175</v>
      </c>
      <c r="E5" s="2" t="s">
        <v>176</v>
      </c>
      <c r="F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||||ge|前単語の末尾へ移動|</v>
      </c>
    </row>
    <row r="6" spans="1:6" ht="11.25" customHeight="1">
      <c r="D6" s="2" t="s">
        <v>177</v>
      </c>
      <c r="E6" s="2" t="s">
        <v>178</v>
      </c>
      <c r="F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||||&lt;C-r&gt; /|最後に検索に使用したワード検索|</v>
      </c>
    </row>
    <row r="7" spans="1:6" ht="11.25" customHeight="1">
      <c r="D7" s="2" t="s">
        <v>179</v>
      </c>
      <c r="E7" s="2" t="s">
        <v>180</v>
      </c>
      <c r="F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||||v ⇒ o |選択範囲の末尾にカーソルを移動|</v>
      </c>
    </row>
    <row r="8" spans="1:6" ht="11.25" customHeight="1">
      <c r="D8" s="2" t="s">
        <v>181</v>
      </c>
      <c r="E8" s="2" t="s">
        <v>182</v>
      </c>
      <c r="F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||||挿入モード⇒&lt;C-r&gt;=0xFFFF|簡易16⇒10進数変換（例では65535）|</v>
      </c>
    </row>
    <row r="9" spans="1:6" ht="11.25" customHeight="1">
      <c r="D9" s="2" t="s">
        <v>183</v>
      </c>
      <c r="E9" s="2" t="s">
        <v>184</v>
      </c>
      <c r="F9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||||/\V |テキストで検索|</v>
      </c>
    </row>
    <row r="10" spans="1:6" ht="11.25" customHeight="1">
      <c r="B10" s="1" t="s">
        <v>1</v>
      </c>
      <c r="D10" s="2" t="s">
        <v>191</v>
      </c>
      <c r="E10" s="2" t="s">
        <v>197</v>
      </c>
      <c r="F10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||Shift||h/m/l|カーソル移動 画面 最上行/中央/最下行|</v>
      </c>
    </row>
    <row r="11" spans="1:6" ht="11.25" customHeight="1">
      <c r="D11" s="2" t="s">
        <v>189</v>
      </c>
      <c r="E11" s="2" t="s">
        <v>190</v>
      </c>
      <c r="F11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||||+/-|先頭に移動 次行/前行|</v>
      </c>
    </row>
    <row r="12" spans="1:6" ht="11.25" customHeight="1">
      <c r="A12" s="1" t="s">
        <v>0</v>
      </c>
      <c r="D12" s="2" t="s">
        <v>185</v>
      </c>
      <c r="E12" s="2" t="s">
        <v>186</v>
      </c>
      <c r="F1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|Ctrl|||f/b|移動 1画面分 上/下|</v>
      </c>
    </row>
    <row r="13" spans="1:6" ht="11.25" customHeight="1">
      <c r="A13" s="1" t="s">
        <v>0</v>
      </c>
      <c r="D13" s="2" t="s">
        <v>187</v>
      </c>
      <c r="E13" s="2" t="s">
        <v>188</v>
      </c>
      <c r="F1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>|Ctrl|||u/d|移動 半画面分 上/下|</v>
      </c>
    </row>
    <row r="14" spans="1:6" ht="11.25" customHeight="1">
      <c r="E14" s="2"/>
      <c r="F1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15" spans="1:6" ht="11.25" customHeight="1">
      <c r="E15" s="2"/>
      <c r="F1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16" spans="1:6" ht="11.25" customHeight="1">
      <c r="E16" s="2"/>
      <c r="F1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17" spans="5:6" ht="11.25" customHeight="1">
      <c r="E17" s="2"/>
      <c r="F1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18" spans="5:6" ht="11.25" customHeight="1">
      <c r="E18" s="2"/>
      <c r="F1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19" spans="5:6" ht="11.25" customHeight="1">
      <c r="E19" s="2"/>
      <c r="F19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0" spans="5:6" ht="11.25" customHeight="1">
      <c r="E20" s="2"/>
      <c r="F20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1" spans="5:6" ht="11.25" customHeight="1">
      <c r="E21" s="2"/>
      <c r="F21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2" spans="5:6" ht="11.25" customHeight="1">
      <c r="E22" s="2"/>
      <c r="F2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3" spans="5:6" ht="11.25" customHeight="1">
      <c r="E23" s="2"/>
      <c r="F2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4" spans="5:6" ht="11.25" customHeight="1">
      <c r="E24" s="2"/>
      <c r="F2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5" spans="5:6" ht="11.25" customHeight="1">
      <c r="E25" s="2"/>
      <c r="F2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6" spans="5:6" ht="11.25" customHeight="1">
      <c r="E26" s="2"/>
      <c r="F2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7" spans="5:6" ht="11.25" customHeight="1">
      <c r="E27" s="2"/>
      <c r="F2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8" spans="5:6" ht="11.25" customHeight="1">
      <c r="E28" s="2"/>
      <c r="F2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29" spans="5:6" ht="11.25" customHeight="1">
      <c r="E29" s="2"/>
      <c r="F29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0" spans="5:6" ht="11.25" customHeight="1">
      <c r="E30" s="2"/>
      <c r="F30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1" spans="5:6" ht="11.25" customHeight="1">
      <c r="E31" s="2"/>
      <c r="F31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2" spans="5:6" ht="11.25" customHeight="1">
      <c r="E32" s="2"/>
      <c r="F3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3" spans="4:6" ht="11.25" customHeight="1">
      <c r="E33" s="2"/>
      <c r="F3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4" spans="4:6" ht="11.25" customHeight="1">
      <c r="E34" s="2"/>
      <c r="F3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5" spans="4:6" ht="11.25" customHeight="1">
      <c r="E35" s="2"/>
      <c r="F3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6" spans="4:6" ht="11.25" customHeight="1">
      <c r="E36" s="2"/>
      <c r="F3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7" spans="4:6" ht="11.25" customHeight="1">
      <c r="E37" s="2"/>
      <c r="F3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8" spans="4:6" ht="11.25" customHeight="1">
      <c r="E38" s="2"/>
      <c r="F3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39" spans="4:6" ht="11.25" customHeight="1">
      <c r="D39" s="6"/>
      <c r="E39" s="2"/>
      <c r="F39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0" spans="4:6" ht="11.25" customHeight="1">
      <c r="E40" s="2"/>
      <c r="F40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1" spans="4:6" ht="11.25" customHeight="1">
      <c r="E41" s="2"/>
      <c r="F41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2" spans="4:6" ht="11.25" customHeight="1">
      <c r="E42" s="2"/>
      <c r="F4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3" spans="4:6" ht="11.25" customHeight="1">
      <c r="E43" s="2"/>
      <c r="F4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4" spans="4:6" ht="11.25" customHeight="1">
      <c r="E44" s="2"/>
      <c r="F4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5" spans="4:6" ht="11.25" customHeight="1">
      <c r="E45" s="2"/>
      <c r="F4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6" spans="4:6" ht="11.25" customHeight="1">
      <c r="E46" s="2"/>
      <c r="F4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7" spans="4:6" ht="11.25" customHeight="1">
      <c r="E47" s="2"/>
      <c r="F4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8" spans="4:6" ht="11.25" customHeight="1">
      <c r="E48" s="2"/>
      <c r="F4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49" spans="5:6" ht="11.25" customHeight="1">
      <c r="E49" s="2"/>
      <c r="F49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0" spans="5:6" ht="11.25" customHeight="1">
      <c r="E50" s="2"/>
      <c r="F50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1" spans="5:6" ht="11.25" customHeight="1">
      <c r="E51" s="2"/>
      <c r="F51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2" spans="5:6" ht="11.25" customHeight="1">
      <c r="E52" s="2"/>
      <c r="F5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3" spans="5:6" ht="11.25" customHeight="1">
      <c r="E53" s="2"/>
      <c r="F5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4" spans="5:6" ht="11.25" customHeight="1">
      <c r="E54" s="2"/>
      <c r="F5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5" spans="5:6" ht="11.25" customHeight="1">
      <c r="E55" s="2"/>
      <c r="F5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6" spans="5:6" ht="11.25" customHeight="1">
      <c r="E56" s="2"/>
      <c r="F5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7" spans="5:6" ht="11.25" customHeight="1">
      <c r="E57" s="2"/>
      <c r="F5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8" spans="5:6" ht="11.25" customHeight="1">
      <c r="E58" s="2"/>
      <c r="F5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59" spans="5:6" ht="11.25" customHeight="1">
      <c r="E59" s="2"/>
      <c r="F59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0" spans="5:6" ht="11.25" customHeight="1">
      <c r="E60" s="2"/>
      <c r="F60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1" spans="5:6" ht="11.25" customHeight="1">
      <c r="E61" s="2"/>
      <c r="F61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2" spans="5:6" ht="11.25" customHeight="1">
      <c r="E62" s="2"/>
      <c r="F6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3" spans="5:6" ht="11.25" customHeight="1">
      <c r="E63" s="2"/>
      <c r="F6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4" spans="5:6" ht="11.25" customHeight="1">
      <c r="E64" s="2"/>
      <c r="F6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5" spans="5:6" ht="11.25" customHeight="1">
      <c r="E65" s="2"/>
      <c r="F6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6" spans="5:6" ht="11.25" customHeight="1">
      <c r="E66" s="2"/>
      <c r="F6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7" spans="5:6" ht="11.25" customHeight="1">
      <c r="E67" s="2"/>
      <c r="F6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8" spans="5:6" ht="11.25" customHeight="1">
      <c r="E68" s="2"/>
      <c r="F6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69" spans="5:6" ht="11.25" customHeight="1">
      <c r="E69" s="2"/>
      <c r="F69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0" spans="5:6" ht="11.25" customHeight="1">
      <c r="E70" s="2"/>
      <c r="F70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1" spans="5:6" ht="11.25" customHeight="1">
      <c r="E71" s="2"/>
      <c r="F71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2" spans="5:6" ht="11.25" customHeight="1">
      <c r="E72" s="2"/>
      <c r="F72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3" spans="5:6" ht="11.25" customHeight="1">
      <c r="E73" s="2"/>
      <c r="F73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4" spans="5:6" ht="11.25" customHeight="1">
      <c r="E74" s="2"/>
      <c r="F74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5" spans="5:6" ht="11.25" customHeight="1">
      <c r="E75" s="2"/>
      <c r="F75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6" spans="5:6" ht="11.25" customHeight="1">
      <c r="E76" s="2"/>
      <c r="F76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7" spans="5:6" ht="11.25" customHeight="1">
      <c r="E77" s="2"/>
      <c r="F77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  <row r="78" spans="5:6" ht="11.25" customHeight="1">
      <c r="E78" s="2"/>
      <c r="F78" s="3" t="str">
        <f>IF(ISBLANK(テーブル13456[[#This Row],[機能]]),"","|"&amp;テーブル13456[[#This Row],[Ctrl]]&amp;"|"&amp;テーブル13456[[#This Row],[Shift]]&amp;"|"&amp;テーブル13456[[#This Row],[Alt]]&amp;"|"&amp;テーブル13456[[#This Row],[Key]]&amp;"|"&amp;テーブル13456[[#This Row],[機能]]&amp;"|")</f>
        <v/>
      </c>
    </row>
  </sheetData>
  <phoneticPr fontId="4"/>
  <dataValidations count="3">
    <dataValidation type="list" allowBlank="1" showInputMessage="1" showErrorMessage="1" sqref="C3:C78" xr:uid="{00000000-0002-0000-0400-000000000000}">
      <formula1>"Alt"</formula1>
    </dataValidation>
    <dataValidation type="list" allowBlank="1" showInputMessage="1" sqref="B3:B78" xr:uid="{00000000-0002-0000-0400-000001000000}">
      <formula1>"Shift"</formula1>
    </dataValidation>
    <dataValidation type="list" allowBlank="1" showInputMessage="1" sqref="A3:A78" xr:uid="{00000000-0002-0000-0400-000002000000}">
      <formula1>"Ctrl"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525B-1E53-4015-8D35-07D4E4476666}">
  <sheetPr codeName="Sheet16">
    <tabColor theme="8" tint="0.79998168889431442"/>
  </sheetPr>
  <dimension ref="A1:I98"/>
  <sheetViews>
    <sheetView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9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9" s="14" customFormat="1" ht="12">
      <c r="A2" s="31" t="s">
        <v>215</v>
      </c>
      <c r="B2" s="12" t="s">
        <v>1122</v>
      </c>
      <c r="C2" s="12" t="s">
        <v>1137</v>
      </c>
      <c r="D2" s="12" t="s">
        <v>1134</v>
      </c>
      <c r="E2" s="12"/>
      <c r="F2" s="12"/>
      <c r="G2" s="12"/>
      <c r="H2" s="12"/>
      <c r="I2" s="13" t="s">
        <v>266</v>
      </c>
    </row>
    <row r="3" spans="1:9" s="14" customFormat="1" ht="12">
      <c r="A3" s="31" t="s">
        <v>154</v>
      </c>
      <c r="B3" s="12" t="s">
        <v>1123</v>
      </c>
      <c r="C3" s="12"/>
      <c r="D3" s="12" t="s">
        <v>1133</v>
      </c>
      <c r="E3" s="12"/>
      <c r="F3" s="12"/>
      <c r="G3" s="12"/>
      <c r="H3" s="12"/>
      <c r="I3" s="13" t="s">
        <v>266</v>
      </c>
    </row>
    <row r="4" spans="1:9" s="14" customFormat="1" ht="12">
      <c r="A4" s="31" t="s">
        <v>156</v>
      </c>
      <c r="B4" s="12"/>
      <c r="C4" s="12"/>
      <c r="D4" s="12" t="s">
        <v>1132</v>
      </c>
      <c r="E4" s="12"/>
      <c r="F4" s="12"/>
      <c r="G4" s="12"/>
      <c r="H4" s="12"/>
      <c r="I4" s="13" t="s">
        <v>266</v>
      </c>
    </row>
    <row r="5" spans="1:9" s="14" customFormat="1" ht="12">
      <c r="A5" s="31" t="s">
        <v>150</v>
      </c>
      <c r="B5" s="12"/>
      <c r="C5" s="12"/>
      <c r="D5" s="12" t="s">
        <v>1131</v>
      </c>
      <c r="E5" s="12"/>
      <c r="F5" s="12"/>
      <c r="G5" s="12"/>
      <c r="H5" s="12"/>
      <c r="I5" s="13" t="s">
        <v>266</v>
      </c>
    </row>
    <row r="6" spans="1:9" s="14" customFormat="1" ht="12">
      <c r="A6" s="31" t="s">
        <v>159</v>
      </c>
      <c r="B6" s="12" t="s">
        <v>1124</v>
      </c>
      <c r="C6" s="12"/>
      <c r="D6" s="12" t="s">
        <v>1130</v>
      </c>
      <c r="E6" s="12"/>
      <c r="F6" s="12" t="s">
        <v>1136</v>
      </c>
      <c r="G6" s="12"/>
      <c r="H6" s="12"/>
      <c r="I6" s="13" t="s">
        <v>266</v>
      </c>
    </row>
    <row r="7" spans="1:9" s="14" customFormat="1" ht="12">
      <c r="A7" s="31" t="s">
        <v>53</v>
      </c>
      <c r="B7" s="12" t="s">
        <v>1125</v>
      </c>
      <c r="C7" s="12"/>
      <c r="D7" s="12"/>
      <c r="E7" s="12"/>
      <c r="F7" s="12"/>
      <c r="G7" s="12"/>
      <c r="H7" s="12"/>
      <c r="I7" s="13" t="s">
        <v>266</v>
      </c>
    </row>
    <row r="8" spans="1:9" s="14" customFormat="1" ht="12">
      <c r="A8" s="31" t="s">
        <v>224</v>
      </c>
      <c r="B8" s="12"/>
      <c r="C8" s="12"/>
      <c r="D8" s="12"/>
      <c r="E8" s="12"/>
      <c r="F8" s="12"/>
      <c r="G8" s="12"/>
      <c r="H8" s="12"/>
      <c r="I8" s="13" t="s">
        <v>266</v>
      </c>
    </row>
    <row r="9" spans="1:9" s="14" customFormat="1" ht="12">
      <c r="A9" s="31" t="s">
        <v>238</v>
      </c>
      <c r="B9" s="12" t="s">
        <v>1126</v>
      </c>
      <c r="C9" s="12"/>
      <c r="D9" s="12" t="s">
        <v>1135</v>
      </c>
      <c r="E9" s="12"/>
      <c r="F9" s="12"/>
      <c r="G9" s="12"/>
      <c r="H9" s="12"/>
      <c r="I9" s="13" t="s">
        <v>266</v>
      </c>
    </row>
    <row r="10" spans="1:9" s="14" customFormat="1" ht="12">
      <c r="A10" s="31" t="s">
        <v>235</v>
      </c>
      <c r="B10" s="12" t="s">
        <v>1138</v>
      </c>
      <c r="C10" s="12"/>
      <c r="D10" s="12"/>
      <c r="E10" s="12"/>
      <c r="F10" s="12"/>
      <c r="G10" s="12"/>
      <c r="H10" s="12"/>
      <c r="I10" s="13" t="s">
        <v>266</v>
      </c>
    </row>
    <row r="11" spans="1:9" s="14" customFormat="1" ht="12">
      <c r="A11" s="31" t="s">
        <v>141</v>
      </c>
      <c r="B11" s="12" t="s">
        <v>1127</v>
      </c>
      <c r="C11" s="12"/>
      <c r="D11" s="12"/>
      <c r="E11" s="12"/>
      <c r="F11" s="12"/>
      <c r="G11" s="12"/>
      <c r="H11" s="12"/>
      <c r="I11" s="13" t="s">
        <v>266</v>
      </c>
    </row>
    <row r="12" spans="1:9" s="14" customFormat="1" ht="12">
      <c r="A12" s="31" t="s">
        <v>221</v>
      </c>
      <c r="B12" s="12" t="s">
        <v>1128</v>
      </c>
      <c r="C12" s="12"/>
      <c r="D12" s="12"/>
      <c r="E12" s="12"/>
      <c r="F12" s="12"/>
      <c r="G12" s="12"/>
      <c r="H12" s="12"/>
      <c r="I12" s="13" t="s">
        <v>266</v>
      </c>
    </row>
    <row r="13" spans="1:9" s="14" customFormat="1" ht="12">
      <c r="A13" s="31" t="s">
        <v>225</v>
      </c>
      <c r="B13" s="12" t="s">
        <v>1129</v>
      </c>
      <c r="C13" s="12"/>
      <c r="D13" s="12"/>
      <c r="E13" s="12"/>
      <c r="F13" s="12"/>
      <c r="G13" s="12"/>
      <c r="H13" s="12"/>
      <c r="I13" s="13" t="s">
        <v>266</v>
      </c>
    </row>
    <row r="14" spans="1:9" ht="12">
      <c r="A14" s="32">
        <v>1</v>
      </c>
      <c r="B14" s="12"/>
      <c r="C14" s="12"/>
      <c r="D14" s="12"/>
      <c r="E14" s="12"/>
      <c r="F14" s="12"/>
      <c r="G14" s="12"/>
      <c r="H14" s="12"/>
      <c r="I14" s="13" t="s">
        <v>266</v>
      </c>
    </row>
    <row r="15" spans="1:9" ht="12">
      <c r="A15" s="32">
        <v>2</v>
      </c>
      <c r="B15" s="12"/>
      <c r="C15" s="12"/>
      <c r="D15" s="12"/>
      <c r="E15" s="12"/>
      <c r="F15" s="12"/>
      <c r="G15" s="12"/>
      <c r="H15" s="12"/>
      <c r="I15" s="13" t="s">
        <v>266</v>
      </c>
    </row>
    <row r="16" spans="1:9" ht="12">
      <c r="A16" s="32">
        <v>3</v>
      </c>
      <c r="B16" s="12"/>
      <c r="C16" s="12"/>
      <c r="D16" s="12"/>
      <c r="E16" s="12"/>
      <c r="F16" s="12"/>
      <c r="G16" s="12"/>
      <c r="H16" s="12"/>
      <c r="I16" s="13" t="s">
        <v>266</v>
      </c>
    </row>
    <row r="17" spans="1:9" ht="12">
      <c r="A17" s="32">
        <v>4</v>
      </c>
      <c r="B17" s="12"/>
      <c r="C17" s="12"/>
      <c r="D17" s="12"/>
      <c r="E17" s="12"/>
      <c r="F17" s="12"/>
      <c r="G17" s="12"/>
      <c r="H17" s="12"/>
      <c r="I17" s="13" t="s">
        <v>266</v>
      </c>
    </row>
    <row r="18" spans="1:9" ht="12">
      <c r="A18" s="32">
        <v>5</v>
      </c>
      <c r="B18" s="12"/>
      <c r="C18" s="12"/>
      <c r="D18" s="12"/>
      <c r="E18" s="12"/>
      <c r="F18" s="12"/>
      <c r="G18" s="12"/>
      <c r="H18" s="12"/>
      <c r="I18" s="13" t="s">
        <v>266</v>
      </c>
    </row>
    <row r="19" spans="1:9" ht="12">
      <c r="A19" s="32">
        <v>6</v>
      </c>
      <c r="B19" s="12"/>
      <c r="C19" s="12"/>
      <c r="D19" s="12"/>
      <c r="E19" s="12"/>
      <c r="F19" s="12"/>
      <c r="G19" s="12"/>
      <c r="H19" s="12"/>
      <c r="I19" s="13" t="s">
        <v>266</v>
      </c>
    </row>
    <row r="20" spans="1:9" ht="12">
      <c r="A20" s="32">
        <v>7</v>
      </c>
      <c r="B20" s="12"/>
      <c r="C20" s="12"/>
      <c r="D20" s="12"/>
      <c r="E20" s="12"/>
      <c r="F20" s="12"/>
      <c r="G20" s="12"/>
      <c r="H20" s="12"/>
      <c r="I20" s="13" t="s">
        <v>266</v>
      </c>
    </row>
    <row r="21" spans="1:9" ht="12">
      <c r="A21" s="32">
        <v>8</v>
      </c>
      <c r="B21" s="12"/>
      <c r="C21" s="12"/>
      <c r="D21" s="12"/>
      <c r="E21" s="12"/>
      <c r="F21" s="12"/>
      <c r="G21" s="12"/>
      <c r="H21" s="12"/>
      <c r="I21" s="13" t="s">
        <v>266</v>
      </c>
    </row>
    <row r="22" spans="1:9" ht="12">
      <c r="A22" s="32">
        <v>9</v>
      </c>
      <c r="B22" s="12"/>
      <c r="C22" s="12"/>
      <c r="D22" s="12"/>
      <c r="E22" s="12"/>
      <c r="F22" s="12"/>
      <c r="G22" s="12"/>
      <c r="H22" s="12"/>
      <c r="I22" s="13" t="s">
        <v>266</v>
      </c>
    </row>
    <row r="23" spans="1:9" ht="12">
      <c r="A23" s="32">
        <v>0</v>
      </c>
      <c r="B23" s="12"/>
      <c r="C23" s="12"/>
      <c r="D23" s="12"/>
      <c r="E23" s="12"/>
      <c r="F23" s="12"/>
      <c r="G23" s="12"/>
      <c r="H23" s="12"/>
      <c r="I23" s="13" t="s">
        <v>266</v>
      </c>
    </row>
    <row r="24" spans="1:9" s="14" customFormat="1" ht="12">
      <c r="A24" s="31" t="s">
        <v>573</v>
      </c>
      <c r="B24" s="12"/>
      <c r="C24" s="12"/>
      <c r="D24" s="12"/>
      <c r="E24" s="12"/>
      <c r="F24" s="12"/>
      <c r="G24" s="12"/>
      <c r="H24" s="12"/>
      <c r="I24" s="13" t="s">
        <v>266</v>
      </c>
    </row>
    <row r="25" spans="1:9" s="14" customFormat="1" ht="12">
      <c r="A25" s="31" t="s">
        <v>580</v>
      </c>
      <c r="B25" s="12"/>
      <c r="C25" s="12"/>
      <c r="D25" s="12"/>
      <c r="E25" s="12"/>
      <c r="F25" s="12"/>
      <c r="G25" s="12"/>
      <c r="H25" s="12"/>
      <c r="I25" s="13" t="s">
        <v>266</v>
      </c>
    </row>
    <row r="26" spans="1:9" ht="12">
      <c r="A26" s="33" t="s">
        <v>587</v>
      </c>
      <c r="B26" s="12"/>
      <c r="C26" s="12"/>
      <c r="D26" s="12"/>
      <c r="E26" s="12"/>
      <c r="F26" s="12"/>
      <c r="G26" s="12"/>
      <c r="H26" s="12"/>
      <c r="I26" s="13" t="s">
        <v>266</v>
      </c>
    </row>
    <row r="27" spans="1:9" ht="12">
      <c r="A27" s="33" t="s">
        <v>589</v>
      </c>
      <c r="B27" s="12"/>
      <c r="C27" s="12"/>
      <c r="D27" s="12"/>
      <c r="E27" s="12"/>
      <c r="F27" s="12"/>
      <c r="G27" s="12"/>
      <c r="H27" s="12"/>
      <c r="I27" s="13" t="s">
        <v>266</v>
      </c>
    </row>
    <row r="28" spans="1:9" ht="12">
      <c r="A28" s="33" t="s">
        <v>592</v>
      </c>
      <c r="B28" s="12"/>
      <c r="C28" s="12"/>
      <c r="D28" s="12"/>
      <c r="E28" s="12"/>
      <c r="F28" s="12"/>
      <c r="G28" s="12"/>
      <c r="H28" s="12"/>
      <c r="I28" s="13" t="s">
        <v>266</v>
      </c>
    </row>
    <row r="29" spans="1:9" ht="12">
      <c r="A29" s="33" t="s">
        <v>596</v>
      </c>
      <c r="B29" s="12"/>
      <c r="C29" s="12"/>
      <c r="D29" s="12"/>
      <c r="E29" s="12"/>
      <c r="F29" s="12"/>
      <c r="G29" s="12"/>
      <c r="H29" s="12"/>
      <c r="I29" s="13" t="s">
        <v>266</v>
      </c>
    </row>
    <row r="30" spans="1:9" ht="12">
      <c r="A30" s="33" t="s">
        <v>669</v>
      </c>
      <c r="B30" s="12"/>
      <c r="C30" s="12"/>
      <c r="D30" s="12"/>
      <c r="E30" s="12"/>
      <c r="F30" s="12"/>
      <c r="G30" s="12"/>
      <c r="H30" s="12"/>
      <c r="I30" s="13" t="s">
        <v>266</v>
      </c>
    </row>
    <row r="31" spans="1:9" ht="12">
      <c r="A31" s="33" t="s">
        <v>599</v>
      </c>
      <c r="B31" s="12"/>
      <c r="C31" s="12"/>
      <c r="D31" s="12"/>
      <c r="E31" s="12"/>
      <c r="F31" s="12"/>
      <c r="G31" s="12"/>
      <c r="H31" s="12"/>
      <c r="I31" s="13" t="s">
        <v>266</v>
      </c>
    </row>
    <row r="32" spans="1:9" ht="12">
      <c r="A32" s="33" t="s">
        <v>600</v>
      </c>
      <c r="B32" s="12"/>
      <c r="C32" s="12"/>
      <c r="D32" s="12"/>
      <c r="E32" s="12"/>
      <c r="F32" s="12"/>
      <c r="G32" s="12"/>
      <c r="H32" s="12"/>
      <c r="I32" s="13" t="s">
        <v>266</v>
      </c>
    </row>
    <row r="33" spans="1:9" ht="12">
      <c r="A33" s="33" t="s">
        <v>601</v>
      </c>
      <c r="B33" s="12"/>
      <c r="C33" s="12"/>
      <c r="D33" s="12"/>
      <c r="E33" s="12"/>
      <c r="F33" s="12"/>
      <c r="G33" s="12"/>
      <c r="H33" s="12"/>
      <c r="I33" s="13" t="s">
        <v>266</v>
      </c>
    </row>
    <row r="34" spans="1:9" ht="12">
      <c r="A34" s="34" t="s">
        <v>915</v>
      </c>
      <c r="B34" s="12"/>
      <c r="C34" s="12"/>
      <c r="D34" s="12"/>
      <c r="E34" s="12"/>
      <c r="F34" s="12"/>
      <c r="G34" s="12"/>
      <c r="H34" s="12"/>
      <c r="I34" s="13" t="s">
        <v>266</v>
      </c>
    </row>
    <row r="35" spans="1:9" ht="12">
      <c r="A35" s="33" t="s">
        <v>917</v>
      </c>
      <c r="B35" s="12"/>
      <c r="C35" s="12"/>
      <c r="D35" s="12"/>
      <c r="E35" s="12"/>
      <c r="F35" s="12"/>
      <c r="G35" s="12"/>
      <c r="H35" s="12"/>
      <c r="I35" s="13" t="s">
        <v>266</v>
      </c>
    </row>
    <row r="36" spans="1:9" ht="12">
      <c r="A36" s="33" t="s">
        <v>919</v>
      </c>
      <c r="B36" s="12"/>
      <c r="C36" s="12"/>
      <c r="D36" s="12"/>
      <c r="E36" s="12"/>
      <c r="F36" s="12"/>
      <c r="G36" s="12"/>
      <c r="H36" s="12"/>
      <c r="I36" s="13" t="s">
        <v>266</v>
      </c>
    </row>
    <row r="37" spans="1:9" ht="12">
      <c r="A37" s="34" t="s">
        <v>921</v>
      </c>
      <c r="B37" s="12"/>
      <c r="C37" s="12"/>
      <c r="D37" s="12"/>
      <c r="E37" s="12"/>
      <c r="F37" s="12"/>
      <c r="G37" s="12"/>
      <c r="H37" s="12"/>
      <c r="I37" s="13" t="s">
        <v>266</v>
      </c>
    </row>
    <row r="38" spans="1:9" ht="12">
      <c r="A38" s="33" t="s">
        <v>938</v>
      </c>
      <c r="B38" s="12"/>
      <c r="C38" s="12"/>
      <c r="D38" s="12"/>
      <c r="E38" s="12"/>
      <c r="F38" s="12"/>
      <c r="G38" s="12"/>
      <c r="H38" s="12"/>
      <c r="I38" s="13" t="s">
        <v>266</v>
      </c>
    </row>
    <row r="39" spans="1:9" ht="12">
      <c r="A39" s="33" t="s">
        <v>926</v>
      </c>
      <c r="B39" s="12"/>
      <c r="C39" s="12"/>
      <c r="D39" s="12"/>
      <c r="E39" s="12"/>
      <c r="F39" s="12"/>
      <c r="G39" s="12"/>
      <c r="H39" s="12"/>
      <c r="I39" s="13" t="s">
        <v>266</v>
      </c>
    </row>
    <row r="40" spans="1:9" ht="12">
      <c r="A40" s="33" t="s">
        <v>928</v>
      </c>
      <c r="B40" s="12"/>
      <c r="C40" s="12"/>
      <c r="D40" s="12"/>
      <c r="E40" s="12"/>
      <c r="F40" s="12"/>
      <c r="G40" s="12"/>
      <c r="H40" s="12"/>
      <c r="I40" s="13" t="s">
        <v>266</v>
      </c>
    </row>
    <row r="41" spans="1:9" ht="12">
      <c r="A41" s="33" t="s">
        <v>939</v>
      </c>
      <c r="B41" s="12"/>
      <c r="C41" s="12"/>
      <c r="D41" s="12"/>
      <c r="E41" s="12"/>
      <c r="F41" s="12"/>
      <c r="G41" s="12"/>
      <c r="H41" s="12"/>
      <c r="I41" s="13" t="s">
        <v>266</v>
      </c>
    </row>
    <row r="42" spans="1:9" ht="12">
      <c r="A42" s="33" t="s">
        <v>934</v>
      </c>
      <c r="B42" s="12"/>
      <c r="C42" s="12"/>
      <c r="D42" s="12"/>
      <c r="E42" s="12"/>
      <c r="F42" s="12"/>
      <c r="G42" s="12"/>
      <c r="H42" s="12"/>
      <c r="I42" s="13" t="s">
        <v>266</v>
      </c>
    </row>
    <row r="43" spans="1:9" ht="12">
      <c r="A43" s="33" t="s">
        <v>936</v>
      </c>
      <c r="B43" s="12"/>
      <c r="C43" s="12"/>
      <c r="D43" s="12"/>
      <c r="E43" s="12"/>
      <c r="F43" s="12"/>
      <c r="G43" s="12"/>
      <c r="H43" s="12"/>
      <c r="I43" s="13" t="s">
        <v>266</v>
      </c>
    </row>
    <row r="44" spans="1:9" ht="12">
      <c r="A44" s="33" t="s">
        <v>667</v>
      </c>
      <c r="B44" s="12"/>
      <c r="C44" s="12"/>
      <c r="D44" s="12"/>
      <c r="E44" s="12"/>
      <c r="F44" s="12"/>
      <c r="G44" s="12"/>
      <c r="H44" s="12"/>
      <c r="I44" s="13" t="s">
        <v>266</v>
      </c>
    </row>
    <row r="45" spans="1:9" ht="12">
      <c r="A45" s="33" t="s">
        <v>607</v>
      </c>
      <c r="B45" s="12"/>
      <c r="C45" s="12"/>
      <c r="D45" s="12"/>
      <c r="E45" s="12"/>
      <c r="F45" s="12"/>
      <c r="G45" s="12"/>
      <c r="H45" s="12"/>
      <c r="I45" s="13" t="s">
        <v>266</v>
      </c>
    </row>
    <row r="46" spans="1:9" ht="12">
      <c r="A46" s="33" t="s">
        <v>609</v>
      </c>
      <c r="B46" s="12"/>
      <c r="C46" s="12"/>
      <c r="D46" s="12"/>
      <c r="E46" s="12"/>
      <c r="F46" s="12"/>
      <c r="G46" s="12"/>
      <c r="H46" s="12"/>
      <c r="I46" s="13" t="s">
        <v>266</v>
      </c>
    </row>
    <row r="47" spans="1:9" ht="12">
      <c r="A47" s="33" t="s">
        <v>610</v>
      </c>
      <c r="B47" s="12"/>
      <c r="C47" s="12"/>
      <c r="D47" s="12"/>
      <c r="E47" s="12"/>
      <c r="F47" s="12"/>
      <c r="G47" s="12"/>
      <c r="H47" s="12"/>
      <c r="I47" s="13" t="s">
        <v>266</v>
      </c>
    </row>
    <row r="48" spans="1:9" ht="12">
      <c r="A48" s="33" t="s">
        <v>611</v>
      </c>
      <c r="B48" s="12"/>
      <c r="C48" s="12"/>
      <c r="D48" s="12"/>
      <c r="E48" s="12"/>
      <c r="F48" s="12"/>
      <c r="G48" s="12"/>
      <c r="H48" s="12"/>
      <c r="I48" s="13" t="s">
        <v>266</v>
      </c>
    </row>
    <row r="49" spans="1:9" ht="12">
      <c r="A49" s="33" t="s">
        <v>946</v>
      </c>
      <c r="B49" s="12"/>
      <c r="C49" s="12"/>
      <c r="D49" s="12"/>
      <c r="E49" s="12"/>
      <c r="F49" s="12"/>
      <c r="G49" s="12"/>
      <c r="H49" s="12"/>
      <c r="I49" s="13" t="s">
        <v>266</v>
      </c>
    </row>
    <row r="50" spans="1:9" ht="12">
      <c r="A50" s="33" t="s">
        <v>612</v>
      </c>
      <c r="B50" s="12"/>
      <c r="C50" s="12"/>
      <c r="D50" s="12"/>
      <c r="E50" s="12"/>
      <c r="F50" s="12"/>
      <c r="G50" s="12"/>
      <c r="H50" s="12"/>
      <c r="I50" s="13" t="s">
        <v>266</v>
      </c>
    </row>
    <row r="51" spans="1:9" ht="12">
      <c r="A51" s="33" t="s">
        <v>613</v>
      </c>
      <c r="B51" s="12"/>
      <c r="C51" s="12"/>
      <c r="D51" s="12"/>
      <c r="E51" s="12"/>
      <c r="F51" s="12"/>
      <c r="G51" s="12"/>
      <c r="H51" s="12"/>
      <c r="I51" s="13" t="s">
        <v>266</v>
      </c>
    </row>
    <row r="52" spans="1:9" ht="12">
      <c r="A52" s="33" t="s">
        <v>615</v>
      </c>
      <c r="B52" s="12"/>
      <c r="C52" s="12"/>
      <c r="D52" s="12"/>
      <c r="E52" s="12"/>
      <c r="F52" s="12"/>
      <c r="G52" s="12"/>
      <c r="H52" s="12"/>
      <c r="I52" s="13" t="s">
        <v>266</v>
      </c>
    </row>
    <row r="53" spans="1:9" ht="12">
      <c r="A53" s="33" t="s">
        <v>616</v>
      </c>
      <c r="B53" s="12"/>
      <c r="C53" s="12"/>
      <c r="D53" s="12"/>
      <c r="E53" s="12"/>
      <c r="F53" s="12"/>
      <c r="G53" s="12"/>
      <c r="H53" s="12"/>
      <c r="I53" s="13" t="s">
        <v>266</v>
      </c>
    </row>
    <row r="54" spans="1:9" ht="12">
      <c r="A54" s="33" t="s">
        <v>168</v>
      </c>
      <c r="B54" s="12"/>
      <c r="C54" s="12"/>
      <c r="D54" s="12"/>
      <c r="E54" s="12"/>
      <c r="F54" s="12"/>
      <c r="G54" s="12"/>
      <c r="H54" s="12"/>
      <c r="I54" s="13" t="s">
        <v>266</v>
      </c>
    </row>
    <row r="55" spans="1:9" ht="12">
      <c r="A55" s="33" t="s">
        <v>115</v>
      </c>
      <c r="B55" s="12"/>
      <c r="C55" s="12"/>
      <c r="D55" s="12"/>
      <c r="E55" s="12"/>
      <c r="F55" s="12"/>
      <c r="G55" s="12"/>
      <c r="H55" s="12"/>
      <c r="I55" s="13" t="s">
        <v>266</v>
      </c>
    </row>
    <row r="56" spans="1:9" ht="12">
      <c r="A56" s="33" t="s">
        <v>49</v>
      </c>
      <c r="B56" s="12"/>
      <c r="C56" s="12"/>
      <c r="D56" s="12"/>
      <c r="E56" s="12"/>
      <c r="F56" s="12"/>
      <c r="G56" s="12"/>
      <c r="H56" s="12"/>
      <c r="I56" s="13" t="s">
        <v>266</v>
      </c>
    </row>
    <row r="57" spans="1:9" ht="12">
      <c r="A57" s="33" t="s">
        <v>620</v>
      </c>
      <c r="B57" s="12"/>
      <c r="C57" s="12"/>
      <c r="D57" s="12"/>
      <c r="E57" s="12"/>
      <c r="F57" s="12"/>
      <c r="G57" s="12"/>
      <c r="H57" s="12"/>
      <c r="I57" s="13" t="s">
        <v>266</v>
      </c>
    </row>
    <row r="58" spans="1:9" ht="12">
      <c r="A58" s="33" t="s">
        <v>99</v>
      </c>
      <c r="B58" s="12"/>
      <c r="C58" s="12"/>
      <c r="D58" s="12"/>
      <c r="E58" s="12"/>
      <c r="F58" s="12"/>
      <c r="G58" s="12"/>
      <c r="H58" s="12"/>
      <c r="I58" s="13" t="s">
        <v>266</v>
      </c>
    </row>
    <row r="59" spans="1:9" ht="12">
      <c r="A59" s="33" t="s">
        <v>119</v>
      </c>
      <c r="B59" s="12"/>
      <c r="C59" s="12"/>
      <c r="D59" s="12"/>
      <c r="E59" s="12"/>
      <c r="F59" s="12"/>
      <c r="G59" s="12"/>
      <c r="H59" s="12"/>
      <c r="I59" s="13" t="s">
        <v>266</v>
      </c>
    </row>
    <row r="60" spans="1:9" ht="12">
      <c r="A60" s="33" t="s">
        <v>625</v>
      </c>
      <c r="B60" s="12"/>
      <c r="C60" s="12"/>
      <c r="D60" s="12"/>
      <c r="E60" s="12"/>
      <c r="F60" s="12"/>
      <c r="G60" s="12"/>
      <c r="H60" s="12"/>
      <c r="I60" s="13" t="s">
        <v>266</v>
      </c>
    </row>
    <row r="61" spans="1:9" ht="12">
      <c r="A61" s="33" t="s">
        <v>626</v>
      </c>
      <c r="B61" s="12"/>
      <c r="C61" s="12"/>
      <c r="D61" s="12"/>
      <c r="E61" s="12"/>
      <c r="F61" s="12"/>
      <c r="G61" s="12"/>
      <c r="H61" s="12"/>
      <c r="I61" s="13" t="s">
        <v>266</v>
      </c>
    </row>
    <row r="62" spans="1:9" ht="12">
      <c r="A62" s="33" t="s">
        <v>121</v>
      </c>
      <c r="B62" s="12"/>
      <c r="C62" s="12"/>
      <c r="D62" s="12"/>
      <c r="E62" s="12"/>
      <c r="F62" s="12"/>
      <c r="G62" s="12"/>
      <c r="H62" s="12"/>
      <c r="I62" s="13" t="s">
        <v>266</v>
      </c>
    </row>
    <row r="63" spans="1:9" ht="12">
      <c r="A63" s="33" t="s">
        <v>629</v>
      </c>
      <c r="B63" s="12"/>
      <c r="C63" s="12"/>
      <c r="D63" s="12"/>
      <c r="E63" s="12"/>
      <c r="F63" s="12"/>
      <c r="G63" s="12"/>
      <c r="H63" s="12"/>
      <c r="I63" s="13" t="s">
        <v>266</v>
      </c>
    </row>
    <row r="64" spans="1:9" s="15" customFormat="1" ht="12">
      <c r="A64" s="33" t="s">
        <v>50</v>
      </c>
      <c r="B64" s="12"/>
      <c r="C64" s="12"/>
      <c r="D64" s="12"/>
      <c r="E64" s="12"/>
      <c r="F64" s="12"/>
      <c r="G64" s="12"/>
      <c r="H64" s="12"/>
      <c r="I64" s="13" t="s">
        <v>266</v>
      </c>
    </row>
    <row r="65" spans="1:9" s="15" customFormat="1" ht="12">
      <c r="A65" s="33" t="s">
        <v>124</v>
      </c>
      <c r="B65" s="12"/>
      <c r="C65" s="12"/>
      <c r="D65" s="12"/>
      <c r="E65" s="12"/>
      <c r="F65" s="12"/>
      <c r="G65" s="12"/>
      <c r="H65" s="12"/>
      <c r="I65" s="13" t="s">
        <v>266</v>
      </c>
    </row>
    <row r="66" spans="1:9" ht="12">
      <c r="A66" s="33" t="s">
        <v>51</v>
      </c>
      <c r="B66" s="12"/>
      <c r="C66" s="12"/>
      <c r="D66" s="12"/>
      <c r="E66" s="12"/>
      <c r="F66" s="12"/>
      <c r="G66" s="12"/>
      <c r="H66" s="12"/>
      <c r="I66" s="13" t="s">
        <v>266</v>
      </c>
    </row>
    <row r="67" spans="1:9" ht="12">
      <c r="A67" s="33" t="s">
        <v>636</v>
      </c>
      <c r="B67" s="12"/>
      <c r="C67" s="12"/>
      <c r="D67" s="12"/>
      <c r="E67" s="12"/>
      <c r="F67" s="12"/>
      <c r="G67" s="12"/>
      <c r="H67" s="12"/>
      <c r="I67" s="13" t="s">
        <v>266</v>
      </c>
    </row>
    <row r="68" spans="1:9" ht="12">
      <c r="A68" s="33" t="s">
        <v>48</v>
      </c>
      <c r="B68" s="12"/>
      <c r="C68" s="12"/>
      <c r="D68" s="12"/>
      <c r="E68" s="12"/>
      <c r="F68" s="12"/>
      <c r="G68" s="12"/>
      <c r="H68" s="12"/>
      <c r="I68" s="13" t="s">
        <v>266</v>
      </c>
    </row>
    <row r="69" spans="1:9" ht="12">
      <c r="A69" s="33" t="s">
        <v>638</v>
      </c>
      <c r="B69" s="12"/>
      <c r="C69" s="12"/>
      <c r="D69" s="12"/>
      <c r="E69" s="12"/>
      <c r="F69" s="12"/>
      <c r="G69" s="12"/>
      <c r="H69" s="12"/>
      <c r="I69" s="13" t="s">
        <v>266</v>
      </c>
    </row>
    <row r="70" spans="1:9" ht="12">
      <c r="A70" s="33" t="s">
        <v>640</v>
      </c>
      <c r="B70" s="12"/>
      <c r="C70" s="12"/>
      <c r="D70" s="12"/>
      <c r="E70" s="12"/>
      <c r="F70" s="12"/>
      <c r="G70" s="12"/>
      <c r="H70" s="12"/>
      <c r="I70" s="13" t="s">
        <v>266</v>
      </c>
    </row>
    <row r="71" spans="1:9" ht="12">
      <c r="A71" s="33" t="s">
        <v>641</v>
      </c>
      <c r="B71" s="12"/>
      <c r="C71" s="12"/>
      <c r="D71" s="12"/>
      <c r="E71" s="12"/>
      <c r="F71" s="12"/>
      <c r="G71" s="12"/>
      <c r="H71" s="12"/>
      <c r="I71" s="13" t="s">
        <v>266</v>
      </c>
    </row>
    <row r="72" spans="1:9" ht="12">
      <c r="A72" s="33" t="s">
        <v>642</v>
      </c>
      <c r="B72" s="12"/>
      <c r="C72" s="12"/>
      <c r="D72" s="12"/>
      <c r="E72" s="12"/>
      <c r="F72" s="12"/>
      <c r="G72" s="12"/>
      <c r="H72" s="12"/>
      <c r="I72" s="13" t="s">
        <v>266</v>
      </c>
    </row>
    <row r="73" spans="1:9" ht="12">
      <c r="A73" s="33" t="s">
        <v>128</v>
      </c>
      <c r="B73" s="12"/>
      <c r="C73" s="12"/>
      <c r="D73" s="12"/>
      <c r="E73" s="12"/>
      <c r="F73" s="12"/>
      <c r="G73" s="12"/>
      <c r="H73" s="12"/>
      <c r="I73" s="13" t="s">
        <v>266</v>
      </c>
    </row>
    <row r="74" spans="1:9" ht="12">
      <c r="A74" s="33" t="s">
        <v>645</v>
      </c>
      <c r="B74" s="12"/>
      <c r="C74" s="12"/>
      <c r="D74" s="12"/>
      <c r="E74" s="12"/>
      <c r="F74" s="12"/>
      <c r="G74" s="12"/>
      <c r="H74" s="12"/>
      <c r="I74" s="13" t="s">
        <v>266</v>
      </c>
    </row>
    <row r="75" spans="1:9" ht="12">
      <c r="A75" s="33" t="s">
        <v>648</v>
      </c>
      <c r="B75" s="12"/>
      <c r="C75" s="12"/>
      <c r="D75" s="12"/>
      <c r="E75" s="12"/>
      <c r="F75" s="12"/>
      <c r="G75" s="12"/>
      <c r="H75" s="12"/>
      <c r="I75" s="13" t="s">
        <v>266</v>
      </c>
    </row>
    <row r="76" spans="1:9" ht="12">
      <c r="A76" s="33" t="s">
        <v>650</v>
      </c>
      <c r="B76" s="12"/>
      <c r="C76" s="12"/>
      <c r="D76" s="12"/>
      <c r="E76" s="12"/>
      <c r="F76" s="12"/>
      <c r="G76" s="12"/>
      <c r="H76" s="12"/>
      <c r="I76" s="13" t="s">
        <v>266</v>
      </c>
    </row>
    <row r="77" spans="1:9" ht="12">
      <c r="A77" s="33" t="s">
        <v>668</v>
      </c>
      <c r="B77" s="12"/>
      <c r="C77" s="12"/>
      <c r="D77" s="12"/>
      <c r="E77" s="12"/>
      <c r="F77" s="12"/>
      <c r="G77" s="12"/>
      <c r="H77" s="12"/>
      <c r="I77" s="13" t="s">
        <v>266</v>
      </c>
    </row>
    <row r="78" spans="1:9" ht="12">
      <c r="A78" s="33" t="s">
        <v>947</v>
      </c>
      <c r="B78" s="12"/>
      <c r="C78" s="12"/>
      <c r="D78" s="12"/>
      <c r="E78" s="12"/>
      <c r="F78" s="12"/>
      <c r="G78" s="12"/>
      <c r="H78" s="12"/>
      <c r="I78" s="13" t="s">
        <v>266</v>
      </c>
    </row>
    <row r="79" spans="1:9" ht="12">
      <c r="A79" s="33" t="s">
        <v>948</v>
      </c>
      <c r="B79" s="12"/>
      <c r="C79" s="12"/>
      <c r="D79" s="12"/>
      <c r="E79" s="12"/>
      <c r="F79" s="12"/>
      <c r="G79" s="12"/>
      <c r="H79" s="12"/>
      <c r="I79" s="13" t="s">
        <v>266</v>
      </c>
    </row>
    <row r="80" spans="1:9" ht="12">
      <c r="A80" s="33" t="s">
        <v>950</v>
      </c>
      <c r="B80" s="12"/>
      <c r="C80" s="12"/>
      <c r="D80" s="12"/>
      <c r="E80" s="12"/>
      <c r="F80" s="12"/>
      <c r="G80" s="12"/>
      <c r="H80" s="12"/>
      <c r="I80" s="13" t="s">
        <v>266</v>
      </c>
    </row>
    <row r="81" spans="1:9" ht="12">
      <c r="A81" s="33" t="s">
        <v>656</v>
      </c>
      <c r="B81" s="12"/>
      <c r="C81" s="12"/>
      <c r="D81" s="12"/>
      <c r="E81" s="12"/>
      <c r="F81" s="12"/>
      <c r="G81" s="12"/>
      <c r="H81" s="12"/>
      <c r="I81" s="13" t="s">
        <v>266</v>
      </c>
    </row>
    <row r="82" spans="1:9" ht="12">
      <c r="A82" s="33" t="s">
        <v>949</v>
      </c>
      <c r="B82" s="12"/>
      <c r="C82" s="12"/>
      <c r="D82" s="12"/>
      <c r="E82" s="12"/>
      <c r="F82" s="12"/>
      <c r="G82" s="12"/>
      <c r="H82" s="12"/>
      <c r="I82" s="13" t="s">
        <v>266</v>
      </c>
    </row>
    <row r="83" spans="1:9" s="16" customFormat="1" ht="12">
      <c r="A83" s="33" t="s">
        <v>951</v>
      </c>
      <c r="B83" s="12"/>
      <c r="C83" s="12"/>
      <c r="D83" s="12"/>
      <c r="E83" s="12"/>
      <c r="F83" s="12"/>
      <c r="G83" s="12"/>
      <c r="H83" s="12"/>
      <c r="I83" s="13" t="s">
        <v>266</v>
      </c>
    </row>
    <row r="84" spans="1:9" ht="12">
      <c r="A84" s="33" t="s">
        <v>952</v>
      </c>
      <c r="B84" s="12"/>
      <c r="C84" s="12"/>
      <c r="D84" s="12"/>
      <c r="E84" s="12"/>
      <c r="F84" s="12"/>
      <c r="G84" s="12"/>
      <c r="H84" s="12"/>
      <c r="I84" s="13" t="s">
        <v>266</v>
      </c>
    </row>
    <row r="85" spans="1:9" ht="12">
      <c r="A85" s="33" t="s">
        <v>658</v>
      </c>
      <c r="B85" s="12"/>
      <c r="C85" s="12"/>
      <c r="D85" s="12"/>
      <c r="E85" s="12"/>
      <c r="F85" s="12"/>
      <c r="G85" s="12"/>
      <c r="H85" s="12"/>
      <c r="I85" s="13" t="s">
        <v>266</v>
      </c>
    </row>
    <row r="86" spans="1:9" ht="12">
      <c r="A86" s="33" t="s">
        <v>660</v>
      </c>
      <c r="B86" s="12"/>
      <c r="C86" s="12"/>
      <c r="D86" s="12"/>
      <c r="E86" s="12"/>
      <c r="F86" s="12"/>
      <c r="G86" s="12"/>
      <c r="H86" s="12"/>
      <c r="I86" s="13" t="s">
        <v>266</v>
      </c>
    </row>
    <row r="89" spans="1:9" s="15" customFormat="1">
      <c r="A89" s="11"/>
      <c r="B89" s="16"/>
      <c r="C89" s="16"/>
      <c r="D89" s="16"/>
      <c r="E89" s="16"/>
      <c r="F89" s="16"/>
      <c r="G89" s="16"/>
      <c r="H89" s="16"/>
      <c r="I89" s="16"/>
    </row>
    <row r="90" spans="1:9" s="15" customFormat="1">
      <c r="A90" s="11"/>
      <c r="B90" s="11"/>
      <c r="C90" s="11"/>
      <c r="D90" s="11"/>
      <c r="E90" s="11"/>
      <c r="F90" s="11"/>
      <c r="G90" s="11"/>
      <c r="H90" s="11"/>
      <c r="I90" s="11"/>
    </row>
    <row r="91" spans="1:9" s="15" customFormat="1">
      <c r="A91" s="11"/>
      <c r="B91" s="11"/>
      <c r="C91" s="11"/>
      <c r="D91" s="11"/>
      <c r="E91" s="11"/>
      <c r="F91" s="11"/>
      <c r="G91" s="11"/>
      <c r="H91" s="11"/>
      <c r="I91" s="11"/>
    </row>
    <row r="96" spans="1:9">
      <c r="B96" s="15"/>
      <c r="C96" s="15"/>
      <c r="D96" s="15"/>
      <c r="E96" s="15"/>
      <c r="F96" s="15"/>
      <c r="G96" s="15"/>
      <c r="H96" s="15"/>
      <c r="I96" s="15"/>
    </row>
    <row r="97" spans="2:9">
      <c r="B97" s="15"/>
      <c r="C97" s="15"/>
      <c r="D97" s="15"/>
      <c r="E97" s="15"/>
      <c r="F97" s="15"/>
      <c r="G97" s="15"/>
      <c r="H97" s="15"/>
      <c r="I97" s="15"/>
    </row>
    <row r="98" spans="2:9">
      <c r="B98" s="15"/>
      <c r="C98" s="15"/>
      <c r="D98" s="15"/>
      <c r="E98" s="15"/>
      <c r="F98" s="15"/>
      <c r="G98" s="15"/>
      <c r="H98" s="15"/>
      <c r="I98" s="15"/>
    </row>
  </sheetData>
  <autoFilter ref="A1:I86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988B-12F1-4ADF-9442-50B6BDF29C2E}">
  <sheetPr codeName="Sheet20">
    <tabColor theme="8" tint="0.79998168889431442"/>
  </sheetPr>
  <dimension ref="A1:F98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5.875" style="2" bestFit="1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|:---|:---|:---|:---|:---|</v>
      </c>
    </row>
    <row r="3" spans="1:6" ht="11.25" customHeight="1">
      <c r="A3" s="1" t="s">
        <v>0</v>
      </c>
      <c r="D3" s="2" t="s">
        <v>71</v>
      </c>
      <c r="E3" s="2" t="s">
        <v>1208</v>
      </c>
      <c r="F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|Ctrl|||+/-|拡大/縮小|</v>
      </c>
    </row>
    <row r="4" spans="1:6" ht="11.25" customHeight="1">
      <c r="D4" s="2" t="s">
        <v>1233</v>
      </c>
      <c r="E4" s="2" t="s">
        <v>1209</v>
      </c>
      <c r="F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||||h|手のひらツール|</v>
      </c>
    </row>
    <row r="5" spans="1:6" ht="11.25" customHeight="1">
      <c r="D5" s="2" t="s">
        <v>1240</v>
      </c>
      <c r="E5" s="2" t="s">
        <v>1224</v>
      </c>
      <c r="F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||||space|手のひらツール（一時的）|</v>
      </c>
    </row>
    <row r="6" spans="1:6" ht="11.25" customHeight="1">
      <c r="D6" s="2" t="s">
        <v>1234</v>
      </c>
      <c r="E6" s="2" t="s">
        <v>1210</v>
      </c>
      <c r="F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||||v|選択ツール|</v>
      </c>
    </row>
    <row r="7" spans="1:6" ht="11.25" customHeight="1">
      <c r="D7" s="2" t="s">
        <v>515</v>
      </c>
      <c r="E7" s="2" t="s">
        <v>1227</v>
      </c>
      <c r="F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||||u|ハイライトツール|</v>
      </c>
    </row>
    <row r="8" spans="1:6" ht="11.25" customHeight="1">
      <c r="B8" s="1" t="s">
        <v>1</v>
      </c>
      <c r="D8" s="2" t="s">
        <v>351</v>
      </c>
      <c r="E8" s="2" t="s">
        <v>1228</v>
      </c>
      <c r="F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||Shift||u|ハイライトツール切り替え(ハイライト→下線→取り消し線→…)|</v>
      </c>
    </row>
    <row r="9" spans="1:6" ht="11.25" customHeight="1">
      <c r="D9" s="2" t="s">
        <v>1235</v>
      </c>
      <c r="E9" s="2" t="s">
        <v>1211</v>
      </c>
      <c r="F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||||z|マーキーズームツール|</v>
      </c>
    </row>
    <row r="10" spans="1:6" ht="11.25" customHeight="1">
      <c r="A10" s="1" t="s">
        <v>0</v>
      </c>
      <c r="E10" s="2" t="s">
        <v>1241</v>
      </c>
      <c r="F1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|Ctrl||||一時的ズームアウト＠マーキーズームツール|</v>
      </c>
    </row>
    <row r="11" spans="1:6" ht="11.25" customHeight="1">
      <c r="B11" s="1" t="s">
        <v>1</v>
      </c>
      <c r="D11" s="2" t="s">
        <v>109</v>
      </c>
      <c r="E11" s="2" t="s">
        <v>1212</v>
      </c>
      <c r="F1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||Shift||z|ズームツールの切り替え|</v>
      </c>
    </row>
    <row r="12" spans="1:6" ht="11.25" customHeight="1">
      <c r="A12" s="1" t="s">
        <v>0</v>
      </c>
      <c r="D12" s="2" t="s">
        <v>1240</v>
      </c>
      <c r="E12" s="2" t="s">
        <v>1232</v>
      </c>
      <c r="F1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|Ctrl|||space|ズームインツール選択（一時的）|</v>
      </c>
    </row>
    <row r="13" spans="1:6" ht="11.25" customHeight="1">
      <c r="D13" s="6" t="s">
        <v>57</v>
      </c>
      <c r="E13" s="2" t="s">
        <v>1213</v>
      </c>
      <c r="F1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||||r|オブジェクト選択ツール|</v>
      </c>
    </row>
    <row r="14" spans="1:6" ht="11.25" customHeight="1">
      <c r="D14" s="2" t="s">
        <v>1236</v>
      </c>
      <c r="E14" s="2" t="s">
        <v>1225</v>
      </c>
      <c r="F1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||||o|オブジェクト編集ツール|</v>
      </c>
    </row>
    <row r="15" spans="1:6" ht="11.25" customHeight="1">
      <c r="D15" s="2" t="s">
        <v>1207</v>
      </c>
      <c r="E15" s="2" t="s">
        <v>1214</v>
      </c>
      <c r="F1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||||a|フォーム編集の開始／終了|</v>
      </c>
    </row>
    <row r="16" spans="1:6" ht="11.25" customHeight="1">
      <c r="D16" s="2" t="s">
        <v>1165</v>
      </c>
      <c r="E16" s="2" t="s">
        <v>1215</v>
      </c>
      <c r="F1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||||c|トリミングツール|</v>
      </c>
    </row>
    <row r="17" spans="1:6" ht="11.25" customHeight="1">
      <c r="D17" s="2" t="s">
        <v>511</v>
      </c>
      <c r="E17" s="2" t="s">
        <v>1216</v>
      </c>
      <c r="F1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||||l|リンクツール|</v>
      </c>
    </row>
    <row r="18" spans="1:6" ht="11.25" customHeight="1">
      <c r="D18" s="2" t="s">
        <v>514</v>
      </c>
      <c r="E18" s="2" t="s">
        <v>1217</v>
      </c>
      <c r="F1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||||f|テキストフィールドツール|</v>
      </c>
    </row>
    <row r="19" spans="1:6" ht="11.25" customHeight="1">
      <c r="D19" s="2" t="s">
        <v>1162</v>
      </c>
      <c r="E19" s="2" t="s">
        <v>1226</v>
      </c>
      <c r="F1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||||t|文書テキスト編集ツール|</v>
      </c>
    </row>
    <row r="20" spans="1:6" ht="11.25" customHeight="1">
      <c r="B20" s="1" t="s">
        <v>1</v>
      </c>
      <c r="D20" s="2" t="s">
        <v>1242</v>
      </c>
      <c r="E20" s="2" t="s">
        <v>1218</v>
      </c>
      <c r="F2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||Shift||y|墨消し|</v>
      </c>
    </row>
    <row r="21" spans="1:6" ht="11.25" customHeight="1">
      <c r="D21" s="2" t="s">
        <v>58</v>
      </c>
      <c r="E21" s="2" t="s">
        <v>1219</v>
      </c>
      <c r="F2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||||s|ノート注釈ツール|</v>
      </c>
    </row>
    <row r="22" spans="1:6" ht="11.25" customHeight="1">
      <c r="D22" s="2" t="s">
        <v>21</v>
      </c>
      <c r="E22" s="2" t="s">
        <v>1220</v>
      </c>
      <c r="F2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||||e|テキスト注釈ツール|</v>
      </c>
    </row>
    <row r="23" spans="1:6" ht="11.25" customHeight="1">
      <c r="D23" s="2" t="s">
        <v>1237</v>
      </c>
      <c r="E23" s="2" t="s">
        <v>1221</v>
      </c>
      <c r="F2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||||k|スタンプツール|</v>
      </c>
    </row>
    <row r="24" spans="1:6" ht="11.25" customHeight="1">
      <c r="D24" s="2" t="s">
        <v>1163</v>
      </c>
      <c r="E24" s="2" t="s">
        <v>1229</v>
      </c>
      <c r="F2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||||d|描画マークアップツール|</v>
      </c>
    </row>
    <row r="25" spans="1:6" ht="11.25" customHeight="1">
      <c r="B25" s="1" t="s">
        <v>1</v>
      </c>
      <c r="D25" s="2" t="s">
        <v>90</v>
      </c>
      <c r="E25" s="2" t="s">
        <v>1230</v>
      </c>
      <c r="F2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||Shift||d|描画マークアップツール切り替え|</v>
      </c>
    </row>
    <row r="26" spans="1:6" ht="11.25" customHeight="1">
      <c r="D26" s="2" t="s">
        <v>1238</v>
      </c>
      <c r="E26" s="2" t="s">
        <v>1222</v>
      </c>
      <c r="F2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||||q|雲型ツール|</v>
      </c>
    </row>
    <row r="27" spans="1:6" ht="11.25" customHeight="1">
      <c r="D27" s="2" t="s">
        <v>1239</v>
      </c>
      <c r="E27" s="2" t="s">
        <v>1223</v>
      </c>
      <c r="F2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||||x|テキストボックスツール|</v>
      </c>
    </row>
    <row r="28" spans="1:6" ht="11.25" customHeight="1">
      <c r="D28" s="2" t="s">
        <v>57</v>
      </c>
      <c r="E28" s="2" t="s">
        <v>1231</v>
      </c>
      <c r="F2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||||r|注釈返信|</v>
      </c>
    </row>
    <row r="29" spans="1:6" ht="11.25" customHeight="1">
      <c r="A29" s="1" t="s">
        <v>0</v>
      </c>
      <c r="D29" s="2" t="s">
        <v>90</v>
      </c>
      <c r="E29" s="2" t="s">
        <v>1243</v>
      </c>
      <c r="F2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|Ctrl|||d|文書のプロパティ表示|</v>
      </c>
    </row>
    <row r="30" spans="1:6" ht="11.25" customHeight="1">
      <c r="D30" s="2" t="s">
        <v>380</v>
      </c>
      <c r="E30" s="2" t="s">
        <v>1244</v>
      </c>
      <c r="F3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||||→/←|しおり展開/閉じる|</v>
      </c>
    </row>
    <row r="31" spans="1:6" ht="11.25" customHeight="1">
      <c r="B31" s="1" t="s">
        <v>1</v>
      </c>
      <c r="D31" s="2" t="s">
        <v>384</v>
      </c>
      <c r="E31" s="2" t="s">
        <v>1251</v>
      </c>
      <c r="F3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||Shift||:|全しおり展開|</v>
      </c>
    </row>
    <row r="32" spans="1:6" ht="11.25" customHeight="1">
      <c r="B32" s="1" t="s">
        <v>1</v>
      </c>
      <c r="D32" s="2" t="s">
        <v>341</v>
      </c>
      <c r="E32" s="2" t="s">
        <v>1247</v>
      </c>
      <c r="F3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||Shift||F4|パネル表示切り替え(タスクパネル)|</v>
      </c>
    </row>
    <row r="33" spans="1:6" ht="11.25" customHeight="1">
      <c r="D33" s="2" t="s">
        <v>341</v>
      </c>
      <c r="E33" s="2" t="s">
        <v>1246</v>
      </c>
      <c r="F3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||||F4|パネル表示切り替え(ナビゲーションパネル)|</v>
      </c>
    </row>
    <row r="34" spans="1:6" ht="11.25" customHeight="1">
      <c r="A34" s="1" t="s">
        <v>0</v>
      </c>
      <c r="B34" s="1" t="s">
        <v>1</v>
      </c>
      <c r="D34" s="2" t="s">
        <v>1245</v>
      </c>
      <c r="E34" s="2" t="s">
        <v>1248</v>
      </c>
      <c r="F3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|Ctrl|Shift||F5|フォーカス切り替え(ナビゲーションパネル)|</v>
      </c>
    </row>
    <row r="35" spans="1:6" ht="11.25" customHeight="1">
      <c r="D35" s="2" t="s">
        <v>1245</v>
      </c>
      <c r="E35" s="2" t="s">
        <v>1249</v>
      </c>
      <c r="F3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||||F5|フォーカス切り替え(文書パネル)|</v>
      </c>
    </row>
    <row r="36" spans="1:6" ht="11.25" customHeight="1">
      <c r="D36" s="2" t="s">
        <v>345</v>
      </c>
      <c r="E36" s="2" t="s">
        <v>1250</v>
      </c>
      <c r="F3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>||||F9|パネル表示切り替え(メニューバー)|</v>
      </c>
    </row>
    <row r="37" spans="1:6" ht="11.25" customHeight="1">
      <c r="F3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38" spans="1:6" ht="11.25" customHeight="1">
      <c r="F3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39" spans="1:6" ht="11.25" customHeight="1">
      <c r="F3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0" spans="1:6" ht="11.25" customHeight="1">
      <c r="F4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1" spans="1:6" ht="11.25" customHeight="1">
      <c r="F4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2" spans="1:6" ht="11.25" customHeight="1">
      <c r="F4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3" spans="1:6" ht="11.25" customHeight="1">
      <c r="F4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4" spans="1:6" ht="11.25" customHeight="1">
      <c r="F4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5" spans="1:6" ht="11.25" customHeight="1">
      <c r="F4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6" spans="1:6" ht="11.25" customHeight="1">
      <c r="F4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7" spans="1:6" ht="11.25" customHeight="1">
      <c r="F4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8" spans="1:6" ht="11.25" customHeight="1">
      <c r="F4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49" spans="6:6" ht="11.25" customHeight="1">
      <c r="F4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0" spans="6:6" ht="11.25" customHeight="1">
      <c r="F5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1" spans="6:6" ht="11.25" customHeight="1">
      <c r="F5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2" spans="6:6" ht="11.25" customHeight="1">
      <c r="F5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3" spans="6:6" ht="11.25" customHeight="1">
      <c r="F5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4" spans="6:6" ht="11.25" customHeight="1">
      <c r="F5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5" spans="6:6" ht="11.25" customHeight="1">
      <c r="F5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6" spans="6:6" ht="11.25" customHeight="1">
      <c r="F5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7" spans="6:6" ht="11.25" customHeight="1">
      <c r="F5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8" spans="6:6" ht="11.25" customHeight="1">
      <c r="F5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59" spans="6:6" ht="11.25" customHeight="1">
      <c r="F5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0" spans="6:6" ht="11.25" customHeight="1">
      <c r="F6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1" spans="6:6" ht="11.25" customHeight="1">
      <c r="F6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2" spans="6:6" ht="11.25" customHeight="1">
      <c r="F6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3" spans="6:6" ht="11.25" customHeight="1">
      <c r="F6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4" spans="6:6" ht="11.25" customHeight="1">
      <c r="F6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5" spans="6:6" ht="11.25" customHeight="1">
      <c r="F6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6" spans="6:6" ht="11.25" customHeight="1">
      <c r="F6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7" spans="6:6" ht="11.25" customHeight="1">
      <c r="F6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8" spans="6:6" ht="11.25" customHeight="1">
      <c r="F6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69" spans="6:6" ht="11.25" customHeight="1">
      <c r="F6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0" spans="6:6" ht="11.25" customHeight="1">
      <c r="F7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1" spans="6:6" ht="11.25" customHeight="1">
      <c r="F7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2" spans="6:6" ht="11.25" customHeight="1">
      <c r="F7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3" spans="6:6" ht="11.25" customHeight="1">
      <c r="F7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4" spans="6:6" ht="11.25" customHeight="1">
      <c r="F7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5" spans="6:6" ht="11.25" customHeight="1">
      <c r="F7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6" spans="6:6" ht="11.25" customHeight="1">
      <c r="F7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7" spans="6:6" ht="11.25" customHeight="1">
      <c r="F7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8" spans="6:6" ht="11.25" customHeight="1">
      <c r="F7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79" spans="6:6" ht="11.25" customHeight="1">
      <c r="F7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0" spans="6:6" ht="11.25" customHeight="1">
      <c r="F8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1" spans="6:6" ht="11.25" customHeight="1">
      <c r="F8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2" spans="6:6" ht="11.25" customHeight="1">
      <c r="F8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3" spans="6:6" ht="11.25" customHeight="1">
      <c r="F8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4" spans="6:6" ht="11.25" customHeight="1">
      <c r="F8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5" spans="6:6" ht="11.25" customHeight="1">
      <c r="F8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6" spans="6:6" ht="11.25" customHeight="1">
      <c r="F8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7" spans="6:6" ht="11.25" customHeight="1">
      <c r="F8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8" spans="6:6" ht="11.25" customHeight="1">
      <c r="F8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89" spans="6:6" ht="11.25" customHeight="1">
      <c r="F89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0" spans="6:6" ht="11.25" customHeight="1">
      <c r="F90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1" spans="6:6" ht="11.25" customHeight="1">
      <c r="F91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2" spans="6:6" ht="11.25" customHeight="1">
      <c r="F92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3" spans="6:6" ht="11.25" customHeight="1">
      <c r="F93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4" spans="6:6" ht="11.25" customHeight="1">
      <c r="F94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5" spans="6:6" ht="11.25" customHeight="1">
      <c r="F95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6" spans="6:6" ht="11.25" customHeight="1">
      <c r="F96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7" spans="6:6" ht="11.25" customHeight="1">
      <c r="F97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  <row r="98" spans="6:6" ht="11.25" customHeight="1">
      <c r="F98" s="3" t="str">
        <f>IF(ISBLANK(テーブル1713[[#This Row],[機能]]),"","|"&amp;テーブル1713[[#This Row],[Ctrl]]&amp;"|"&amp;テーブル1713[[#This Row],[Shift]]&amp;"|"&amp;テーブル1713[[#This Row],[Alt]]&amp;"|"&amp;テーブル1713[[#This Row],[Key]]&amp;"|"&amp;テーブル1713[[#This Row],[機能]]&amp;"|")</f>
        <v/>
      </c>
    </row>
  </sheetData>
  <phoneticPr fontId="4"/>
  <dataValidations count="3">
    <dataValidation type="list" allowBlank="1" showInputMessage="1" sqref="C3:C98" xr:uid="{9D6D672C-212D-4353-8DF1-FBFE407D104D}">
      <formula1>"Alt"</formula1>
    </dataValidation>
    <dataValidation type="list" allowBlank="1" showInputMessage="1" sqref="B3:B98" xr:uid="{C93E9E8B-7E1E-41F0-93F1-12BF9365D851}">
      <formula1>"Shift"</formula1>
    </dataValidation>
    <dataValidation type="list" allowBlank="1" showInputMessage="1" sqref="A3:A98" xr:uid="{C7C976EF-45AA-45A2-83BC-4C5EBDB8EB51}">
      <formula1>"Ctrl"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4D25-11F0-4B75-B08C-CCE87BE573F8}">
  <sheetPr codeName="Sheet10">
    <tabColor theme="8" tint="0.79998168889431442"/>
  </sheetPr>
  <dimension ref="A1:F99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4" t="s">
        <v>4</v>
      </c>
      <c r="B2" s="4" t="s">
        <v>4</v>
      </c>
      <c r="C2" s="4" t="s">
        <v>4</v>
      </c>
      <c r="D2" s="5" t="s">
        <v>4</v>
      </c>
      <c r="E2" s="5" t="s">
        <v>4</v>
      </c>
      <c r="F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>|:---|:---|:---|:---|:---|</v>
      </c>
    </row>
    <row r="3" spans="1:6" ht="11.25" customHeight="1">
      <c r="A3" s="1" t="s">
        <v>0</v>
      </c>
      <c r="D3" s="2" t="s">
        <v>231</v>
      </c>
      <c r="E3" s="2" t="s">
        <v>232</v>
      </c>
      <c r="F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>|Ctrl|||Spase|一時的に手のひらツール|</v>
      </c>
    </row>
    <row r="4" spans="1:6" ht="11.25" customHeight="1">
      <c r="F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" spans="1:6" ht="11.25" customHeight="1">
      <c r="F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" spans="1:6" ht="11.25" customHeight="1">
      <c r="F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" spans="1:6" ht="11.25" customHeight="1">
      <c r="F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" spans="1:6" ht="11.25" customHeight="1">
      <c r="F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" spans="1:6" ht="11.25" customHeight="1">
      <c r="F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0" spans="1:6" ht="11.25" customHeight="1">
      <c r="F1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1" spans="1:6" ht="11.25" customHeight="1">
      <c r="F1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2" spans="1:6" ht="11.25" customHeight="1">
      <c r="D12" s="6"/>
      <c r="F1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3" spans="1:6" ht="11.25" customHeight="1">
      <c r="F1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4" spans="1:6" ht="11.25" customHeight="1">
      <c r="F1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5" spans="1:6" ht="11.25" customHeight="1">
      <c r="F1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6" spans="1:6" ht="11.25" customHeight="1">
      <c r="F1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7" spans="6:6" ht="11.25" customHeight="1">
      <c r="F1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8" spans="6:6" ht="11.25" customHeight="1">
      <c r="F1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19" spans="6:6" ht="11.25" customHeight="1">
      <c r="F1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0" spans="6:6" ht="11.25" customHeight="1">
      <c r="F2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1" spans="6:6" ht="11.25" customHeight="1">
      <c r="F2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2" spans="6:6" ht="11.25" customHeight="1">
      <c r="F2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3" spans="6:6" ht="11.25" customHeight="1">
      <c r="F2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4" spans="6:6" ht="11.25" customHeight="1">
      <c r="F2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5" spans="6:6" ht="11.25" customHeight="1">
      <c r="F2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6" spans="6:6" ht="11.25" customHeight="1">
      <c r="F2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7" spans="6:6" ht="11.25" customHeight="1">
      <c r="F2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8" spans="6:6" ht="11.25" customHeight="1">
      <c r="F2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29" spans="6:6" ht="11.25" customHeight="1">
      <c r="F2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0" spans="6:6" ht="11.25" customHeight="1">
      <c r="F3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1" spans="6:6" ht="11.25" customHeight="1">
      <c r="F3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2" spans="6:6" ht="11.25" customHeight="1">
      <c r="F3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3" spans="6:6" ht="11.25" customHeight="1">
      <c r="F3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4" spans="6:6" ht="11.25" customHeight="1">
      <c r="F3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5" spans="6:6" ht="11.25" customHeight="1">
      <c r="F3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6" spans="6:6" ht="11.25" customHeight="1">
      <c r="F3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7" spans="6:6" ht="11.25" customHeight="1">
      <c r="F3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8" spans="6:6" ht="11.25" customHeight="1">
      <c r="F3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39" spans="6:6" ht="11.25" customHeight="1">
      <c r="F3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0" spans="6:6" ht="11.25" customHeight="1">
      <c r="F4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1" spans="6:6" ht="11.25" customHeight="1">
      <c r="F4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2" spans="6:6" ht="11.25" customHeight="1">
      <c r="F4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3" spans="6:6" ht="11.25" customHeight="1">
      <c r="F4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4" spans="6:6" ht="11.25" customHeight="1">
      <c r="F4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5" spans="6:6" ht="11.25" customHeight="1">
      <c r="F4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6" spans="6:6" ht="11.25" customHeight="1">
      <c r="F4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7" spans="6:6" ht="11.25" customHeight="1">
      <c r="F4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8" spans="6:6" ht="11.25" customHeight="1">
      <c r="F4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49" spans="6:6" ht="11.25" customHeight="1">
      <c r="F4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0" spans="6:6" ht="11.25" customHeight="1">
      <c r="F5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1" spans="6:6" ht="11.25" customHeight="1">
      <c r="F5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2" spans="6:6" ht="11.25" customHeight="1">
      <c r="F5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3" spans="6:6" ht="11.25" customHeight="1">
      <c r="F5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4" spans="6:6" ht="11.25" customHeight="1">
      <c r="F5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5" spans="6:6" ht="11.25" customHeight="1">
      <c r="F5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6" spans="6:6" ht="11.25" customHeight="1">
      <c r="F5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7" spans="6:6" ht="11.25" customHeight="1">
      <c r="F5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8" spans="6:6" ht="11.25" customHeight="1">
      <c r="F5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59" spans="6:6" ht="11.25" customHeight="1">
      <c r="F5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0" spans="6:6" ht="11.25" customHeight="1">
      <c r="F6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1" spans="6:6" ht="11.25" customHeight="1">
      <c r="F6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2" spans="6:6" ht="11.25" customHeight="1">
      <c r="F6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3" spans="6:6" ht="11.25" customHeight="1">
      <c r="F6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4" spans="6:6" ht="11.25" customHeight="1">
      <c r="F6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5" spans="6:6" ht="11.25" customHeight="1">
      <c r="F6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6" spans="6:6" ht="11.25" customHeight="1">
      <c r="F6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7" spans="6:6" ht="11.25" customHeight="1">
      <c r="F6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8" spans="6:6" ht="11.25" customHeight="1">
      <c r="F6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69" spans="6:6" ht="11.25" customHeight="1">
      <c r="F6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0" spans="6:6" ht="11.25" customHeight="1">
      <c r="F7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1" spans="6:6" ht="11.25" customHeight="1">
      <c r="F7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2" spans="6:6" ht="11.25" customHeight="1">
      <c r="F7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3" spans="6:6" ht="11.25" customHeight="1">
      <c r="F7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4" spans="6:6" ht="11.25" customHeight="1">
      <c r="F7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5" spans="6:6" ht="11.25" customHeight="1">
      <c r="F7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6" spans="6:6" ht="11.25" customHeight="1">
      <c r="F7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7" spans="6:6" ht="11.25" customHeight="1">
      <c r="F7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8" spans="6:6" ht="11.25" customHeight="1">
      <c r="F7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79" spans="6:6" ht="11.25" customHeight="1">
      <c r="F7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0" spans="6:6" ht="11.25" customHeight="1">
      <c r="F8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1" spans="6:6" ht="11.25" customHeight="1">
      <c r="F8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2" spans="6:6" ht="11.25" customHeight="1">
      <c r="F8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3" spans="6:6" ht="11.25" customHeight="1">
      <c r="F8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4" spans="6:6" ht="11.25" customHeight="1">
      <c r="F8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5" spans="6:6" ht="11.25" customHeight="1">
      <c r="F8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6" spans="6:6" ht="11.25" customHeight="1">
      <c r="F8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7" spans="6:6" ht="11.25" customHeight="1">
      <c r="F8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8" spans="6:6" ht="11.25" customHeight="1">
      <c r="F8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89" spans="6:6" ht="11.25" customHeight="1">
      <c r="F8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0" spans="6:6" ht="11.25" customHeight="1">
      <c r="F90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1" spans="6:6" ht="11.25" customHeight="1">
      <c r="F91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2" spans="6:6" ht="11.25" customHeight="1">
      <c r="F92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3" spans="6:6" ht="11.25" customHeight="1">
      <c r="F93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4" spans="6:6" ht="11.25" customHeight="1">
      <c r="F94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5" spans="6:6" ht="11.25" customHeight="1">
      <c r="F95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6" spans="6:6" ht="11.25" customHeight="1">
      <c r="F96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7" spans="6:6" ht="11.25" customHeight="1">
      <c r="F97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8" spans="6:6" ht="11.25" customHeight="1">
      <c r="F98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  <row r="99" spans="6:6" ht="11.25" customHeight="1">
      <c r="F99" s="3" t="str">
        <f>IF(ISBLANK(テーブル1789[[#This Row],[機能]]),"","|"&amp;テーブル1789[[#This Row],[Ctrl]]&amp;"|"&amp;テーブル1789[[#This Row],[Shift]]&amp;"|"&amp;テーブル1789[[#This Row],[Alt]]&amp;"|"&amp;テーブル1789[[#This Row],[Key]]&amp;"|"&amp;テーブル1789[[#This Row],[機能]]&amp;"|")</f>
        <v/>
      </c>
    </row>
  </sheetData>
  <phoneticPr fontId="4"/>
  <dataValidations disablePrompts="1" count="3">
    <dataValidation type="list" allowBlank="1" showInputMessage="1" showErrorMessage="1" sqref="A3:A99" xr:uid="{6C1EA6AE-8AE8-4D9F-AB86-903EBBA30A8E}">
      <formula1>"Ctrl"</formula1>
    </dataValidation>
    <dataValidation type="list" allowBlank="1" showInputMessage="1" showErrorMessage="1" sqref="B3:B99" xr:uid="{0849FCB7-7D06-4E54-9417-C098320B5279}">
      <formula1>"Shift"</formula1>
    </dataValidation>
    <dataValidation type="list" allowBlank="1" showInputMessage="1" showErrorMessage="1" sqref="C3:C99" xr:uid="{8BC8387B-CE30-4508-99FA-2EE4190B2A2E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F8B7-7BBA-4418-BC20-AB3846C1CD4E}">
  <sheetPr codeName="Sheet21">
    <tabColor theme="8" tint="0.79998168889431442"/>
  </sheetPr>
  <dimension ref="A1:I99"/>
  <sheetViews>
    <sheetView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9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9" s="14" customFormat="1" ht="12">
      <c r="A2" s="31" t="s">
        <v>215</v>
      </c>
      <c r="B2" s="12" t="s">
        <v>1461</v>
      </c>
      <c r="C2" s="12" t="s">
        <v>266</v>
      </c>
      <c r="D2" s="12" t="s">
        <v>266</v>
      </c>
      <c r="E2" s="12" t="s">
        <v>266</v>
      </c>
      <c r="F2" s="12" t="s">
        <v>266</v>
      </c>
      <c r="G2" s="12" t="s">
        <v>266</v>
      </c>
      <c r="H2" s="12" t="s">
        <v>266</v>
      </c>
      <c r="I2" s="13" t="s">
        <v>266</v>
      </c>
    </row>
    <row r="3" spans="1:9" s="14" customFormat="1" ht="12">
      <c r="A3" s="31" t="s">
        <v>154</v>
      </c>
      <c r="B3" s="12" t="s">
        <v>1508</v>
      </c>
      <c r="C3" s="12" t="s">
        <v>266</v>
      </c>
      <c r="D3" s="12" t="s">
        <v>266</v>
      </c>
      <c r="E3" s="12" t="s">
        <v>266</v>
      </c>
      <c r="F3" s="12" t="s">
        <v>266</v>
      </c>
      <c r="G3" s="12" t="s">
        <v>266</v>
      </c>
      <c r="H3" s="12" t="s">
        <v>266</v>
      </c>
      <c r="I3" s="13" t="s">
        <v>266</v>
      </c>
    </row>
    <row r="4" spans="1:9" s="14" customFormat="1" ht="12">
      <c r="A4" s="31" t="s">
        <v>156</v>
      </c>
      <c r="B4" s="12" t="s">
        <v>266</v>
      </c>
      <c r="C4" s="12" t="s">
        <v>266</v>
      </c>
      <c r="D4" s="12" t="s">
        <v>266</v>
      </c>
      <c r="E4" s="12" t="s">
        <v>266</v>
      </c>
      <c r="F4" s="12" t="s">
        <v>266</v>
      </c>
      <c r="G4" s="12" t="s">
        <v>266</v>
      </c>
      <c r="H4" s="12" t="s">
        <v>266</v>
      </c>
      <c r="I4" s="13" t="s">
        <v>266</v>
      </c>
    </row>
    <row r="5" spans="1:9" s="14" customFormat="1" ht="12">
      <c r="A5" s="31" t="s">
        <v>150</v>
      </c>
      <c r="B5" s="12" t="s">
        <v>266</v>
      </c>
      <c r="C5" s="12" t="s">
        <v>266</v>
      </c>
      <c r="D5" s="12" t="s">
        <v>1541</v>
      </c>
      <c r="E5" s="12" t="s">
        <v>266</v>
      </c>
      <c r="F5" s="12" t="s">
        <v>266</v>
      </c>
      <c r="G5" s="12" t="s">
        <v>266</v>
      </c>
      <c r="H5" s="12" t="s">
        <v>266</v>
      </c>
      <c r="I5" s="13" t="s">
        <v>266</v>
      </c>
    </row>
    <row r="6" spans="1:9" s="14" customFormat="1" ht="12">
      <c r="A6" s="31" t="s">
        <v>159</v>
      </c>
      <c r="B6" s="12" t="s">
        <v>266</v>
      </c>
      <c r="C6" s="12" t="s">
        <v>266</v>
      </c>
      <c r="D6" s="12" t="s">
        <v>266</v>
      </c>
      <c r="E6" s="12" t="s">
        <v>266</v>
      </c>
      <c r="F6" s="12" t="s">
        <v>266</v>
      </c>
      <c r="G6" s="12" t="s">
        <v>266</v>
      </c>
      <c r="H6" s="12" t="s">
        <v>266</v>
      </c>
      <c r="I6" s="13" t="s">
        <v>266</v>
      </c>
    </row>
    <row r="7" spans="1:9" s="14" customFormat="1" ht="12">
      <c r="A7" s="31" t="s">
        <v>53</v>
      </c>
      <c r="B7" s="12" t="s">
        <v>266</v>
      </c>
      <c r="C7" s="12" t="s">
        <v>266</v>
      </c>
      <c r="D7" s="12" t="s">
        <v>1522</v>
      </c>
      <c r="E7" s="12" t="s">
        <v>266</v>
      </c>
      <c r="F7" s="12" t="s">
        <v>1501</v>
      </c>
      <c r="G7" s="12" t="s">
        <v>266</v>
      </c>
      <c r="H7" s="12" t="s">
        <v>266</v>
      </c>
      <c r="I7" s="13" t="s">
        <v>266</v>
      </c>
    </row>
    <row r="8" spans="1:9" s="14" customFormat="1" ht="12">
      <c r="A8" s="31" t="s">
        <v>224</v>
      </c>
      <c r="B8" s="12" t="s">
        <v>1465</v>
      </c>
      <c r="C8" s="12" t="s">
        <v>266</v>
      </c>
      <c r="D8" s="12" t="s">
        <v>266</v>
      </c>
      <c r="E8" s="12" t="s">
        <v>1500</v>
      </c>
      <c r="F8" s="12" t="s">
        <v>266</v>
      </c>
      <c r="G8" s="12" t="s">
        <v>266</v>
      </c>
      <c r="H8" s="12" t="s">
        <v>266</v>
      </c>
      <c r="I8" s="13" t="s">
        <v>266</v>
      </c>
    </row>
    <row r="9" spans="1:9" s="14" customFormat="1" ht="12">
      <c r="A9" s="31" t="s">
        <v>238</v>
      </c>
      <c r="B9" s="12" t="s">
        <v>1453</v>
      </c>
      <c r="C9" s="12" t="s">
        <v>266</v>
      </c>
      <c r="D9" s="12" t="s">
        <v>1451</v>
      </c>
      <c r="E9" s="12" t="s">
        <v>266</v>
      </c>
      <c r="F9" s="12" t="s">
        <v>266</v>
      </c>
      <c r="G9" s="12" t="s">
        <v>266</v>
      </c>
      <c r="H9" s="12" t="s">
        <v>266</v>
      </c>
      <c r="I9" s="13" t="s">
        <v>266</v>
      </c>
    </row>
    <row r="10" spans="1:9" s="14" customFormat="1" ht="12">
      <c r="A10" s="31" t="s">
        <v>235</v>
      </c>
      <c r="B10" s="12" t="s">
        <v>1487</v>
      </c>
      <c r="C10" s="12" t="s">
        <v>266</v>
      </c>
      <c r="D10" s="12" t="s">
        <v>266</v>
      </c>
      <c r="E10" s="12" t="s">
        <v>266</v>
      </c>
      <c r="F10" s="12" t="s">
        <v>266</v>
      </c>
      <c r="G10" s="12" t="s">
        <v>266</v>
      </c>
      <c r="H10" s="12" t="s">
        <v>266</v>
      </c>
      <c r="I10" s="13" t="s">
        <v>266</v>
      </c>
    </row>
    <row r="11" spans="1:9" s="14" customFormat="1" ht="12">
      <c r="A11" s="31" t="s">
        <v>141</v>
      </c>
      <c r="B11" s="12" t="s">
        <v>266</v>
      </c>
      <c r="C11" s="12" t="s">
        <v>266</v>
      </c>
      <c r="D11" s="12" t="s">
        <v>266</v>
      </c>
      <c r="E11" s="12" t="s">
        <v>266</v>
      </c>
      <c r="F11" s="12" t="s">
        <v>266</v>
      </c>
      <c r="G11" s="12" t="s">
        <v>266</v>
      </c>
      <c r="H11" s="12" t="s">
        <v>266</v>
      </c>
      <c r="I11" s="13" t="s">
        <v>266</v>
      </c>
    </row>
    <row r="12" spans="1:9" s="14" customFormat="1" ht="12">
      <c r="A12" s="31" t="s">
        <v>221</v>
      </c>
      <c r="B12" s="12" t="s">
        <v>1474</v>
      </c>
      <c r="C12" s="12" t="s">
        <v>266</v>
      </c>
      <c r="D12" s="12" t="s">
        <v>266</v>
      </c>
      <c r="E12" s="12" t="s">
        <v>266</v>
      </c>
      <c r="F12" s="12" t="s">
        <v>266</v>
      </c>
      <c r="G12" s="12" t="s">
        <v>266</v>
      </c>
      <c r="H12" s="12" t="s">
        <v>266</v>
      </c>
      <c r="I12" s="13" t="s">
        <v>266</v>
      </c>
    </row>
    <row r="13" spans="1:9" s="14" customFormat="1" ht="12">
      <c r="A13" s="31" t="s">
        <v>225</v>
      </c>
      <c r="B13" s="12" t="s">
        <v>266</v>
      </c>
      <c r="C13" s="12" t="s">
        <v>266</v>
      </c>
      <c r="D13" s="12" t="s">
        <v>266</v>
      </c>
      <c r="E13" s="12" t="s">
        <v>266</v>
      </c>
      <c r="F13" s="12" t="s">
        <v>266</v>
      </c>
      <c r="G13" s="12" t="s">
        <v>266</v>
      </c>
      <c r="H13" s="12" t="s">
        <v>266</v>
      </c>
      <c r="I13" s="13" t="s">
        <v>266</v>
      </c>
    </row>
    <row r="14" spans="1:9" ht="12">
      <c r="A14" s="32">
        <v>1</v>
      </c>
      <c r="B14" s="12" t="s">
        <v>266</v>
      </c>
      <c r="C14" s="12" t="s">
        <v>1504</v>
      </c>
      <c r="D14" s="12" t="s">
        <v>1482</v>
      </c>
      <c r="E14" s="12" t="s">
        <v>1468</v>
      </c>
      <c r="F14" s="12" t="s">
        <v>1539</v>
      </c>
      <c r="G14" s="12" t="s">
        <v>266</v>
      </c>
      <c r="H14" s="12" t="s">
        <v>266</v>
      </c>
      <c r="I14" s="13" t="s">
        <v>266</v>
      </c>
    </row>
    <row r="15" spans="1:9" ht="12">
      <c r="A15" s="32">
        <v>2</v>
      </c>
      <c r="B15" s="12" t="s">
        <v>266</v>
      </c>
      <c r="C15" s="12" t="s">
        <v>1536</v>
      </c>
      <c r="D15" s="12" t="s">
        <v>1485</v>
      </c>
      <c r="E15" s="12" t="s">
        <v>1209</v>
      </c>
      <c r="F15" s="12" t="s">
        <v>266</v>
      </c>
      <c r="G15" s="12" t="s">
        <v>266</v>
      </c>
      <c r="H15" s="12" t="s">
        <v>266</v>
      </c>
      <c r="I15" s="13" t="s">
        <v>266</v>
      </c>
    </row>
    <row r="16" spans="1:9" ht="12">
      <c r="A16" s="32">
        <v>3</v>
      </c>
      <c r="B16" s="12" t="s">
        <v>266</v>
      </c>
      <c r="C16" s="12" t="s">
        <v>1532</v>
      </c>
      <c r="D16" s="12" t="s">
        <v>1510</v>
      </c>
      <c r="E16" s="12" t="s">
        <v>1464</v>
      </c>
      <c r="F16" s="12" t="s">
        <v>266</v>
      </c>
      <c r="G16" s="12" t="s">
        <v>266</v>
      </c>
      <c r="H16" s="12" t="s">
        <v>266</v>
      </c>
      <c r="I16" s="13" t="s">
        <v>266</v>
      </c>
    </row>
    <row r="17" spans="1:9" ht="12">
      <c r="A17" s="32">
        <v>4</v>
      </c>
      <c r="B17" s="12" t="s">
        <v>266</v>
      </c>
      <c r="C17" s="12" t="s">
        <v>1533</v>
      </c>
      <c r="D17" s="12" t="s">
        <v>1511</v>
      </c>
      <c r="E17" s="12" t="s">
        <v>1467</v>
      </c>
      <c r="F17" s="12" t="s">
        <v>266</v>
      </c>
      <c r="G17" s="12" t="s">
        <v>266</v>
      </c>
      <c r="H17" s="12" t="s">
        <v>266</v>
      </c>
      <c r="I17" s="13" t="s">
        <v>266</v>
      </c>
    </row>
    <row r="18" spans="1:9" ht="12">
      <c r="A18" s="32">
        <v>5</v>
      </c>
      <c r="B18" s="12" t="s">
        <v>266</v>
      </c>
      <c r="C18" s="12" t="s">
        <v>266</v>
      </c>
      <c r="D18" s="12" t="s">
        <v>266</v>
      </c>
      <c r="E18" s="12" t="s">
        <v>1492</v>
      </c>
      <c r="F18" s="12" t="s">
        <v>266</v>
      </c>
      <c r="G18" s="12" t="s">
        <v>266</v>
      </c>
      <c r="H18" s="12" t="s">
        <v>266</v>
      </c>
      <c r="I18" s="13" t="s">
        <v>266</v>
      </c>
    </row>
    <row r="19" spans="1:9" ht="12">
      <c r="A19" s="32">
        <v>6</v>
      </c>
      <c r="B19" s="12" t="s">
        <v>266</v>
      </c>
      <c r="C19" s="12" t="s">
        <v>266</v>
      </c>
      <c r="D19" s="12" t="s">
        <v>266</v>
      </c>
      <c r="E19" s="12" t="s">
        <v>1494</v>
      </c>
      <c r="F19" s="12" t="s">
        <v>1469</v>
      </c>
      <c r="G19" s="12" t="s">
        <v>266</v>
      </c>
      <c r="H19" s="12" t="s">
        <v>266</v>
      </c>
      <c r="I19" s="13" t="s">
        <v>266</v>
      </c>
    </row>
    <row r="20" spans="1:9" ht="12">
      <c r="A20" s="32">
        <v>7</v>
      </c>
      <c r="B20" s="12" t="s">
        <v>1493</v>
      </c>
      <c r="C20" s="12" t="s">
        <v>266</v>
      </c>
      <c r="D20" s="12" t="s">
        <v>266</v>
      </c>
      <c r="E20" s="12" t="s">
        <v>1466</v>
      </c>
      <c r="F20" s="12" t="s">
        <v>266</v>
      </c>
      <c r="G20" s="12" t="s">
        <v>266</v>
      </c>
      <c r="H20" s="12" t="s">
        <v>266</v>
      </c>
      <c r="I20" s="13" t="s">
        <v>266</v>
      </c>
    </row>
    <row r="21" spans="1:9" ht="12">
      <c r="A21" s="32">
        <v>8</v>
      </c>
      <c r="B21" s="12" t="s">
        <v>266</v>
      </c>
      <c r="C21" s="12" t="s">
        <v>266</v>
      </c>
      <c r="D21" s="12" t="s">
        <v>1452</v>
      </c>
      <c r="E21" s="12" t="s">
        <v>1521</v>
      </c>
      <c r="F21" s="12" t="s">
        <v>1497</v>
      </c>
      <c r="G21" s="12" t="s">
        <v>266</v>
      </c>
      <c r="H21" s="12" t="s">
        <v>266</v>
      </c>
      <c r="I21" s="13" t="s">
        <v>266</v>
      </c>
    </row>
    <row r="22" spans="1:9" ht="12">
      <c r="A22" s="32">
        <v>9</v>
      </c>
      <c r="B22" s="12" t="s">
        <v>266</v>
      </c>
      <c r="C22" s="12" t="s">
        <v>266</v>
      </c>
      <c r="D22" s="12" t="s">
        <v>266</v>
      </c>
      <c r="E22" s="12" t="s">
        <v>1526</v>
      </c>
      <c r="F22" s="12" t="s">
        <v>266</v>
      </c>
      <c r="G22" s="12" t="s">
        <v>266</v>
      </c>
      <c r="H22" s="12" t="s">
        <v>266</v>
      </c>
      <c r="I22" s="13" t="s">
        <v>266</v>
      </c>
    </row>
    <row r="23" spans="1:9" ht="12">
      <c r="A23" s="32">
        <v>0</v>
      </c>
      <c r="B23" s="12" t="s">
        <v>266</v>
      </c>
      <c r="C23" s="12" t="s">
        <v>266</v>
      </c>
      <c r="D23" s="12" t="s">
        <v>266</v>
      </c>
      <c r="E23" s="12" t="s">
        <v>1540</v>
      </c>
      <c r="F23" s="12" t="s">
        <v>266</v>
      </c>
      <c r="G23" s="12" t="s">
        <v>266</v>
      </c>
      <c r="H23" s="12" t="s">
        <v>266</v>
      </c>
      <c r="I23" s="13" t="s">
        <v>266</v>
      </c>
    </row>
    <row r="24" spans="1:9" s="14" customFormat="1" ht="12">
      <c r="A24" s="31" t="s">
        <v>673</v>
      </c>
      <c r="B24" s="12" t="s">
        <v>266</v>
      </c>
      <c r="C24" s="12" t="s">
        <v>266</v>
      </c>
      <c r="D24" s="12" t="s">
        <v>266</v>
      </c>
      <c r="E24" s="12" t="s">
        <v>1490</v>
      </c>
      <c r="F24" s="12" t="s">
        <v>266</v>
      </c>
      <c r="G24" s="12" t="s">
        <v>266</v>
      </c>
      <c r="H24" s="12" t="s">
        <v>266</v>
      </c>
      <c r="I24" s="13" t="s">
        <v>266</v>
      </c>
    </row>
    <row r="25" spans="1:9" s="14" customFormat="1" ht="12">
      <c r="A25" s="31" t="s">
        <v>674</v>
      </c>
      <c r="B25" s="12" t="s">
        <v>266</v>
      </c>
      <c r="C25" s="12" t="s">
        <v>266</v>
      </c>
      <c r="D25" s="12" t="s">
        <v>266</v>
      </c>
      <c r="E25" s="12" t="s">
        <v>1491</v>
      </c>
      <c r="F25" s="12" t="s">
        <v>266</v>
      </c>
      <c r="G25" s="12" t="s">
        <v>266</v>
      </c>
      <c r="H25" s="12" t="s">
        <v>266</v>
      </c>
      <c r="I25" s="13" t="s">
        <v>266</v>
      </c>
    </row>
    <row r="26" spans="1:9" s="14" customFormat="1" ht="12">
      <c r="A26" s="31" t="s">
        <v>671</v>
      </c>
      <c r="B26" s="12" t="s">
        <v>266</v>
      </c>
      <c r="C26" s="12" t="s">
        <v>266</v>
      </c>
      <c r="D26" s="12" t="s">
        <v>1523</v>
      </c>
      <c r="E26" s="12" t="s">
        <v>1524</v>
      </c>
      <c r="F26" s="12" t="s">
        <v>266</v>
      </c>
      <c r="G26" s="12" t="s">
        <v>266</v>
      </c>
      <c r="H26" s="12" t="s">
        <v>266</v>
      </c>
      <c r="I26" s="13" t="s">
        <v>266</v>
      </c>
    </row>
    <row r="27" spans="1:9" s="14" customFormat="1" ht="12">
      <c r="A27" s="31" t="s">
        <v>672</v>
      </c>
      <c r="B27" s="12" t="s">
        <v>266</v>
      </c>
      <c r="C27" s="12" t="s">
        <v>266</v>
      </c>
      <c r="D27" s="12" t="s">
        <v>1502</v>
      </c>
      <c r="E27" s="12" t="s">
        <v>1503</v>
      </c>
      <c r="F27" s="12" t="s">
        <v>266</v>
      </c>
      <c r="G27" s="12" t="s">
        <v>266</v>
      </c>
      <c r="H27" s="12" t="s">
        <v>266</v>
      </c>
      <c r="I27" s="13" t="s">
        <v>266</v>
      </c>
    </row>
    <row r="28" spans="1:9" ht="12">
      <c r="A28" s="33" t="s">
        <v>587</v>
      </c>
      <c r="B28" s="12" t="s">
        <v>266</v>
      </c>
      <c r="C28" s="12" t="s">
        <v>266</v>
      </c>
      <c r="D28" s="12" t="s">
        <v>1522</v>
      </c>
      <c r="E28" s="12" t="s">
        <v>266</v>
      </c>
      <c r="F28" s="12" t="s">
        <v>1501</v>
      </c>
      <c r="G28" s="12" t="s">
        <v>266</v>
      </c>
      <c r="H28" s="12" t="s">
        <v>266</v>
      </c>
      <c r="I28" s="13" t="s">
        <v>266</v>
      </c>
    </row>
    <row r="29" spans="1:9" ht="12">
      <c r="A29" s="33" t="s">
        <v>1551</v>
      </c>
      <c r="B29" s="12" t="s">
        <v>1514</v>
      </c>
      <c r="C29" s="12" t="s">
        <v>1535</v>
      </c>
      <c r="D29" s="12" t="s">
        <v>1459</v>
      </c>
      <c r="E29" s="12" t="s">
        <v>1514</v>
      </c>
      <c r="F29" s="12" t="s">
        <v>266</v>
      </c>
      <c r="G29" s="12" t="s">
        <v>266</v>
      </c>
      <c r="H29" s="12" t="s">
        <v>1514</v>
      </c>
      <c r="I29" s="13" t="s">
        <v>266</v>
      </c>
    </row>
    <row r="30" spans="1:9" ht="12">
      <c r="A30" s="33" t="s">
        <v>1550</v>
      </c>
      <c r="B30" s="12" t="s">
        <v>1499</v>
      </c>
      <c r="C30" s="12" t="s">
        <v>1498</v>
      </c>
      <c r="D30" s="12" t="s">
        <v>266</v>
      </c>
      <c r="E30" s="12" t="s">
        <v>266</v>
      </c>
      <c r="F30" s="12" t="s">
        <v>266</v>
      </c>
      <c r="G30" s="12" t="s">
        <v>266</v>
      </c>
      <c r="H30" s="12" t="s">
        <v>266</v>
      </c>
      <c r="I30" s="13" t="s">
        <v>266</v>
      </c>
    </row>
    <row r="31" spans="1:9" ht="12">
      <c r="A31" s="33" t="s">
        <v>596</v>
      </c>
      <c r="B31" s="12" t="s">
        <v>266</v>
      </c>
      <c r="C31" s="12" t="s">
        <v>266</v>
      </c>
      <c r="D31" s="12" t="s">
        <v>266</v>
      </c>
      <c r="E31" s="12" t="s">
        <v>266</v>
      </c>
      <c r="F31" s="12" t="s">
        <v>266</v>
      </c>
      <c r="G31" s="12" t="s">
        <v>266</v>
      </c>
      <c r="H31" s="12" t="s">
        <v>266</v>
      </c>
      <c r="I31" s="13" t="s">
        <v>266</v>
      </c>
    </row>
    <row r="32" spans="1:9" ht="12">
      <c r="A32" s="33" t="s">
        <v>669</v>
      </c>
      <c r="B32" s="12" t="s">
        <v>266</v>
      </c>
      <c r="C32" s="12" t="s">
        <v>266</v>
      </c>
      <c r="D32" s="12" t="s">
        <v>266</v>
      </c>
      <c r="E32" s="12" t="s">
        <v>266</v>
      </c>
      <c r="F32" s="12" t="s">
        <v>266</v>
      </c>
      <c r="G32" s="12" t="s">
        <v>266</v>
      </c>
      <c r="H32" s="12" t="s">
        <v>266</v>
      </c>
      <c r="I32" s="13" t="s">
        <v>266</v>
      </c>
    </row>
    <row r="33" spans="1:9" ht="12">
      <c r="A33" s="33" t="s">
        <v>854</v>
      </c>
      <c r="B33" s="12" t="s">
        <v>1516</v>
      </c>
      <c r="C33" s="12" t="s">
        <v>266</v>
      </c>
      <c r="D33" s="12" t="s">
        <v>266</v>
      </c>
      <c r="E33" s="12" t="s">
        <v>266</v>
      </c>
      <c r="F33" s="12" t="s">
        <v>266</v>
      </c>
      <c r="G33" s="12" t="s">
        <v>266</v>
      </c>
      <c r="H33" s="12" t="s">
        <v>266</v>
      </c>
      <c r="I33" s="13" t="s">
        <v>266</v>
      </c>
    </row>
    <row r="34" spans="1:9" ht="12">
      <c r="A34" s="33" t="s">
        <v>855</v>
      </c>
      <c r="B34" s="12" t="s">
        <v>1517</v>
      </c>
      <c r="C34" s="12" t="s">
        <v>266</v>
      </c>
      <c r="D34" s="12" t="s">
        <v>266</v>
      </c>
      <c r="E34" s="12" t="s">
        <v>266</v>
      </c>
      <c r="F34" s="12" t="s">
        <v>266</v>
      </c>
      <c r="G34" s="12" t="s">
        <v>266</v>
      </c>
      <c r="H34" s="12" t="s">
        <v>266</v>
      </c>
      <c r="I34" s="13" t="s">
        <v>266</v>
      </c>
    </row>
    <row r="35" spans="1:9" ht="12">
      <c r="A35" s="33" t="s">
        <v>856</v>
      </c>
      <c r="B35" s="12" t="s">
        <v>266</v>
      </c>
      <c r="C35" s="12" t="s">
        <v>266</v>
      </c>
      <c r="D35" s="12" t="s">
        <v>266</v>
      </c>
      <c r="E35" s="12" t="s">
        <v>266</v>
      </c>
      <c r="F35" s="12" t="s">
        <v>266</v>
      </c>
      <c r="G35" s="12" t="s">
        <v>266</v>
      </c>
      <c r="H35" s="12" t="s">
        <v>266</v>
      </c>
      <c r="I35" s="13" t="s">
        <v>266</v>
      </c>
    </row>
    <row r="36" spans="1:9" ht="12">
      <c r="A36" s="33" t="s">
        <v>857</v>
      </c>
      <c r="B36" s="12" t="s">
        <v>266</v>
      </c>
      <c r="C36" s="12" t="s">
        <v>266</v>
      </c>
      <c r="D36" s="12" t="s">
        <v>266</v>
      </c>
      <c r="E36" s="12" t="s">
        <v>266</v>
      </c>
      <c r="F36" s="12" t="s">
        <v>266</v>
      </c>
      <c r="G36" s="12" t="s">
        <v>266</v>
      </c>
      <c r="H36" s="12" t="s">
        <v>266</v>
      </c>
      <c r="I36" s="13" t="s">
        <v>266</v>
      </c>
    </row>
    <row r="37" spans="1:9" ht="12">
      <c r="A37" s="33" t="s">
        <v>601</v>
      </c>
      <c r="B37" s="12" t="s">
        <v>1477</v>
      </c>
      <c r="C37" s="12" t="s">
        <v>266</v>
      </c>
      <c r="D37" s="12" t="s">
        <v>477</v>
      </c>
      <c r="E37" s="12" t="s">
        <v>1552</v>
      </c>
      <c r="F37" s="12" t="s">
        <v>1537</v>
      </c>
      <c r="G37" s="12" t="s">
        <v>266</v>
      </c>
      <c r="H37" s="12" t="s">
        <v>266</v>
      </c>
      <c r="I37" s="13" t="s">
        <v>266</v>
      </c>
    </row>
    <row r="38" spans="1:9" ht="12">
      <c r="A38" s="34" t="s">
        <v>266</v>
      </c>
      <c r="B38" s="12" t="s">
        <v>266</v>
      </c>
      <c r="C38" s="12" t="s">
        <v>266</v>
      </c>
      <c r="D38" s="12" t="s">
        <v>1529</v>
      </c>
      <c r="E38" s="12" t="s">
        <v>266</v>
      </c>
      <c r="F38" s="12" t="s">
        <v>266</v>
      </c>
      <c r="G38" s="12" t="s">
        <v>266</v>
      </c>
      <c r="H38" s="12" t="s">
        <v>266</v>
      </c>
      <c r="I38" s="13" t="s">
        <v>266</v>
      </c>
    </row>
    <row r="39" spans="1:9" ht="12">
      <c r="A39" s="33" t="s">
        <v>1543</v>
      </c>
      <c r="B39" s="12" t="s">
        <v>266</v>
      </c>
      <c r="C39" s="12" t="s">
        <v>266</v>
      </c>
      <c r="D39" s="12" t="s">
        <v>1458</v>
      </c>
      <c r="E39" s="12" t="s">
        <v>266</v>
      </c>
      <c r="F39" s="12" t="s">
        <v>266</v>
      </c>
      <c r="G39" s="12" t="s">
        <v>266</v>
      </c>
      <c r="H39" s="12" t="s">
        <v>266</v>
      </c>
      <c r="I39" s="13" t="s">
        <v>266</v>
      </c>
    </row>
    <row r="40" spans="1:9" ht="12">
      <c r="A40" s="33" t="s">
        <v>255</v>
      </c>
      <c r="B40" s="12" t="s">
        <v>266</v>
      </c>
      <c r="C40" s="12" t="s">
        <v>266</v>
      </c>
      <c r="D40" s="12" t="s">
        <v>266</v>
      </c>
      <c r="E40" s="12" t="s">
        <v>266</v>
      </c>
      <c r="F40" s="12" t="s">
        <v>266</v>
      </c>
      <c r="G40" s="12" t="s">
        <v>266</v>
      </c>
      <c r="H40" s="12" t="s">
        <v>266</v>
      </c>
      <c r="I40" s="13" t="s">
        <v>266</v>
      </c>
    </row>
    <row r="41" spans="1:9" ht="12">
      <c r="A41" s="34" t="s">
        <v>1544</v>
      </c>
      <c r="B41" s="12" t="s">
        <v>266</v>
      </c>
      <c r="C41" s="12" t="s">
        <v>266</v>
      </c>
      <c r="D41" s="12" t="s">
        <v>1480</v>
      </c>
      <c r="E41" s="12" t="s">
        <v>266</v>
      </c>
      <c r="F41" s="12" t="s">
        <v>266</v>
      </c>
      <c r="G41" s="12" t="s">
        <v>266</v>
      </c>
      <c r="H41" s="12" t="s">
        <v>266</v>
      </c>
      <c r="I41" s="13" t="s">
        <v>266</v>
      </c>
    </row>
    <row r="42" spans="1:9" ht="12">
      <c r="A42" s="33" t="s">
        <v>1545</v>
      </c>
      <c r="B42" s="12" t="s">
        <v>266</v>
      </c>
      <c r="C42" s="12" t="s">
        <v>266</v>
      </c>
      <c r="D42" s="12" t="s">
        <v>266</v>
      </c>
      <c r="E42" s="12" t="s">
        <v>266</v>
      </c>
      <c r="F42" s="12" t="s">
        <v>266</v>
      </c>
      <c r="G42" s="12" t="s">
        <v>266</v>
      </c>
      <c r="H42" s="12" t="s">
        <v>266</v>
      </c>
      <c r="I42" s="13" t="s">
        <v>266</v>
      </c>
    </row>
    <row r="43" spans="1:9" ht="12">
      <c r="A43" s="33" t="s">
        <v>1546</v>
      </c>
      <c r="B43" s="12" t="s">
        <v>266</v>
      </c>
      <c r="C43" s="12" t="s">
        <v>266</v>
      </c>
      <c r="D43" s="12" t="s">
        <v>266</v>
      </c>
      <c r="E43" s="12" t="s">
        <v>266</v>
      </c>
      <c r="F43" s="12" t="s">
        <v>266</v>
      </c>
      <c r="G43" s="12" t="s">
        <v>266</v>
      </c>
      <c r="H43" s="12" t="s">
        <v>266</v>
      </c>
      <c r="I43" s="13" t="s">
        <v>266</v>
      </c>
    </row>
    <row r="44" spans="1:9" ht="12">
      <c r="A44" s="33" t="s">
        <v>246</v>
      </c>
      <c r="B44" s="12" t="s">
        <v>266</v>
      </c>
      <c r="C44" s="12" t="s">
        <v>266</v>
      </c>
      <c r="D44" s="12" t="s">
        <v>1512</v>
      </c>
      <c r="E44" s="12" t="s">
        <v>266</v>
      </c>
      <c r="F44" s="12" t="s">
        <v>266</v>
      </c>
      <c r="G44" s="12" t="s">
        <v>266</v>
      </c>
      <c r="H44" s="12" t="s">
        <v>266</v>
      </c>
      <c r="I44" s="13" t="s">
        <v>266</v>
      </c>
    </row>
    <row r="45" spans="1:9" ht="12">
      <c r="A45" s="33" t="s">
        <v>236</v>
      </c>
      <c r="B45" s="12" t="s">
        <v>266</v>
      </c>
      <c r="C45" s="12" t="s">
        <v>266</v>
      </c>
      <c r="D45" s="12" t="s">
        <v>1457</v>
      </c>
      <c r="E45" s="12" t="s">
        <v>266</v>
      </c>
      <c r="F45" s="12" t="s">
        <v>1463</v>
      </c>
      <c r="G45" s="12" t="s">
        <v>266</v>
      </c>
      <c r="H45" s="12" t="s">
        <v>266</v>
      </c>
      <c r="I45" s="13" t="s">
        <v>266</v>
      </c>
    </row>
    <row r="46" spans="1:9" ht="12">
      <c r="A46" s="33" t="s">
        <v>262</v>
      </c>
      <c r="B46" s="12" t="s">
        <v>266</v>
      </c>
      <c r="C46" s="12" t="s">
        <v>266</v>
      </c>
      <c r="D46" s="12" t="s">
        <v>266</v>
      </c>
      <c r="E46" s="12" t="s">
        <v>266</v>
      </c>
      <c r="F46" s="12" t="s">
        <v>266</v>
      </c>
      <c r="G46" s="12" t="s">
        <v>266</v>
      </c>
      <c r="H46" s="12" t="s">
        <v>266</v>
      </c>
      <c r="I46" s="13" t="s">
        <v>266</v>
      </c>
    </row>
    <row r="47" spans="1:9" ht="12">
      <c r="A47" s="33" t="s">
        <v>264</v>
      </c>
      <c r="B47" s="12" t="s">
        <v>266</v>
      </c>
      <c r="C47" s="12" t="s">
        <v>266</v>
      </c>
      <c r="D47" s="12" t="s">
        <v>266</v>
      </c>
      <c r="E47" s="12" t="s">
        <v>266</v>
      </c>
      <c r="F47" s="12" t="s">
        <v>266</v>
      </c>
      <c r="G47" s="12" t="s">
        <v>266</v>
      </c>
      <c r="H47" s="12" t="s">
        <v>266</v>
      </c>
      <c r="I47" s="13" t="s">
        <v>266</v>
      </c>
    </row>
    <row r="48" spans="1:9" ht="12">
      <c r="A48" s="33" t="s">
        <v>255</v>
      </c>
      <c r="B48" s="12" t="s">
        <v>266</v>
      </c>
      <c r="C48" s="12" t="s">
        <v>266</v>
      </c>
      <c r="D48" s="12" t="s">
        <v>266</v>
      </c>
      <c r="E48" s="12" t="s">
        <v>266</v>
      </c>
      <c r="F48" s="12" t="s">
        <v>266</v>
      </c>
      <c r="G48" s="12" t="s">
        <v>266</v>
      </c>
      <c r="H48" s="12" t="s">
        <v>266</v>
      </c>
      <c r="I48" s="13" t="s">
        <v>266</v>
      </c>
    </row>
    <row r="49" spans="1:9" ht="12">
      <c r="A49" s="33" t="s">
        <v>667</v>
      </c>
      <c r="B49" s="12" t="s">
        <v>266</v>
      </c>
      <c r="C49" s="12" t="s">
        <v>266</v>
      </c>
      <c r="D49" s="12" t="s">
        <v>266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13" t="s">
        <v>266</v>
      </c>
    </row>
    <row r="50" spans="1:9" ht="12">
      <c r="A50" s="33" t="s">
        <v>607</v>
      </c>
      <c r="B50" s="12" t="s">
        <v>266</v>
      </c>
      <c r="C50" s="12" t="s">
        <v>266</v>
      </c>
      <c r="D50" s="12" t="s">
        <v>266</v>
      </c>
      <c r="E50" s="12" t="s">
        <v>266</v>
      </c>
      <c r="F50" s="12" t="s">
        <v>266</v>
      </c>
      <c r="G50" s="12" t="s">
        <v>266</v>
      </c>
      <c r="H50" s="12" t="s">
        <v>266</v>
      </c>
      <c r="I50" s="13" t="s">
        <v>266</v>
      </c>
    </row>
    <row r="51" spans="1:9" ht="12">
      <c r="A51" s="33" t="s">
        <v>609</v>
      </c>
      <c r="B51" s="12" t="s">
        <v>266</v>
      </c>
      <c r="C51" s="12" t="s">
        <v>266</v>
      </c>
      <c r="D51" s="12" t="s">
        <v>266</v>
      </c>
      <c r="E51" s="12" t="s">
        <v>266</v>
      </c>
      <c r="F51" s="12" t="s">
        <v>266</v>
      </c>
      <c r="G51" s="12" t="s">
        <v>266</v>
      </c>
      <c r="H51" s="12" t="s">
        <v>266</v>
      </c>
      <c r="I51" s="13" t="s">
        <v>266</v>
      </c>
    </row>
    <row r="52" spans="1:9" ht="12">
      <c r="A52" s="33" t="s">
        <v>610</v>
      </c>
      <c r="B52" s="12" t="s">
        <v>266</v>
      </c>
      <c r="C52" s="12" t="s">
        <v>266</v>
      </c>
      <c r="D52" s="12" t="s">
        <v>266</v>
      </c>
      <c r="E52" s="12" t="s">
        <v>266</v>
      </c>
      <c r="F52" s="12" t="s">
        <v>266</v>
      </c>
      <c r="G52" s="12" t="s">
        <v>266</v>
      </c>
      <c r="H52" s="12" t="s">
        <v>266</v>
      </c>
      <c r="I52" s="13" t="s">
        <v>266</v>
      </c>
    </row>
    <row r="53" spans="1:9" ht="12">
      <c r="A53" s="33" t="s">
        <v>611</v>
      </c>
      <c r="B53" s="12" t="s">
        <v>266</v>
      </c>
      <c r="C53" s="12" t="s">
        <v>266</v>
      </c>
      <c r="D53" s="12" t="s">
        <v>266</v>
      </c>
      <c r="E53" s="12" t="s">
        <v>266</v>
      </c>
      <c r="F53" s="12" t="s">
        <v>266</v>
      </c>
      <c r="G53" s="12" t="s">
        <v>266</v>
      </c>
      <c r="H53" s="12" t="s">
        <v>266</v>
      </c>
      <c r="I53" s="13" t="s">
        <v>266</v>
      </c>
    </row>
    <row r="54" spans="1:9" ht="12">
      <c r="A54" s="33" t="s">
        <v>946</v>
      </c>
      <c r="B54" s="12" t="s">
        <v>266</v>
      </c>
      <c r="C54" s="12" t="s">
        <v>266</v>
      </c>
      <c r="D54" s="12" t="s">
        <v>266</v>
      </c>
      <c r="E54" s="12" t="s">
        <v>266</v>
      </c>
      <c r="F54" s="12" t="s">
        <v>266</v>
      </c>
      <c r="G54" s="12" t="s">
        <v>266</v>
      </c>
      <c r="H54" s="12" t="s">
        <v>266</v>
      </c>
      <c r="I54" s="13" t="s">
        <v>266</v>
      </c>
    </row>
    <row r="55" spans="1:9" ht="12">
      <c r="A55" s="33" t="s">
        <v>612</v>
      </c>
      <c r="B55" s="12" t="s">
        <v>266</v>
      </c>
      <c r="C55" s="12" t="s">
        <v>266</v>
      </c>
      <c r="D55" s="12" t="s">
        <v>266</v>
      </c>
      <c r="E55" s="12" t="s">
        <v>266</v>
      </c>
      <c r="F55" s="12" t="s">
        <v>266</v>
      </c>
      <c r="G55" s="12" t="s">
        <v>266</v>
      </c>
      <c r="H55" s="12" t="s">
        <v>266</v>
      </c>
      <c r="I55" s="13" t="s">
        <v>266</v>
      </c>
    </row>
    <row r="56" spans="1:9" ht="12">
      <c r="A56" s="33" t="s">
        <v>613</v>
      </c>
      <c r="B56" s="12" t="s">
        <v>266</v>
      </c>
      <c r="C56" s="12" t="s">
        <v>266</v>
      </c>
      <c r="D56" s="12" t="s">
        <v>1454</v>
      </c>
      <c r="E56" s="12" t="s">
        <v>266</v>
      </c>
      <c r="F56" s="12" t="s">
        <v>1525</v>
      </c>
      <c r="G56" s="12" t="s">
        <v>266</v>
      </c>
      <c r="H56" s="12" t="s">
        <v>266</v>
      </c>
      <c r="I56" s="13" t="s">
        <v>266</v>
      </c>
    </row>
    <row r="57" spans="1:9" ht="12">
      <c r="A57" s="33" t="s">
        <v>615</v>
      </c>
      <c r="B57" s="12" t="s">
        <v>266</v>
      </c>
      <c r="C57" s="12" t="s">
        <v>266</v>
      </c>
      <c r="D57" s="12" t="s">
        <v>1476</v>
      </c>
      <c r="E57" s="12" t="s">
        <v>266</v>
      </c>
      <c r="F57" s="12" t="s">
        <v>1478</v>
      </c>
      <c r="G57" s="12" t="s">
        <v>266</v>
      </c>
      <c r="H57" s="12" t="s">
        <v>266</v>
      </c>
      <c r="I57" s="13" t="s">
        <v>266</v>
      </c>
    </row>
    <row r="58" spans="1:9" ht="12">
      <c r="A58" s="33" t="s">
        <v>616</v>
      </c>
      <c r="B58" s="12" t="s">
        <v>266</v>
      </c>
      <c r="C58" s="12" t="s">
        <v>266</v>
      </c>
      <c r="D58" s="12" t="s">
        <v>1459</v>
      </c>
      <c r="E58" s="12" t="s">
        <v>266</v>
      </c>
      <c r="F58" s="12" t="s">
        <v>1475</v>
      </c>
      <c r="G58" s="12" t="s">
        <v>266</v>
      </c>
      <c r="H58" s="12" t="s">
        <v>266</v>
      </c>
      <c r="I58" s="13" t="s">
        <v>266</v>
      </c>
    </row>
    <row r="59" spans="1:9" ht="12">
      <c r="A59" s="33" t="s">
        <v>168</v>
      </c>
      <c r="B59" s="12" t="s">
        <v>266</v>
      </c>
      <c r="C59" s="12" t="s">
        <v>266</v>
      </c>
      <c r="D59" s="12" t="s">
        <v>1470</v>
      </c>
      <c r="E59" s="12" t="s">
        <v>266</v>
      </c>
      <c r="F59" s="12" t="s">
        <v>266</v>
      </c>
      <c r="G59" s="12" t="s">
        <v>266</v>
      </c>
      <c r="H59" s="12" t="s">
        <v>266</v>
      </c>
      <c r="I59" s="13" t="s">
        <v>266</v>
      </c>
    </row>
    <row r="60" spans="1:9" ht="12">
      <c r="A60" s="33" t="s">
        <v>115</v>
      </c>
      <c r="B60" s="12" t="s">
        <v>266</v>
      </c>
      <c r="C60" s="12" t="s">
        <v>266</v>
      </c>
      <c r="D60" s="12" t="s">
        <v>1479</v>
      </c>
      <c r="E60" s="12" t="s">
        <v>266</v>
      </c>
      <c r="F60" s="12" t="s">
        <v>1483</v>
      </c>
      <c r="G60" s="12" t="s">
        <v>266</v>
      </c>
      <c r="H60" s="12" t="s">
        <v>266</v>
      </c>
      <c r="I60" s="13" t="s">
        <v>266</v>
      </c>
    </row>
    <row r="61" spans="1:9" ht="12">
      <c r="A61" s="33" t="s">
        <v>49</v>
      </c>
      <c r="B61" s="12" t="s">
        <v>266</v>
      </c>
      <c r="C61" s="12" t="s">
        <v>266</v>
      </c>
      <c r="D61" s="12" t="s">
        <v>1520</v>
      </c>
      <c r="E61" s="12" t="s">
        <v>266</v>
      </c>
      <c r="F61" s="12" t="s">
        <v>777</v>
      </c>
      <c r="G61" s="12" t="s">
        <v>266</v>
      </c>
      <c r="H61" s="12" t="s">
        <v>1519</v>
      </c>
      <c r="I61" s="13" t="s">
        <v>266</v>
      </c>
    </row>
    <row r="62" spans="1:9" ht="12">
      <c r="A62" s="33" t="s">
        <v>620</v>
      </c>
      <c r="B62" s="12" t="s">
        <v>266</v>
      </c>
      <c r="C62" s="12" t="s">
        <v>266</v>
      </c>
      <c r="D62" s="12" t="s">
        <v>1484</v>
      </c>
      <c r="E62" s="12" t="s">
        <v>266</v>
      </c>
      <c r="F62" s="12" t="s">
        <v>1486</v>
      </c>
      <c r="G62" s="12" t="s">
        <v>266</v>
      </c>
      <c r="H62" s="12" t="s">
        <v>266</v>
      </c>
      <c r="I62" s="13" t="s">
        <v>266</v>
      </c>
    </row>
    <row r="63" spans="1:9" ht="12">
      <c r="A63" s="33" t="s">
        <v>99</v>
      </c>
      <c r="B63" s="12" t="s">
        <v>266</v>
      </c>
      <c r="C63" s="12" t="s">
        <v>266</v>
      </c>
      <c r="D63" s="12" t="s">
        <v>266</v>
      </c>
      <c r="E63" s="12" t="s">
        <v>266</v>
      </c>
      <c r="F63" s="12" t="s">
        <v>1531</v>
      </c>
      <c r="G63" s="12" t="s">
        <v>266</v>
      </c>
      <c r="H63" s="12" t="s">
        <v>1473</v>
      </c>
      <c r="I63" s="13" t="s">
        <v>266</v>
      </c>
    </row>
    <row r="64" spans="1:9" ht="12">
      <c r="A64" s="33" t="s">
        <v>119</v>
      </c>
      <c r="B64" s="12" t="s">
        <v>266</v>
      </c>
      <c r="C64" s="12" t="s">
        <v>266</v>
      </c>
      <c r="D64" s="12" t="s">
        <v>1472</v>
      </c>
      <c r="E64" s="12" t="s">
        <v>266</v>
      </c>
      <c r="F64" s="12" t="s">
        <v>266</v>
      </c>
      <c r="G64" s="12" t="s">
        <v>266</v>
      </c>
      <c r="H64" s="12" t="s">
        <v>1471</v>
      </c>
      <c r="I64" s="13" t="s">
        <v>266</v>
      </c>
    </row>
    <row r="65" spans="1:9" ht="12">
      <c r="A65" s="33" t="s">
        <v>625</v>
      </c>
      <c r="B65" s="12" t="s">
        <v>266</v>
      </c>
      <c r="C65" s="12" t="s">
        <v>266</v>
      </c>
      <c r="D65" s="12" t="s">
        <v>1450</v>
      </c>
      <c r="E65" s="12" t="s">
        <v>266</v>
      </c>
      <c r="F65" s="12" t="s">
        <v>266</v>
      </c>
      <c r="G65" s="12" t="s">
        <v>266</v>
      </c>
      <c r="H65" s="12" t="s">
        <v>266</v>
      </c>
      <c r="I65" s="13" t="s">
        <v>266</v>
      </c>
    </row>
    <row r="66" spans="1:9" ht="12">
      <c r="A66" s="33" t="s">
        <v>626</v>
      </c>
      <c r="B66" s="12" t="s">
        <v>266</v>
      </c>
      <c r="C66" s="12" t="s">
        <v>266</v>
      </c>
      <c r="D66" s="12" t="s">
        <v>1534</v>
      </c>
      <c r="E66" s="12" t="s">
        <v>266</v>
      </c>
      <c r="F66" s="12" t="s">
        <v>266</v>
      </c>
      <c r="G66" s="12" t="s">
        <v>266</v>
      </c>
      <c r="H66" s="12" t="s">
        <v>266</v>
      </c>
      <c r="I66" s="13" t="s">
        <v>266</v>
      </c>
    </row>
    <row r="67" spans="1:9" ht="12">
      <c r="A67" s="33" t="s">
        <v>121</v>
      </c>
      <c r="B67" s="12" t="s">
        <v>266</v>
      </c>
      <c r="C67" s="12" t="s">
        <v>266</v>
      </c>
      <c r="D67" s="12" t="s">
        <v>1489</v>
      </c>
      <c r="E67" s="12" t="s">
        <v>266</v>
      </c>
      <c r="F67" s="12" t="s">
        <v>266</v>
      </c>
      <c r="G67" s="12" t="s">
        <v>266</v>
      </c>
      <c r="H67" s="12" t="s">
        <v>266</v>
      </c>
      <c r="I67" s="13" t="s">
        <v>266</v>
      </c>
    </row>
    <row r="68" spans="1:9" ht="12">
      <c r="A68" s="33" t="s">
        <v>629</v>
      </c>
      <c r="B68" s="12" t="s">
        <v>266</v>
      </c>
      <c r="C68" s="12" t="s">
        <v>266</v>
      </c>
      <c r="D68" s="12" t="s">
        <v>1460</v>
      </c>
      <c r="E68" s="12" t="s">
        <v>266</v>
      </c>
      <c r="F68" s="12" t="s">
        <v>1496</v>
      </c>
      <c r="G68" s="12" t="s">
        <v>266</v>
      </c>
      <c r="H68" s="12" t="s">
        <v>266</v>
      </c>
      <c r="I68" s="13" t="s">
        <v>266</v>
      </c>
    </row>
    <row r="69" spans="1:9" s="15" customFormat="1" ht="12">
      <c r="A69" s="33" t="s">
        <v>50</v>
      </c>
      <c r="B69" s="12" t="s">
        <v>266</v>
      </c>
      <c r="C69" s="12" t="s">
        <v>266</v>
      </c>
      <c r="D69" s="12" t="s">
        <v>266</v>
      </c>
      <c r="E69" s="12" t="s">
        <v>266</v>
      </c>
      <c r="F69" s="12" t="s">
        <v>266</v>
      </c>
      <c r="G69" s="12" t="s">
        <v>266</v>
      </c>
      <c r="H69" s="12" t="s">
        <v>266</v>
      </c>
      <c r="I69" s="13" t="s">
        <v>266</v>
      </c>
    </row>
    <row r="70" spans="1:9" s="15" customFormat="1" ht="12">
      <c r="A70" s="33" t="s">
        <v>124</v>
      </c>
      <c r="B70" s="12" t="s">
        <v>266</v>
      </c>
      <c r="C70" s="12" t="s">
        <v>266</v>
      </c>
      <c r="D70" s="12" t="s">
        <v>1542</v>
      </c>
      <c r="E70" s="12" t="s">
        <v>266</v>
      </c>
      <c r="F70" s="12" t="s">
        <v>266</v>
      </c>
      <c r="G70" s="12" t="s">
        <v>266</v>
      </c>
      <c r="H70" s="12" t="s">
        <v>266</v>
      </c>
      <c r="I70" s="13" t="s">
        <v>266</v>
      </c>
    </row>
    <row r="71" spans="1:9" ht="12">
      <c r="A71" s="33" t="s">
        <v>51</v>
      </c>
      <c r="B71" s="12" t="s">
        <v>266</v>
      </c>
      <c r="C71" s="12" t="s">
        <v>266</v>
      </c>
      <c r="D71" s="12" t="s">
        <v>1505</v>
      </c>
      <c r="E71" s="12" t="s">
        <v>266</v>
      </c>
      <c r="F71" s="12" t="s">
        <v>266</v>
      </c>
      <c r="G71" s="12" t="s">
        <v>266</v>
      </c>
      <c r="H71" s="12" t="s">
        <v>266</v>
      </c>
      <c r="I71" s="13" t="s">
        <v>266</v>
      </c>
    </row>
    <row r="72" spans="1:9" ht="12">
      <c r="A72" s="33" t="s">
        <v>636</v>
      </c>
      <c r="B72" s="12" t="s">
        <v>266</v>
      </c>
      <c r="C72" s="12" t="s">
        <v>266</v>
      </c>
      <c r="D72" s="12" t="s">
        <v>1528</v>
      </c>
      <c r="E72" s="12" t="s">
        <v>266</v>
      </c>
      <c r="F72" s="12" t="s">
        <v>266</v>
      </c>
      <c r="G72" s="12" t="s">
        <v>266</v>
      </c>
      <c r="H72" s="12" t="s">
        <v>266</v>
      </c>
      <c r="I72" s="13" t="s">
        <v>266</v>
      </c>
    </row>
    <row r="73" spans="1:9" ht="12">
      <c r="A73" s="33" t="s">
        <v>48</v>
      </c>
      <c r="B73" s="12" t="s">
        <v>266</v>
      </c>
      <c r="C73" s="12" t="s">
        <v>266</v>
      </c>
      <c r="D73" s="12" t="s">
        <v>1488</v>
      </c>
      <c r="E73" s="12" t="s">
        <v>266</v>
      </c>
      <c r="F73" s="12" t="s">
        <v>1481</v>
      </c>
      <c r="G73" s="12" t="s">
        <v>266</v>
      </c>
      <c r="H73" s="12" t="s">
        <v>266</v>
      </c>
      <c r="I73" s="13" t="s">
        <v>266</v>
      </c>
    </row>
    <row r="74" spans="1:9" ht="12">
      <c r="A74" s="33" t="s">
        <v>638</v>
      </c>
      <c r="B74" s="12" t="s">
        <v>266</v>
      </c>
      <c r="C74" s="12" t="s">
        <v>266</v>
      </c>
      <c r="D74" s="12" t="s">
        <v>1495</v>
      </c>
      <c r="E74" s="12" t="s">
        <v>266</v>
      </c>
      <c r="F74" s="12" t="s">
        <v>1509</v>
      </c>
      <c r="G74" s="12" t="s">
        <v>266</v>
      </c>
      <c r="H74" s="12" t="s">
        <v>1507</v>
      </c>
      <c r="I74" s="13" t="s">
        <v>266</v>
      </c>
    </row>
    <row r="75" spans="1:9" ht="12">
      <c r="A75" s="33" t="s">
        <v>640</v>
      </c>
      <c r="B75" s="12" t="s">
        <v>266</v>
      </c>
      <c r="C75" s="12" t="s">
        <v>266</v>
      </c>
      <c r="D75" s="12" t="s">
        <v>1462</v>
      </c>
      <c r="E75" s="12" t="s">
        <v>266</v>
      </c>
      <c r="F75" s="12" t="s">
        <v>266</v>
      </c>
      <c r="G75" s="12" t="s">
        <v>266</v>
      </c>
      <c r="H75" s="12" t="s">
        <v>266</v>
      </c>
      <c r="I75" s="13" t="s">
        <v>266</v>
      </c>
    </row>
    <row r="76" spans="1:9" ht="12">
      <c r="A76" s="33" t="s">
        <v>641</v>
      </c>
      <c r="B76" s="12" t="s">
        <v>266</v>
      </c>
      <c r="C76" s="12" t="s">
        <v>266</v>
      </c>
      <c r="D76" s="12" t="s">
        <v>769</v>
      </c>
      <c r="E76" s="12" t="s">
        <v>266</v>
      </c>
      <c r="F76" s="12" t="s">
        <v>266</v>
      </c>
      <c r="G76" s="12" t="s">
        <v>266</v>
      </c>
      <c r="H76" s="12" t="s">
        <v>266</v>
      </c>
      <c r="I76" s="13" t="s">
        <v>266</v>
      </c>
    </row>
    <row r="77" spans="1:9" ht="12">
      <c r="A77" s="33" t="s">
        <v>642</v>
      </c>
      <c r="B77" s="12" t="s">
        <v>266</v>
      </c>
      <c r="C77" s="12" t="s">
        <v>266</v>
      </c>
      <c r="D77" s="12" t="s">
        <v>1535</v>
      </c>
      <c r="E77" s="12" t="s">
        <v>266</v>
      </c>
      <c r="F77" s="12" t="s">
        <v>266</v>
      </c>
      <c r="G77" s="12" t="s">
        <v>266</v>
      </c>
      <c r="H77" s="12" t="s">
        <v>266</v>
      </c>
      <c r="I77" s="13" t="s">
        <v>266</v>
      </c>
    </row>
    <row r="78" spans="1:9" ht="12">
      <c r="A78" s="33" t="s">
        <v>128</v>
      </c>
      <c r="B78" s="12" t="s">
        <v>266</v>
      </c>
      <c r="C78" s="12" t="s">
        <v>266</v>
      </c>
      <c r="D78" s="12" t="s">
        <v>1541</v>
      </c>
      <c r="E78" s="12" t="s">
        <v>266</v>
      </c>
      <c r="F78" s="12" t="s">
        <v>1518</v>
      </c>
      <c r="G78" s="12" t="s">
        <v>266</v>
      </c>
      <c r="H78" s="12" t="s">
        <v>266</v>
      </c>
      <c r="I78" s="13" t="s">
        <v>266</v>
      </c>
    </row>
    <row r="79" spans="1:9" ht="12">
      <c r="A79" s="33" t="s">
        <v>645</v>
      </c>
      <c r="B79" s="12" t="s">
        <v>266</v>
      </c>
      <c r="C79" s="12" t="s">
        <v>266</v>
      </c>
      <c r="D79" s="12" t="s">
        <v>1498</v>
      </c>
      <c r="E79" s="12" t="s">
        <v>266</v>
      </c>
      <c r="F79" s="12" t="s">
        <v>266</v>
      </c>
      <c r="G79" s="12" t="s">
        <v>266</v>
      </c>
      <c r="H79" s="12" t="s">
        <v>266</v>
      </c>
      <c r="I79" s="13" t="s">
        <v>266</v>
      </c>
    </row>
    <row r="80" spans="1:9" ht="12">
      <c r="A80" s="33" t="s">
        <v>648</v>
      </c>
      <c r="B80" s="12" t="s">
        <v>266</v>
      </c>
      <c r="C80" s="12" t="s">
        <v>266</v>
      </c>
      <c r="D80" s="12" t="s">
        <v>1455</v>
      </c>
      <c r="E80" s="12" t="s">
        <v>266</v>
      </c>
      <c r="F80" s="12" t="s">
        <v>266</v>
      </c>
      <c r="G80" s="12" t="s">
        <v>266</v>
      </c>
      <c r="H80" s="12" t="s">
        <v>266</v>
      </c>
      <c r="I80" s="13" t="s">
        <v>266</v>
      </c>
    </row>
    <row r="81" spans="1:9" ht="12">
      <c r="A81" s="33" t="s">
        <v>650</v>
      </c>
      <c r="B81" s="12" t="s">
        <v>266</v>
      </c>
      <c r="C81" s="12" t="s">
        <v>266</v>
      </c>
      <c r="D81" s="12" t="s">
        <v>1456</v>
      </c>
      <c r="E81" s="12" t="s">
        <v>266</v>
      </c>
      <c r="F81" s="12" t="s">
        <v>266</v>
      </c>
      <c r="G81" s="12" t="s">
        <v>266</v>
      </c>
      <c r="H81" s="12" t="s">
        <v>266</v>
      </c>
      <c r="I81" s="13" t="s">
        <v>266</v>
      </c>
    </row>
    <row r="82" spans="1:9" ht="12">
      <c r="A82" s="33" t="s">
        <v>668</v>
      </c>
      <c r="B82" s="12" t="s">
        <v>1527</v>
      </c>
      <c r="C82" s="12" t="s">
        <v>266</v>
      </c>
      <c r="D82" s="12" t="s">
        <v>266</v>
      </c>
      <c r="E82" s="12" t="s">
        <v>266</v>
      </c>
      <c r="F82" s="12" t="s">
        <v>266</v>
      </c>
      <c r="G82" s="12" t="s">
        <v>266</v>
      </c>
      <c r="H82" s="12" t="s">
        <v>266</v>
      </c>
      <c r="I82" s="13" t="s">
        <v>266</v>
      </c>
    </row>
    <row r="83" spans="1:9" ht="12">
      <c r="A83" s="33" t="s">
        <v>947</v>
      </c>
      <c r="B83" s="12" t="s">
        <v>266</v>
      </c>
      <c r="C83" s="12" t="s">
        <v>266</v>
      </c>
      <c r="D83" s="12" t="s">
        <v>266</v>
      </c>
      <c r="E83" s="12" t="s">
        <v>266</v>
      </c>
      <c r="F83" s="12" t="s">
        <v>266</v>
      </c>
      <c r="G83" s="12" t="s">
        <v>266</v>
      </c>
      <c r="H83" s="12" t="s">
        <v>266</v>
      </c>
      <c r="I83" s="13" t="s">
        <v>266</v>
      </c>
    </row>
    <row r="84" spans="1:9" ht="12">
      <c r="A84" s="33" t="s">
        <v>948</v>
      </c>
      <c r="B84" s="12" t="s">
        <v>266</v>
      </c>
      <c r="C84" s="12" t="s">
        <v>266</v>
      </c>
      <c r="D84" s="12" t="s">
        <v>266</v>
      </c>
      <c r="E84" s="12" t="s">
        <v>266</v>
      </c>
      <c r="F84" s="12" t="s">
        <v>266</v>
      </c>
      <c r="G84" s="12" t="s">
        <v>266</v>
      </c>
      <c r="H84" s="12" t="s">
        <v>266</v>
      </c>
      <c r="I84" s="13" t="s">
        <v>266</v>
      </c>
    </row>
    <row r="85" spans="1:9" ht="12">
      <c r="A85" s="33" t="s">
        <v>950</v>
      </c>
      <c r="B85" s="12" t="s">
        <v>266</v>
      </c>
      <c r="C85" s="12" t="s">
        <v>266</v>
      </c>
      <c r="D85" s="12" t="s">
        <v>266</v>
      </c>
      <c r="E85" s="12" t="s">
        <v>266</v>
      </c>
      <c r="F85" s="12" t="s">
        <v>266</v>
      </c>
      <c r="G85" s="12" t="s">
        <v>266</v>
      </c>
      <c r="H85" s="12" t="s">
        <v>266</v>
      </c>
      <c r="I85" s="13" t="s">
        <v>266</v>
      </c>
    </row>
    <row r="86" spans="1:9" ht="12">
      <c r="A86" s="33" t="s">
        <v>656</v>
      </c>
      <c r="B86" s="12" t="s">
        <v>266</v>
      </c>
      <c r="C86" s="12" t="s">
        <v>266</v>
      </c>
      <c r="D86" s="12" t="s">
        <v>266</v>
      </c>
      <c r="E86" s="12" t="s">
        <v>266</v>
      </c>
      <c r="F86" s="12" t="s">
        <v>266</v>
      </c>
      <c r="G86" s="12" t="s">
        <v>266</v>
      </c>
      <c r="H86" s="12" t="s">
        <v>266</v>
      </c>
      <c r="I86" s="13" t="s">
        <v>266</v>
      </c>
    </row>
    <row r="87" spans="1:9" ht="12">
      <c r="A87" s="33" t="s">
        <v>949</v>
      </c>
      <c r="B87" s="12" t="s">
        <v>266</v>
      </c>
      <c r="C87" s="12" t="s">
        <v>266</v>
      </c>
      <c r="D87" s="12" t="s">
        <v>266</v>
      </c>
      <c r="E87" s="12" t="s">
        <v>266</v>
      </c>
      <c r="F87" s="12" t="s">
        <v>266</v>
      </c>
      <c r="G87" s="12" t="s">
        <v>266</v>
      </c>
      <c r="H87" s="12" t="s">
        <v>266</v>
      </c>
      <c r="I87" s="13" t="s">
        <v>266</v>
      </c>
    </row>
    <row r="88" spans="1:9" s="16" customFormat="1" ht="12">
      <c r="A88" s="33" t="s">
        <v>951</v>
      </c>
      <c r="B88" s="12" t="s">
        <v>266</v>
      </c>
      <c r="C88" s="12" t="s">
        <v>266</v>
      </c>
      <c r="D88" s="12" t="s">
        <v>266</v>
      </c>
      <c r="E88" s="12" t="s">
        <v>266</v>
      </c>
      <c r="F88" s="12" t="s">
        <v>266</v>
      </c>
      <c r="G88" s="12" t="s">
        <v>266</v>
      </c>
      <c r="H88" s="12" t="s">
        <v>266</v>
      </c>
      <c r="I88" s="13" t="s">
        <v>266</v>
      </c>
    </row>
    <row r="89" spans="1:9" ht="12">
      <c r="A89" s="33" t="s">
        <v>952</v>
      </c>
      <c r="B89" s="12" t="s">
        <v>266</v>
      </c>
      <c r="C89" s="12" t="s">
        <v>266</v>
      </c>
      <c r="D89" s="12" t="s">
        <v>266</v>
      </c>
      <c r="E89" s="12" t="s">
        <v>266</v>
      </c>
      <c r="F89" s="12" t="s">
        <v>266</v>
      </c>
      <c r="G89" s="12" t="s">
        <v>266</v>
      </c>
      <c r="H89" s="12" t="s">
        <v>266</v>
      </c>
      <c r="I89" s="13" t="s">
        <v>266</v>
      </c>
    </row>
    <row r="90" spans="1:9" ht="12">
      <c r="A90" s="33" t="s">
        <v>658</v>
      </c>
      <c r="B90" s="12" t="s">
        <v>266</v>
      </c>
      <c r="C90" s="12" t="s">
        <v>266</v>
      </c>
      <c r="D90" s="12" t="s">
        <v>266</v>
      </c>
      <c r="E90" s="12" t="s">
        <v>266</v>
      </c>
      <c r="F90" s="12" t="s">
        <v>266</v>
      </c>
      <c r="G90" s="12" t="s">
        <v>266</v>
      </c>
      <c r="H90" s="12" t="s">
        <v>266</v>
      </c>
      <c r="I90" s="13" t="s">
        <v>266</v>
      </c>
    </row>
    <row r="91" spans="1:9" ht="12">
      <c r="A91" s="33" t="s">
        <v>660</v>
      </c>
      <c r="B91" s="12" t="s">
        <v>266</v>
      </c>
      <c r="C91" s="12" t="s">
        <v>266</v>
      </c>
      <c r="D91" s="12" t="s">
        <v>266</v>
      </c>
      <c r="E91" s="12" t="s">
        <v>266</v>
      </c>
      <c r="F91" s="12" t="s">
        <v>266</v>
      </c>
      <c r="G91" s="12" t="s">
        <v>266</v>
      </c>
      <c r="H91" s="12" t="s">
        <v>266</v>
      </c>
      <c r="I91" s="13" t="s">
        <v>266</v>
      </c>
    </row>
    <row r="92" spans="1:9" ht="12">
      <c r="A92" s="33" t="s">
        <v>1547</v>
      </c>
      <c r="B92" s="12" t="s">
        <v>1530</v>
      </c>
      <c r="C92" s="12" t="s">
        <v>266</v>
      </c>
      <c r="D92" s="12" t="s">
        <v>1529</v>
      </c>
      <c r="E92" s="12" t="s">
        <v>266</v>
      </c>
      <c r="F92" s="12" t="s">
        <v>1506</v>
      </c>
      <c r="G92" s="12" t="s">
        <v>266</v>
      </c>
      <c r="H92" s="12" t="s">
        <v>266</v>
      </c>
      <c r="I92" s="13" t="s">
        <v>266</v>
      </c>
    </row>
    <row r="93" spans="1:9" ht="12">
      <c r="A93" s="33" t="s">
        <v>1548</v>
      </c>
      <c r="B93" s="12" t="s">
        <v>1513</v>
      </c>
      <c r="C93" s="12" t="s">
        <v>266</v>
      </c>
      <c r="D93" s="12" t="s">
        <v>1512</v>
      </c>
      <c r="E93" s="12" t="s">
        <v>266</v>
      </c>
      <c r="F93" s="12" t="s">
        <v>1515</v>
      </c>
      <c r="G93" s="12" t="s">
        <v>266</v>
      </c>
      <c r="H93" s="12" t="s">
        <v>266</v>
      </c>
      <c r="I93" s="13" t="s">
        <v>266</v>
      </c>
    </row>
    <row r="94" spans="1:9" ht="12">
      <c r="A94" s="33" t="s">
        <v>1549</v>
      </c>
      <c r="B94" s="12" t="s">
        <v>1538</v>
      </c>
      <c r="C94" s="12" t="s">
        <v>266</v>
      </c>
      <c r="D94" s="12" t="s">
        <v>670</v>
      </c>
      <c r="E94" s="12" t="s">
        <v>266</v>
      </c>
      <c r="F94" s="12" t="s">
        <v>670</v>
      </c>
      <c r="G94" s="12" t="s">
        <v>266</v>
      </c>
      <c r="H94" s="12" t="s">
        <v>266</v>
      </c>
      <c r="I94" s="13" t="s">
        <v>266</v>
      </c>
    </row>
    <row r="97" spans="2:9">
      <c r="B97" s="15"/>
      <c r="C97" s="15"/>
      <c r="D97" s="15"/>
      <c r="E97" s="15"/>
      <c r="F97" s="15"/>
      <c r="G97" s="15"/>
      <c r="H97" s="15"/>
      <c r="I97" s="15"/>
    </row>
    <row r="98" spans="2:9">
      <c r="B98" s="15"/>
      <c r="C98" s="15"/>
      <c r="D98" s="15"/>
      <c r="E98" s="15"/>
      <c r="F98" s="15"/>
      <c r="G98" s="15"/>
      <c r="H98" s="15"/>
      <c r="I98" s="15"/>
    </row>
    <row r="99" spans="2:9">
      <c r="B99" s="15"/>
      <c r="C99" s="15"/>
      <c r="D99" s="15"/>
      <c r="E99" s="15"/>
      <c r="F99" s="15"/>
      <c r="G99" s="15"/>
      <c r="H99" s="15"/>
      <c r="I99" s="15"/>
    </row>
  </sheetData>
  <autoFilter ref="A1:I91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CC7F-1CF8-41ED-848A-01EC97406150}">
  <sheetPr codeName="Sheet11">
    <tabColor theme="8" tint="0.79998168889431442"/>
  </sheetPr>
  <dimension ref="A1:F88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|:---|:---|:---|:---|:---|</v>
      </c>
    </row>
    <row r="3" spans="1:6" ht="11.25" customHeight="1">
      <c r="D3" s="2" t="s">
        <v>255</v>
      </c>
      <c r="E3" s="2" t="s">
        <v>256</v>
      </c>
      <c r="F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||||\|ルートに移動|</v>
      </c>
    </row>
    <row r="4" spans="1:6" ht="11.25" customHeight="1">
      <c r="D4" s="2" t="s">
        <v>257</v>
      </c>
      <c r="E4" s="2" t="s">
        <v>258</v>
      </c>
      <c r="F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||||/|すべての選択を解除|</v>
      </c>
    </row>
    <row r="5" spans="1:6" ht="11.25" customHeight="1">
      <c r="D5" s="2" t="s">
        <v>304</v>
      </c>
      <c r="E5" s="2" t="s">
        <v>259</v>
      </c>
      <c r="F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||||\*|すべての選択を反転|</v>
      </c>
    </row>
    <row r="6" spans="1:6" ht="11.25" customHeight="1">
      <c r="D6" s="2" t="s">
        <v>666</v>
      </c>
      <c r="E6" s="2" t="s">
        <v>260</v>
      </c>
      <c r="F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||||@|アドレスバーに移動|</v>
      </c>
    </row>
    <row r="7" spans="1:6" ht="11.25" customHeight="1">
      <c r="D7" s="2" t="s">
        <v>261</v>
      </c>
      <c r="E7" s="2" t="s">
        <v>260</v>
      </c>
      <c r="F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||||’|アドレスバーに移動|</v>
      </c>
    </row>
    <row r="8" spans="1:6" ht="11.25" customHeight="1">
      <c r="D8" s="2" t="s">
        <v>262</v>
      </c>
      <c r="E8" s="2" t="s">
        <v>263</v>
      </c>
      <c r="F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||||,|インクリメンタル サーチ|</v>
      </c>
    </row>
    <row r="9" spans="1:6" ht="11.25" customHeight="1">
      <c r="D9" s="2" t="s">
        <v>264</v>
      </c>
      <c r="E9" s="2" t="s">
        <v>265</v>
      </c>
      <c r="F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||||.|拡張子のインクリメンタル サーチ|</v>
      </c>
    </row>
    <row r="10" spans="1:6" ht="11.25" customHeight="1">
      <c r="D10" s="2" t="s">
        <v>266</v>
      </c>
      <c r="E10" s="2" t="s">
        <v>267</v>
      </c>
      <c r="F1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||||-|フォルダの表示設定を保存|</v>
      </c>
    </row>
    <row r="11" spans="1:6" ht="11.25" customHeight="1">
      <c r="D11" s="6" t="s">
        <v>219</v>
      </c>
      <c r="E11" s="2" t="s">
        <v>268</v>
      </c>
      <c r="F1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||||=|ウインドウサイズを揃える|</v>
      </c>
    </row>
    <row r="12" spans="1:6" ht="11.25" customHeight="1">
      <c r="D12" s="2" t="s">
        <v>269</v>
      </c>
      <c r="E12" s="2" t="s">
        <v>270</v>
      </c>
      <c r="F1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||||?|他のウインドウとの入れ替え|</v>
      </c>
    </row>
    <row r="13" spans="1:6" ht="11.25" customHeight="1">
      <c r="D13" s="2" t="s">
        <v>271</v>
      </c>
      <c r="E13" s="2" t="s">
        <v>272</v>
      </c>
      <c r="F1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||||+|ポップアップメニュー1|</v>
      </c>
    </row>
    <row r="14" spans="1:6" ht="11.25" customHeight="1">
      <c r="D14" s="2" t="s">
        <v>246</v>
      </c>
      <c r="E14" s="2" t="s">
        <v>273</v>
      </c>
      <c r="F1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||||;|ポップアップメニュー2|</v>
      </c>
    </row>
    <row r="15" spans="1:6" ht="11.25" customHeight="1">
      <c r="D15" s="2" t="s">
        <v>236</v>
      </c>
      <c r="E15" s="2" t="s">
        <v>274</v>
      </c>
      <c r="F1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||||:|ドライブリスト|</v>
      </c>
    </row>
    <row r="16" spans="1:6" ht="11.25" customHeight="1">
      <c r="D16" s="2" t="s">
        <v>247</v>
      </c>
      <c r="E16" s="2" t="s">
        <v>275</v>
      </c>
      <c r="F1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||||&lt;|分割の切り替え|</v>
      </c>
    </row>
    <row r="17" spans="1:6" ht="11.25" customHeight="1">
      <c r="D17" s="2" t="s">
        <v>248</v>
      </c>
      <c r="E17" s="2" t="s">
        <v>276</v>
      </c>
      <c r="F1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||||&gt;|分割画面の切り替え|</v>
      </c>
    </row>
    <row r="18" spans="1:6" ht="11.25" customHeight="1">
      <c r="D18" s="2" t="s">
        <v>145</v>
      </c>
      <c r="E18" s="2" t="s">
        <v>277</v>
      </c>
      <c r="F1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||||Space|フォーカスしたアイテムの選択を反転して次のアイテムにフォーカスを移動|</v>
      </c>
    </row>
    <row r="19" spans="1:6" ht="11.25" customHeight="1">
      <c r="D19" s="2" t="s">
        <v>163</v>
      </c>
      <c r="E19" s="2" t="s">
        <v>278</v>
      </c>
      <c r="F1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||||BackSpace|一つ上の階層に移動|</v>
      </c>
    </row>
    <row r="20" spans="1:6" ht="11.25" customHeight="1">
      <c r="D20" s="2" t="s">
        <v>291</v>
      </c>
      <c r="E20" s="2" t="s">
        <v>292</v>
      </c>
      <c r="F2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||||→/←/↑/↓|右/左/上/下に移動|</v>
      </c>
    </row>
    <row r="21" spans="1:6" ht="11.25" customHeight="1">
      <c r="C21" s="1" t="s">
        <v>2</v>
      </c>
      <c r="D21" s="2" t="s">
        <v>293</v>
      </c>
      <c r="E21" s="2" t="s">
        <v>279</v>
      </c>
      <c r="F2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|||Alt|←|戻る|</v>
      </c>
    </row>
    <row r="22" spans="1:6" ht="11.25" customHeight="1">
      <c r="C22" s="1" t="s">
        <v>2</v>
      </c>
      <c r="D22" s="2" t="s">
        <v>294</v>
      </c>
      <c r="E22" s="2" t="s">
        <v>280</v>
      </c>
      <c r="F2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|||Alt|↑|他のウインドウのパス一覧|</v>
      </c>
    </row>
    <row r="23" spans="1:6" ht="11.25" customHeight="1">
      <c r="C23" s="1" t="s">
        <v>2</v>
      </c>
      <c r="D23" s="2" t="s">
        <v>298</v>
      </c>
      <c r="E23" s="2" t="s">
        <v>281</v>
      </c>
      <c r="F2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|||Alt|↓|タブの履歴|</v>
      </c>
    </row>
    <row r="24" spans="1:6" ht="11.25" customHeight="1">
      <c r="A24" s="1" t="s">
        <v>0</v>
      </c>
      <c r="D24" s="2" t="s">
        <v>293</v>
      </c>
      <c r="E24" s="2" t="s">
        <v>282</v>
      </c>
      <c r="F2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|Ctrl|||←|左のタブに移動|</v>
      </c>
    </row>
    <row r="25" spans="1:6" ht="11.25" customHeight="1">
      <c r="A25" s="1" t="s">
        <v>0</v>
      </c>
      <c r="D25" s="2" t="s">
        <v>303</v>
      </c>
      <c r="E25" s="2" t="s">
        <v>283</v>
      </c>
      <c r="F2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|Ctrl|||→|右のタブに移動|</v>
      </c>
    </row>
    <row r="26" spans="1:6" ht="11.25" customHeight="1">
      <c r="A26" s="1" t="s">
        <v>0</v>
      </c>
      <c r="B26" s="1" t="s">
        <v>1</v>
      </c>
      <c r="D26" s="2" t="s">
        <v>55</v>
      </c>
      <c r="E26" s="2" t="s">
        <v>282</v>
      </c>
      <c r="F2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|Ctrl|Shift||Tab|左のタブに移動|</v>
      </c>
    </row>
    <row r="27" spans="1:6" ht="11.25" customHeight="1">
      <c r="A27" s="1" t="s">
        <v>0</v>
      </c>
      <c r="D27" s="2" t="s">
        <v>55</v>
      </c>
      <c r="E27" s="2" t="s">
        <v>283</v>
      </c>
      <c r="F2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|Ctrl|||Tab|右のタブに移動|</v>
      </c>
    </row>
    <row r="28" spans="1:6" ht="11.25" customHeight="1">
      <c r="A28" s="1" t="s">
        <v>0</v>
      </c>
      <c r="D28" s="2" t="s">
        <v>294</v>
      </c>
      <c r="E28" s="2" t="s">
        <v>284</v>
      </c>
      <c r="F2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|Ctrl|||↑|タブ メニュー|</v>
      </c>
    </row>
    <row r="29" spans="1:6" ht="11.25" customHeight="1">
      <c r="A29" s="1" t="s">
        <v>0</v>
      </c>
      <c r="D29" s="2" t="s">
        <v>298</v>
      </c>
      <c r="E29" s="2" t="s">
        <v>285</v>
      </c>
      <c r="F2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|Ctrl|||↓|タブの一覧|</v>
      </c>
    </row>
    <row r="30" spans="1:6" ht="11.25" customHeight="1">
      <c r="A30" s="1" t="s">
        <v>0</v>
      </c>
      <c r="B30" s="1" t="s">
        <v>1</v>
      </c>
      <c r="D30" s="2" t="s">
        <v>301</v>
      </c>
      <c r="E30" s="2" t="s">
        <v>302</v>
      </c>
      <c r="F3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|Ctrl|Shift||←/→|タブを左/右に移動|</v>
      </c>
    </row>
    <row r="31" spans="1:6" ht="11.25" customHeight="1">
      <c r="B31" s="1" t="s">
        <v>1</v>
      </c>
      <c r="C31" s="1" t="s">
        <v>2</v>
      </c>
      <c r="D31" s="2" t="s">
        <v>301</v>
      </c>
      <c r="E31" s="2" t="s">
        <v>302</v>
      </c>
      <c r="F3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||Shift|Alt|←/→|タブを左/右に移動|</v>
      </c>
    </row>
    <row r="32" spans="1:6" ht="11.25" customHeight="1">
      <c r="A32" s="1" t="s">
        <v>0</v>
      </c>
      <c r="B32" s="1" t="s">
        <v>1</v>
      </c>
      <c r="D32" s="2" t="s">
        <v>300</v>
      </c>
      <c r="E32" s="2" t="s">
        <v>299</v>
      </c>
      <c r="F3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|Ctrl|Shift||↑/↓|ツールフォルダの場合は項目を上/下に移動|</v>
      </c>
    </row>
    <row r="33" spans="1:6" ht="11.25" customHeight="1">
      <c r="A33" s="1" t="s">
        <v>0</v>
      </c>
      <c r="B33" s="1" t="s">
        <v>1</v>
      </c>
      <c r="D33" s="2" t="s">
        <v>297</v>
      </c>
      <c r="E33" s="2" t="s">
        <v>286</v>
      </c>
      <c r="F3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|Ctrl|Shift||Space|ナビゲートロックの切り替え|</v>
      </c>
    </row>
    <row r="34" spans="1:6" ht="11.25" customHeight="1">
      <c r="B34" s="1" t="s">
        <v>1</v>
      </c>
      <c r="D34" s="2" t="s">
        <v>296</v>
      </c>
      <c r="E34" s="2" t="s">
        <v>287</v>
      </c>
      <c r="F3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||Shift||Esc|別ウインドウを開く|</v>
      </c>
    </row>
    <row r="35" spans="1:6" ht="11.25" customHeight="1">
      <c r="D35" s="2" t="s">
        <v>288</v>
      </c>
      <c r="E35" s="2" t="s">
        <v>289</v>
      </c>
      <c r="F3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||||Ins|パスの抽出|</v>
      </c>
    </row>
    <row r="36" spans="1:6" ht="11.25" customHeight="1">
      <c r="A36" s="1" t="s">
        <v>0</v>
      </c>
      <c r="B36" s="1" t="s">
        <v>1</v>
      </c>
      <c r="D36" s="2" t="s">
        <v>295</v>
      </c>
      <c r="E36" s="2" t="s">
        <v>290</v>
      </c>
      <c r="F3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>|Ctrl|Shift||Ins|最近閉じたタブの一覧|</v>
      </c>
    </row>
    <row r="37" spans="1:6" ht="11.25" customHeight="1">
      <c r="F3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38" spans="1:6" ht="11.25" customHeight="1">
      <c r="F3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39" spans="1:6" ht="11.25" customHeight="1">
      <c r="F3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0" spans="1:6" ht="11.25" customHeight="1">
      <c r="F4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1" spans="1:6" ht="11.25" customHeight="1">
      <c r="F4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2" spans="1:6" ht="11.25" customHeight="1">
      <c r="F4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3" spans="1:6" ht="11.25" customHeight="1">
      <c r="F4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4" spans="1:6" ht="11.25" customHeight="1">
      <c r="F4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5" spans="1:6" ht="11.25" customHeight="1">
      <c r="F4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6" spans="1:6" ht="11.25" customHeight="1">
      <c r="F4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7" spans="1:6" ht="11.25" customHeight="1">
      <c r="F4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8" spans="1:6" ht="11.25" customHeight="1">
      <c r="F4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49" spans="6:6" ht="11.25" customHeight="1">
      <c r="F4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0" spans="6:6" ht="11.25" customHeight="1">
      <c r="F5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1" spans="6:6" ht="11.25" customHeight="1">
      <c r="F5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2" spans="6:6" ht="11.25" customHeight="1">
      <c r="F5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3" spans="6:6" ht="11.25" customHeight="1">
      <c r="F5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4" spans="6:6" ht="11.25" customHeight="1">
      <c r="F5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5" spans="6:6" ht="11.25" customHeight="1">
      <c r="F5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6" spans="6:6" ht="11.25" customHeight="1">
      <c r="F5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7" spans="6:6" ht="11.25" customHeight="1">
      <c r="F5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8" spans="6:6" ht="11.25" customHeight="1">
      <c r="F5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59" spans="6:6" ht="11.25" customHeight="1">
      <c r="F5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0" spans="6:6" ht="11.25" customHeight="1">
      <c r="F6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1" spans="6:6" ht="11.25" customHeight="1">
      <c r="F6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2" spans="6:6" ht="11.25" customHeight="1">
      <c r="F6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3" spans="6:6" ht="11.25" customHeight="1">
      <c r="F6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4" spans="6:6" ht="11.25" customHeight="1">
      <c r="F6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5" spans="6:6" ht="11.25" customHeight="1">
      <c r="F6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6" spans="6:6" ht="11.25" customHeight="1">
      <c r="F6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7" spans="6:6" ht="11.25" customHeight="1">
      <c r="F6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8" spans="6:6" ht="11.25" customHeight="1">
      <c r="F6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69" spans="6:6" ht="11.25" customHeight="1">
      <c r="F6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0" spans="6:6" ht="11.25" customHeight="1">
      <c r="F7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1" spans="6:6" ht="11.25" customHeight="1">
      <c r="F7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2" spans="6:6" ht="11.25" customHeight="1">
      <c r="F7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3" spans="6:6" ht="11.25" customHeight="1">
      <c r="F7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4" spans="6:6" ht="11.25" customHeight="1">
      <c r="F7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5" spans="6:6" ht="11.25" customHeight="1">
      <c r="F7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6" spans="6:6" ht="11.25" customHeight="1">
      <c r="F7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7" spans="6:6" ht="11.25" customHeight="1">
      <c r="F7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8" spans="6:6" ht="11.25" customHeight="1">
      <c r="F7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79" spans="6:6" ht="11.25" customHeight="1">
      <c r="F79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0" spans="6:6" ht="11.25" customHeight="1">
      <c r="F80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1" spans="6:6" ht="11.25" customHeight="1">
      <c r="F81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2" spans="6:6" ht="11.25" customHeight="1">
      <c r="F82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3" spans="6:6" ht="11.25" customHeight="1">
      <c r="F83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4" spans="6:6" ht="11.25" customHeight="1">
      <c r="F84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5" spans="6:6" ht="11.25" customHeight="1">
      <c r="F85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6" spans="6:6" ht="11.25" customHeight="1">
      <c r="F86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7" spans="6:6" ht="11.25" customHeight="1">
      <c r="F87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  <row r="88" spans="6:6" ht="11.25" customHeight="1">
      <c r="F88" s="3" t="str">
        <f>IF(ISBLANK(テーブル1781011[[#This Row],[機能]]),"","|"&amp;テーブル1781011[[#This Row],[Ctrl]]&amp;"|"&amp;テーブル1781011[[#This Row],[Shift]]&amp;"|"&amp;テーブル1781011[[#This Row],[Alt]]&amp;"|"&amp;テーブル1781011[[#This Row],[Key]]&amp;"|"&amp;テーブル1781011[[#This Row],[機能]]&amp;"|")</f>
        <v/>
      </c>
    </row>
  </sheetData>
  <phoneticPr fontId="4"/>
  <dataValidations count="3">
    <dataValidation type="list" allowBlank="1" showInputMessage="1" showErrorMessage="1" sqref="C3:C87" xr:uid="{3D99FE71-D860-4871-9BB3-0CBF0BA91D2A}">
      <formula1>"Alt"</formula1>
    </dataValidation>
    <dataValidation type="list" allowBlank="1" showInputMessage="1" showErrorMessage="1" sqref="B3:B87" xr:uid="{54D0559C-0B10-4575-B9FE-0038034E0ABB}">
      <formula1>"Shift"</formula1>
    </dataValidation>
    <dataValidation type="list" allowBlank="1" showInputMessage="1" showErrorMessage="1" sqref="A3:A87" xr:uid="{2FB35397-F5EE-47DB-AB26-629F2D895034}">
      <formula1>"Ctrl"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2A7A-E69F-46C7-947F-6AC9B39ECBF7}">
  <sheetPr codeName="Sheet15">
    <tabColor theme="8" tint="0.79998168889431442"/>
  </sheetPr>
  <dimension ref="A1:I102"/>
  <sheetViews>
    <sheetView workbookViewId="0">
      <selection activeCell="H107" sqref="H107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9" ht="24">
      <c r="A1" s="20" t="s">
        <v>540</v>
      </c>
      <c r="B1" s="25" t="s">
        <v>266</v>
      </c>
      <c r="C1" s="25" t="s">
        <v>542</v>
      </c>
      <c r="D1" s="25" t="s">
        <v>541</v>
      </c>
      <c r="E1" s="25" t="s">
        <v>543</v>
      </c>
      <c r="F1" s="25" t="s">
        <v>544</v>
      </c>
      <c r="G1" s="25" t="s">
        <v>545</v>
      </c>
      <c r="H1" s="25" t="s">
        <v>546</v>
      </c>
      <c r="I1" s="26" t="s">
        <v>547</v>
      </c>
    </row>
    <row r="2" spans="1:9" s="14" customFormat="1" ht="12">
      <c r="A2" s="21" t="s">
        <v>215</v>
      </c>
      <c r="B2" s="12" t="s">
        <v>889</v>
      </c>
      <c r="C2" s="12" t="s">
        <v>892</v>
      </c>
      <c r="D2" s="12" t="s">
        <v>670</v>
      </c>
      <c r="E2" s="12" t="s">
        <v>670</v>
      </c>
      <c r="F2" s="12" t="s">
        <v>670</v>
      </c>
      <c r="G2" s="12" t="s">
        <v>670</v>
      </c>
      <c r="H2" s="12" t="s">
        <v>670</v>
      </c>
      <c r="I2" s="27" t="s">
        <v>670</v>
      </c>
    </row>
    <row r="3" spans="1:9" s="14" customFormat="1" ht="12">
      <c r="A3" s="21" t="s">
        <v>154</v>
      </c>
      <c r="B3" s="12" t="s">
        <v>670</v>
      </c>
      <c r="C3" s="12" t="s">
        <v>893</v>
      </c>
      <c r="D3" s="12" t="s">
        <v>670</v>
      </c>
      <c r="E3" s="12" t="s">
        <v>670</v>
      </c>
      <c r="F3" s="12" t="s">
        <v>670</v>
      </c>
      <c r="G3" s="12" t="s">
        <v>670</v>
      </c>
      <c r="H3" s="12" t="s">
        <v>670</v>
      </c>
      <c r="I3" s="27" t="s">
        <v>670</v>
      </c>
    </row>
    <row r="4" spans="1:9" s="14" customFormat="1" ht="12">
      <c r="A4" s="21" t="s">
        <v>156</v>
      </c>
      <c r="B4" s="12" t="s">
        <v>890</v>
      </c>
      <c r="C4" s="12" t="s">
        <v>894</v>
      </c>
      <c r="D4" s="12" t="s">
        <v>670</v>
      </c>
      <c r="E4" s="12" t="s">
        <v>670</v>
      </c>
      <c r="F4" s="12" t="s">
        <v>670</v>
      </c>
      <c r="G4" s="12" t="s">
        <v>670</v>
      </c>
      <c r="H4" s="12" t="s">
        <v>670</v>
      </c>
      <c r="I4" s="27" t="s">
        <v>670</v>
      </c>
    </row>
    <row r="5" spans="1:9" s="14" customFormat="1" ht="12">
      <c r="A5" s="21" t="s">
        <v>150</v>
      </c>
      <c r="B5" s="12" t="s">
        <v>670</v>
      </c>
      <c r="C5" s="12" t="s">
        <v>895</v>
      </c>
      <c r="D5" s="12" t="s">
        <v>872</v>
      </c>
      <c r="E5" s="12" t="s">
        <v>670</v>
      </c>
      <c r="F5" s="12" t="s">
        <v>670</v>
      </c>
      <c r="G5" s="12" t="s">
        <v>670</v>
      </c>
      <c r="H5" s="12" t="s">
        <v>670</v>
      </c>
      <c r="I5" s="27" t="s">
        <v>670</v>
      </c>
    </row>
    <row r="6" spans="1:9" s="14" customFormat="1" ht="12">
      <c r="A6" s="21" t="s">
        <v>159</v>
      </c>
      <c r="B6" s="12" t="s">
        <v>670</v>
      </c>
      <c r="C6" s="12" t="s">
        <v>670</v>
      </c>
      <c r="D6" s="12" t="s">
        <v>670</v>
      </c>
      <c r="E6" s="12" t="s">
        <v>670</v>
      </c>
      <c r="F6" s="12" t="s">
        <v>670</v>
      </c>
      <c r="G6" s="12" t="s">
        <v>670</v>
      </c>
      <c r="H6" s="12" t="s">
        <v>670</v>
      </c>
      <c r="I6" s="27" t="s">
        <v>670</v>
      </c>
    </row>
    <row r="7" spans="1:9" s="14" customFormat="1" ht="12">
      <c r="A7" s="21" t="s">
        <v>53</v>
      </c>
      <c r="B7" s="12" t="s">
        <v>670</v>
      </c>
      <c r="C7" s="12" t="s">
        <v>670</v>
      </c>
      <c r="D7" s="12" t="s">
        <v>670</v>
      </c>
      <c r="E7" s="12" t="s">
        <v>670</v>
      </c>
      <c r="F7" s="12" t="s">
        <v>670</v>
      </c>
      <c r="G7" s="12" t="s">
        <v>670</v>
      </c>
      <c r="H7" s="12" t="s">
        <v>670</v>
      </c>
      <c r="I7" s="27" t="s">
        <v>670</v>
      </c>
    </row>
    <row r="8" spans="1:9" s="14" customFormat="1" ht="12">
      <c r="A8" s="21" t="s">
        <v>224</v>
      </c>
      <c r="B8" s="12" t="s">
        <v>670</v>
      </c>
      <c r="C8" s="12" t="s">
        <v>670</v>
      </c>
      <c r="D8" s="12" t="s">
        <v>670</v>
      </c>
      <c r="E8" s="12" t="s">
        <v>670</v>
      </c>
      <c r="F8" s="12" t="s">
        <v>670</v>
      </c>
      <c r="G8" s="12" t="s">
        <v>670</v>
      </c>
      <c r="H8" s="12" t="s">
        <v>670</v>
      </c>
      <c r="I8" s="27" t="s">
        <v>670</v>
      </c>
    </row>
    <row r="9" spans="1:9" s="14" customFormat="1" ht="12">
      <c r="A9" s="21" t="s">
        <v>238</v>
      </c>
      <c r="B9" s="12" t="s">
        <v>670</v>
      </c>
      <c r="C9" s="12" t="s">
        <v>896</v>
      </c>
      <c r="D9" s="12" t="s">
        <v>670</v>
      </c>
      <c r="E9" s="12" t="s">
        <v>670</v>
      </c>
      <c r="F9" s="12" t="s">
        <v>670</v>
      </c>
      <c r="G9" s="12" t="s">
        <v>670</v>
      </c>
      <c r="H9" s="12" t="s">
        <v>670</v>
      </c>
      <c r="I9" s="27" t="s">
        <v>670</v>
      </c>
    </row>
    <row r="10" spans="1:9" s="14" customFormat="1" ht="12">
      <c r="A10" s="21" t="s">
        <v>235</v>
      </c>
      <c r="B10" s="12" t="s">
        <v>670</v>
      </c>
      <c r="C10" s="12" t="s">
        <v>670</v>
      </c>
      <c r="D10" s="12" t="s">
        <v>670</v>
      </c>
      <c r="E10" s="12" t="s">
        <v>670</v>
      </c>
      <c r="F10" s="12" t="s">
        <v>670</v>
      </c>
      <c r="G10" s="12" t="s">
        <v>670</v>
      </c>
      <c r="H10" s="12" t="s">
        <v>670</v>
      </c>
      <c r="I10" s="27" t="s">
        <v>670</v>
      </c>
    </row>
    <row r="11" spans="1:9" s="14" customFormat="1" ht="12">
      <c r="A11" s="21" t="s">
        <v>141</v>
      </c>
      <c r="B11" s="12" t="s">
        <v>670</v>
      </c>
      <c r="C11" s="12" t="s">
        <v>670</v>
      </c>
      <c r="D11" s="12" t="s">
        <v>670</v>
      </c>
      <c r="E11" s="12" t="s">
        <v>670</v>
      </c>
      <c r="F11" s="12" t="s">
        <v>670</v>
      </c>
      <c r="G11" s="12" t="s">
        <v>670</v>
      </c>
      <c r="H11" s="12" t="s">
        <v>670</v>
      </c>
      <c r="I11" s="27" t="s">
        <v>670</v>
      </c>
    </row>
    <row r="12" spans="1:9" s="14" customFormat="1" ht="12">
      <c r="A12" s="21" t="s">
        <v>221</v>
      </c>
      <c r="B12" s="12" t="s">
        <v>1810</v>
      </c>
      <c r="C12" s="12" t="s">
        <v>670</v>
      </c>
      <c r="D12" s="12" t="s">
        <v>670</v>
      </c>
      <c r="E12" s="12" t="s">
        <v>670</v>
      </c>
      <c r="F12" s="12" t="s">
        <v>670</v>
      </c>
      <c r="G12" s="12" t="s">
        <v>670</v>
      </c>
      <c r="H12" s="12" t="s">
        <v>670</v>
      </c>
      <c r="I12" s="27" t="s">
        <v>670</v>
      </c>
    </row>
    <row r="13" spans="1:9" s="14" customFormat="1" ht="12">
      <c r="A13" s="21" t="s">
        <v>225</v>
      </c>
      <c r="B13" s="12" t="s">
        <v>891</v>
      </c>
      <c r="C13" s="12" t="s">
        <v>670</v>
      </c>
      <c r="D13" s="12" t="s">
        <v>670</v>
      </c>
      <c r="E13" s="12" t="s">
        <v>670</v>
      </c>
      <c r="F13" s="12" t="s">
        <v>670</v>
      </c>
      <c r="G13" s="12" t="s">
        <v>670</v>
      </c>
      <c r="H13" s="12" t="s">
        <v>670</v>
      </c>
      <c r="I13" s="27" t="s">
        <v>670</v>
      </c>
    </row>
    <row r="14" spans="1:9" ht="12">
      <c r="A14" s="22">
        <v>1</v>
      </c>
      <c r="B14" s="12" t="s">
        <v>670</v>
      </c>
      <c r="C14" s="12" t="s">
        <v>670</v>
      </c>
      <c r="D14" s="12" t="s">
        <v>670</v>
      </c>
      <c r="E14" s="12" t="s">
        <v>879</v>
      </c>
      <c r="F14" s="12" t="s">
        <v>670</v>
      </c>
      <c r="G14" s="12" t="s">
        <v>670</v>
      </c>
      <c r="H14" s="12" t="s">
        <v>670</v>
      </c>
      <c r="I14" s="27" t="s">
        <v>670</v>
      </c>
    </row>
    <row r="15" spans="1:9" ht="12">
      <c r="A15" s="22">
        <v>2</v>
      </c>
      <c r="B15" s="12" t="s">
        <v>670</v>
      </c>
      <c r="C15" s="12" t="s">
        <v>670</v>
      </c>
      <c r="D15" s="12" t="s">
        <v>670</v>
      </c>
      <c r="E15" s="12" t="s">
        <v>880</v>
      </c>
      <c r="F15" s="12" t="s">
        <v>670</v>
      </c>
      <c r="G15" s="12" t="s">
        <v>670</v>
      </c>
      <c r="H15" s="12" t="s">
        <v>670</v>
      </c>
      <c r="I15" s="27" t="s">
        <v>670</v>
      </c>
    </row>
    <row r="16" spans="1:9" ht="12">
      <c r="A16" s="22">
        <v>3</v>
      </c>
      <c r="B16" s="12" t="s">
        <v>670</v>
      </c>
      <c r="C16" s="12" t="s">
        <v>670</v>
      </c>
      <c r="D16" s="12" t="s">
        <v>670</v>
      </c>
      <c r="E16" s="12" t="s">
        <v>881</v>
      </c>
      <c r="F16" s="12" t="s">
        <v>670</v>
      </c>
      <c r="G16" s="12" t="s">
        <v>670</v>
      </c>
      <c r="H16" s="12" t="s">
        <v>670</v>
      </c>
      <c r="I16" s="27" t="s">
        <v>670</v>
      </c>
    </row>
    <row r="17" spans="1:9" ht="12">
      <c r="A17" s="22">
        <v>4</v>
      </c>
      <c r="B17" s="12" t="s">
        <v>670</v>
      </c>
      <c r="C17" s="12" t="s">
        <v>670</v>
      </c>
      <c r="D17" s="12" t="s">
        <v>670</v>
      </c>
      <c r="E17" s="12" t="s">
        <v>882</v>
      </c>
      <c r="F17" s="12" t="s">
        <v>670</v>
      </c>
      <c r="G17" s="12" t="s">
        <v>670</v>
      </c>
      <c r="H17" s="12" t="s">
        <v>670</v>
      </c>
      <c r="I17" s="27" t="s">
        <v>670</v>
      </c>
    </row>
    <row r="18" spans="1:9" ht="12">
      <c r="A18" s="22">
        <v>5</v>
      </c>
      <c r="B18" s="12" t="s">
        <v>670</v>
      </c>
      <c r="C18" s="12" t="s">
        <v>670</v>
      </c>
      <c r="D18" s="12" t="s">
        <v>670</v>
      </c>
      <c r="E18" s="12" t="s">
        <v>883</v>
      </c>
      <c r="F18" s="12" t="s">
        <v>670</v>
      </c>
      <c r="G18" s="12" t="s">
        <v>670</v>
      </c>
      <c r="H18" s="12" t="s">
        <v>670</v>
      </c>
      <c r="I18" s="27" t="s">
        <v>670</v>
      </c>
    </row>
    <row r="19" spans="1:9" ht="12">
      <c r="A19" s="22">
        <v>6</v>
      </c>
      <c r="B19" s="12" t="s">
        <v>670</v>
      </c>
      <c r="C19" s="12" t="s">
        <v>670</v>
      </c>
      <c r="D19" s="12" t="s">
        <v>670</v>
      </c>
      <c r="E19" s="12" t="s">
        <v>884</v>
      </c>
      <c r="F19" s="12" t="s">
        <v>670</v>
      </c>
      <c r="G19" s="12" t="s">
        <v>670</v>
      </c>
      <c r="H19" s="12" t="s">
        <v>670</v>
      </c>
      <c r="I19" s="27" t="s">
        <v>670</v>
      </c>
    </row>
    <row r="20" spans="1:9" ht="12">
      <c r="A20" s="22">
        <v>7</v>
      </c>
      <c r="B20" s="12" t="s">
        <v>670</v>
      </c>
      <c r="C20" s="12" t="s">
        <v>670</v>
      </c>
      <c r="D20" s="12" t="s">
        <v>670</v>
      </c>
      <c r="E20" s="12" t="s">
        <v>885</v>
      </c>
      <c r="F20" s="12" t="s">
        <v>670</v>
      </c>
      <c r="G20" s="12" t="s">
        <v>670</v>
      </c>
      <c r="H20" s="12" t="s">
        <v>670</v>
      </c>
      <c r="I20" s="27" t="s">
        <v>670</v>
      </c>
    </row>
    <row r="21" spans="1:9" ht="12">
      <c r="A21" s="22">
        <v>8</v>
      </c>
      <c r="B21" s="12" t="s">
        <v>670</v>
      </c>
      <c r="C21" s="12" t="s">
        <v>670</v>
      </c>
      <c r="D21" s="12" t="s">
        <v>670</v>
      </c>
      <c r="E21" s="12" t="s">
        <v>886</v>
      </c>
      <c r="F21" s="12" t="s">
        <v>670</v>
      </c>
      <c r="G21" s="12" t="s">
        <v>670</v>
      </c>
      <c r="H21" s="12" t="s">
        <v>670</v>
      </c>
      <c r="I21" s="27" t="s">
        <v>670</v>
      </c>
    </row>
    <row r="22" spans="1:9" ht="12">
      <c r="A22" s="22">
        <v>9</v>
      </c>
      <c r="B22" s="12" t="s">
        <v>670</v>
      </c>
      <c r="C22" s="12" t="s">
        <v>670</v>
      </c>
      <c r="D22" s="12" t="s">
        <v>670</v>
      </c>
      <c r="E22" s="12" t="s">
        <v>887</v>
      </c>
      <c r="F22" s="12" t="s">
        <v>670</v>
      </c>
      <c r="G22" s="12" t="s">
        <v>670</v>
      </c>
      <c r="H22" s="12" t="s">
        <v>670</v>
      </c>
      <c r="I22" s="27" t="s">
        <v>670</v>
      </c>
    </row>
    <row r="23" spans="1:9" ht="12">
      <c r="A23" s="22">
        <v>0</v>
      </c>
      <c r="B23" s="12" t="s">
        <v>670</v>
      </c>
      <c r="C23" s="12" t="s">
        <v>670</v>
      </c>
      <c r="D23" s="12" t="s">
        <v>670</v>
      </c>
      <c r="E23" s="12" t="s">
        <v>888</v>
      </c>
      <c r="F23" s="12" t="s">
        <v>670</v>
      </c>
      <c r="G23" s="12" t="s">
        <v>670</v>
      </c>
      <c r="H23" s="12" t="s">
        <v>670</v>
      </c>
      <c r="I23" s="27" t="s">
        <v>670</v>
      </c>
    </row>
    <row r="24" spans="1:9" s="14" customFormat="1" ht="12">
      <c r="A24" s="21" t="s">
        <v>673</v>
      </c>
      <c r="B24" s="19" t="s">
        <v>940</v>
      </c>
      <c r="C24" s="12" t="s">
        <v>944</v>
      </c>
      <c r="D24" s="12" t="s">
        <v>942</v>
      </c>
      <c r="E24" s="12" t="s">
        <v>877</v>
      </c>
      <c r="F24" s="12" t="s">
        <v>677</v>
      </c>
      <c r="G24" s="12" t="s">
        <v>907</v>
      </c>
      <c r="H24" s="12" t="s">
        <v>876</v>
      </c>
      <c r="I24" s="27" t="s">
        <v>670</v>
      </c>
    </row>
    <row r="25" spans="1:9" s="14" customFormat="1" ht="12">
      <c r="A25" s="21" t="s">
        <v>674</v>
      </c>
      <c r="B25" s="19" t="s">
        <v>940</v>
      </c>
      <c r="C25" s="12" t="s">
        <v>945</v>
      </c>
      <c r="D25" s="12" t="s">
        <v>943</v>
      </c>
      <c r="E25" s="12" t="s">
        <v>909</v>
      </c>
      <c r="F25" s="12" t="s">
        <v>678</v>
      </c>
      <c r="G25" s="12" t="s">
        <v>908</v>
      </c>
      <c r="H25" s="12" t="s">
        <v>670</v>
      </c>
      <c r="I25" s="27" t="s">
        <v>670</v>
      </c>
    </row>
    <row r="26" spans="1:9" ht="12">
      <c r="A26" s="21" t="s">
        <v>671</v>
      </c>
      <c r="B26" s="19" t="s">
        <v>940</v>
      </c>
      <c r="C26" s="12" t="s">
        <v>670</v>
      </c>
      <c r="D26" s="12" t="s">
        <v>283</v>
      </c>
      <c r="E26" s="12" t="s">
        <v>670</v>
      </c>
      <c r="F26" s="12" t="s">
        <v>675</v>
      </c>
      <c r="G26" s="12" t="s">
        <v>670</v>
      </c>
      <c r="H26" s="12" t="s">
        <v>670</v>
      </c>
      <c r="I26" s="27" t="s">
        <v>670</v>
      </c>
    </row>
    <row r="27" spans="1:9" ht="12">
      <c r="A27" s="21" t="s">
        <v>672</v>
      </c>
      <c r="B27" s="19" t="s">
        <v>940</v>
      </c>
      <c r="C27" s="12" t="s">
        <v>670</v>
      </c>
      <c r="D27" s="12" t="s">
        <v>282</v>
      </c>
      <c r="E27" s="12" t="s">
        <v>279</v>
      </c>
      <c r="F27" s="12" t="s">
        <v>676</v>
      </c>
      <c r="G27" s="12" t="s">
        <v>670</v>
      </c>
      <c r="H27" s="12" t="s">
        <v>670</v>
      </c>
      <c r="I27" s="27" t="s">
        <v>670</v>
      </c>
    </row>
    <row r="28" spans="1:9" ht="12">
      <c r="A28" s="23" t="s">
        <v>587</v>
      </c>
      <c r="B28" s="12" t="s">
        <v>670</v>
      </c>
      <c r="C28" s="12" t="s">
        <v>670</v>
      </c>
      <c r="D28" s="12" t="s">
        <v>283</v>
      </c>
      <c r="E28" s="12" t="s">
        <v>670</v>
      </c>
      <c r="F28" s="12" t="s">
        <v>282</v>
      </c>
      <c r="G28" s="12" t="s">
        <v>670</v>
      </c>
      <c r="H28" s="12" t="s">
        <v>670</v>
      </c>
      <c r="I28" s="27" t="s">
        <v>670</v>
      </c>
    </row>
    <row r="29" spans="1:9" ht="12">
      <c r="A29" s="23" t="s">
        <v>589</v>
      </c>
      <c r="B29" s="12" t="s">
        <v>289</v>
      </c>
      <c r="C29" s="12" t="s">
        <v>670</v>
      </c>
      <c r="D29" s="12" t="s">
        <v>670</v>
      </c>
      <c r="E29" s="12" t="s">
        <v>670</v>
      </c>
      <c r="F29" s="12" t="s">
        <v>290</v>
      </c>
      <c r="G29" s="12" t="s">
        <v>670</v>
      </c>
      <c r="H29" s="12" t="s">
        <v>670</v>
      </c>
      <c r="I29" s="27" t="s">
        <v>670</v>
      </c>
    </row>
    <row r="30" spans="1:9" ht="12">
      <c r="A30" s="23" t="s">
        <v>592</v>
      </c>
      <c r="B30" s="12" t="s">
        <v>670</v>
      </c>
      <c r="C30" s="12" t="s">
        <v>670</v>
      </c>
      <c r="D30" s="12" t="s">
        <v>670</v>
      </c>
      <c r="E30" s="12" t="s">
        <v>670</v>
      </c>
      <c r="F30" s="12" t="s">
        <v>670</v>
      </c>
      <c r="G30" s="12" t="s">
        <v>670</v>
      </c>
      <c r="H30" s="12" t="s">
        <v>670</v>
      </c>
      <c r="I30" s="27" t="s">
        <v>670</v>
      </c>
    </row>
    <row r="31" spans="1:9" ht="12">
      <c r="A31" s="23" t="s">
        <v>596</v>
      </c>
      <c r="B31" s="12" t="s">
        <v>875</v>
      </c>
      <c r="C31" s="12" t="s">
        <v>670</v>
      </c>
      <c r="D31" s="12" t="s">
        <v>670</v>
      </c>
      <c r="E31" s="12" t="s">
        <v>670</v>
      </c>
      <c r="F31" s="12" t="s">
        <v>670</v>
      </c>
      <c r="G31" s="12" t="s">
        <v>670</v>
      </c>
      <c r="H31" s="12" t="s">
        <v>670</v>
      </c>
      <c r="I31" s="27" t="s">
        <v>670</v>
      </c>
    </row>
    <row r="32" spans="1:9" ht="12">
      <c r="A32" s="23" t="s">
        <v>669</v>
      </c>
      <c r="B32" s="12" t="s">
        <v>670</v>
      </c>
      <c r="C32" s="12" t="s">
        <v>670</v>
      </c>
      <c r="D32" s="12" t="s">
        <v>670</v>
      </c>
      <c r="E32" s="12" t="s">
        <v>670</v>
      </c>
      <c r="F32" s="12" t="s">
        <v>670</v>
      </c>
      <c r="G32" s="12" t="s">
        <v>670</v>
      </c>
      <c r="H32" s="12" t="s">
        <v>670</v>
      </c>
      <c r="I32" s="27" t="s">
        <v>670</v>
      </c>
    </row>
    <row r="33" spans="1:9" ht="12">
      <c r="A33" s="23" t="s">
        <v>599</v>
      </c>
      <c r="B33" s="12" t="s">
        <v>670</v>
      </c>
      <c r="C33" s="12" t="s">
        <v>670</v>
      </c>
      <c r="D33" s="12" t="s">
        <v>670</v>
      </c>
      <c r="E33" s="12" t="s">
        <v>670</v>
      </c>
      <c r="F33" s="12" t="s">
        <v>670</v>
      </c>
      <c r="G33" s="12" t="s">
        <v>670</v>
      </c>
      <c r="H33" s="12" t="s">
        <v>670</v>
      </c>
      <c r="I33" s="27" t="s">
        <v>670</v>
      </c>
    </row>
    <row r="34" spans="1:9" ht="12">
      <c r="A34" s="23" t="s">
        <v>600</v>
      </c>
      <c r="B34" s="12" t="s">
        <v>670</v>
      </c>
      <c r="C34" s="12" t="s">
        <v>670</v>
      </c>
      <c r="D34" s="12" t="s">
        <v>910</v>
      </c>
      <c r="E34" s="12" t="s">
        <v>670</v>
      </c>
      <c r="F34" s="12" t="s">
        <v>670</v>
      </c>
      <c r="G34" s="12" t="s">
        <v>670</v>
      </c>
      <c r="H34" s="12" t="s">
        <v>670</v>
      </c>
      <c r="I34" s="27" t="s">
        <v>670</v>
      </c>
    </row>
    <row r="35" spans="1:9" ht="12">
      <c r="A35" s="23" t="s">
        <v>601</v>
      </c>
      <c r="B35" s="12" t="s">
        <v>670</v>
      </c>
      <c r="C35" s="12" t="s">
        <v>670</v>
      </c>
      <c r="D35" s="12" t="s">
        <v>670</v>
      </c>
      <c r="E35" s="12" t="s">
        <v>670</v>
      </c>
      <c r="F35" s="12" t="s">
        <v>670</v>
      </c>
      <c r="G35" s="12" t="s">
        <v>670</v>
      </c>
      <c r="H35" s="12" t="s">
        <v>670</v>
      </c>
      <c r="I35" s="27" t="s">
        <v>670</v>
      </c>
    </row>
    <row r="36" spans="1:9" ht="12">
      <c r="A36" s="37" t="s">
        <v>915</v>
      </c>
      <c r="B36" s="12" t="s">
        <v>267</v>
      </c>
      <c r="C36" s="12" t="s">
        <v>268</v>
      </c>
      <c r="D36" s="12" t="s">
        <v>670</v>
      </c>
      <c r="E36" s="12" t="s">
        <v>670</v>
      </c>
      <c r="F36" s="12" t="s">
        <v>670</v>
      </c>
      <c r="G36" s="12" t="s">
        <v>670</v>
      </c>
      <c r="H36" s="12" t="s">
        <v>670</v>
      </c>
      <c r="I36" s="27" t="s">
        <v>670</v>
      </c>
    </row>
    <row r="37" spans="1:9" ht="12">
      <c r="A37" s="23" t="s">
        <v>917</v>
      </c>
      <c r="B37" s="12" t="s">
        <v>670</v>
      </c>
      <c r="C37" s="12" t="s">
        <v>670</v>
      </c>
      <c r="D37" s="12" t="s">
        <v>670</v>
      </c>
      <c r="E37" s="12" t="s">
        <v>670</v>
      </c>
      <c r="F37" s="12" t="s">
        <v>670</v>
      </c>
      <c r="G37" s="12" t="s">
        <v>670</v>
      </c>
      <c r="H37" s="12" t="s">
        <v>670</v>
      </c>
      <c r="I37" s="27" t="s">
        <v>670</v>
      </c>
    </row>
    <row r="38" spans="1:9" ht="12">
      <c r="A38" s="23" t="s">
        <v>919</v>
      </c>
      <c r="B38" s="12" t="s">
        <v>256</v>
      </c>
      <c r="C38" s="12" t="s">
        <v>670</v>
      </c>
      <c r="D38" s="12" t="s">
        <v>670</v>
      </c>
      <c r="E38" s="12" t="s">
        <v>670</v>
      </c>
      <c r="F38" s="12" t="s">
        <v>670</v>
      </c>
      <c r="G38" s="12" t="s">
        <v>670</v>
      </c>
      <c r="H38" s="12" t="s">
        <v>670</v>
      </c>
      <c r="I38" s="27" t="s">
        <v>670</v>
      </c>
    </row>
    <row r="39" spans="1:9" ht="12">
      <c r="A39" s="37" t="s">
        <v>921</v>
      </c>
      <c r="B39" s="12" t="s">
        <v>260</v>
      </c>
      <c r="C39" s="12" t="s">
        <v>670</v>
      </c>
      <c r="D39" s="12" t="s">
        <v>670</v>
      </c>
      <c r="E39" s="12" t="s">
        <v>670</v>
      </c>
      <c r="F39" s="12" t="s">
        <v>670</v>
      </c>
      <c r="G39" s="12" t="s">
        <v>670</v>
      </c>
      <c r="H39" s="12" t="s">
        <v>670</v>
      </c>
      <c r="I39" s="27" t="s">
        <v>670</v>
      </c>
    </row>
    <row r="40" spans="1:9" ht="12">
      <c r="A40" s="23" t="s">
        <v>923</v>
      </c>
      <c r="B40" s="12" t="s">
        <v>274</v>
      </c>
      <c r="C40" s="12" t="s">
        <v>670</v>
      </c>
      <c r="D40" s="12" t="s">
        <v>670</v>
      </c>
      <c r="E40" s="12" t="s">
        <v>670</v>
      </c>
      <c r="F40" s="12" t="s">
        <v>670</v>
      </c>
      <c r="G40" s="12" t="s">
        <v>670</v>
      </c>
      <c r="H40" s="12" t="s">
        <v>670</v>
      </c>
      <c r="I40" s="27" t="s">
        <v>670</v>
      </c>
    </row>
    <row r="41" spans="1:9" ht="12">
      <c r="A41" s="23" t="s">
        <v>925</v>
      </c>
      <c r="B41" s="12" t="s">
        <v>913</v>
      </c>
      <c r="C41" s="12" t="s">
        <v>670</v>
      </c>
      <c r="D41" s="12" t="s">
        <v>670</v>
      </c>
      <c r="E41" s="12" t="s">
        <v>670</v>
      </c>
      <c r="F41" s="12" t="s">
        <v>670</v>
      </c>
      <c r="G41" s="12" t="s">
        <v>670</v>
      </c>
      <c r="H41" s="12" t="s">
        <v>670</v>
      </c>
      <c r="I41" s="27" t="s">
        <v>670</v>
      </c>
    </row>
    <row r="42" spans="1:9" ht="12">
      <c r="A42" s="23" t="s">
        <v>927</v>
      </c>
      <c r="B42" s="12" t="s">
        <v>912</v>
      </c>
      <c r="C42" s="12" t="s">
        <v>911</v>
      </c>
      <c r="D42" s="12" t="s">
        <v>670</v>
      </c>
      <c r="E42" s="12" t="s">
        <v>670</v>
      </c>
      <c r="F42" s="12" t="s">
        <v>670</v>
      </c>
      <c r="G42" s="12" t="s">
        <v>670</v>
      </c>
      <c r="H42" s="12" t="s">
        <v>670</v>
      </c>
      <c r="I42" s="27" t="s">
        <v>670</v>
      </c>
    </row>
    <row r="43" spans="1:9" ht="12">
      <c r="A43" s="23" t="s">
        <v>929</v>
      </c>
      <c r="B43" s="12" t="s">
        <v>909</v>
      </c>
      <c r="C43" s="12" t="s">
        <v>259</v>
      </c>
      <c r="D43" s="12" t="s">
        <v>670</v>
      </c>
      <c r="E43" s="12" t="s">
        <v>670</v>
      </c>
      <c r="F43" s="12" t="s">
        <v>670</v>
      </c>
      <c r="G43" s="12" t="s">
        <v>670</v>
      </c>
      <c r="H43" s="12" t="s">
        <v>670</v>
      </c>
      <c r="I43" s="27" t="s">
        <v>670</v>
      </c>
    </row>
    <row r="44" spans="1:9" ht="12">
      <c r="A44" s="23" t="s">
        <v>931</v>
      </c>
      <c r="B44" s="12" t="s">
        <v>263</v>
      </c>
      <c r="C44" s="12" t="s">
        <v>275</v>
      </c>
      <c r="D44" s="12" t="s">
        <v>670</v>
      </c>
      <c r="E44" s="12" t="s">
        <v>670</v>
      </c>
      <c r="F44" s="12" t="s">
        <v>670</v>
      </c>
      <c r="G44" s="12" t="s">
        <v>670</v>
      </c>
      <c r="H44" s="12" t="s">
        <v>670</v>
      </c>
      <c r="I44" s="27" t="s">
        <v>670</v>
      </c>
    </row>
    <row r="45" spans="1:9" ht="12">
      <c r="A45" s="23" t="s">
        <v>933</v>
      </c>
      <c r="B45" s="12" t="s">
        <v>265</v>
      </c>
      <c r="C45" s="12" t="s">
        <v>276</v>
      </c>
      <c r="D45" s="12" t="s">
        <v>670</v>
      </c>
      <c r="E45" s="12" t="s">
        <v>670</v>
      </c>
      <c r="F45" s="12" t="s">
        <v>670</v>
      </c>
      <c r="G45" s="12" t="s">
        <v>670</v>
      </c>
      <c r="H45" s="12" t="s">
        <v>670</v>
      </c>
      <c r="I45" s="27" t="s">
        <v>670</v>
      </c>
    </row>
    <row r="46" spans="1:9" ht="12">
      <c r="A46" s="23" t="s">
        <v>935</v>
      </c>
      <c r="B46" s="12" t="s">
        <v>258</v>
      </c>
      <c r="C46" s="12" t="s">
        <v>270</v>
      </c>
      <c r="D46" s="12" t="s">
        <v>670</v>
      </c>
      <c r="E46" s="12" t="s">
        <v>670</v>
      </c>
      <c r="F46" s="12" t="s">
        <v>670</v>
      </c>
      <c r="G46" s="12" t="s">
        <v>670</v>
      </c>
      <c r="H46" s="12" t="s">
        <v>670</v>
      </c>
      <c r="I46" s="27" t="s">
        <v>670</v>
      </c>
    </row>
    <row r="47" spans="1:9" ht="12">
      <c r="A47" s="23" t="s">
        <v>937</v>
      </c>
      <c r="B47" s="12" t="s">
        <v>256</v>
      </c>
      <c r="C47" s="12" t="s">
        <v>670</v>
      </c>
      <c r="D47" s="12" t="s">
        <v>670</v>
      </c>
      <c r="E47" s="12" t="s">
        <v>670</v>
      </c>
      <c r="F47" s="12" t="s">
        <v>670</v>
      </c>
      <c r="G47" s="12" t="s">
        <v>670</v>
      </c>
      <c r="H47" s="12" t="s">
        <v>670</v>
      </c>
      <c r="I47" s="27" t="s">
        <v>670</v>
      </c>
    </row>
    <row r="48" spans="1:9" ht="12">
      <c r="A48" s="23" t="s">
        <v>667</v>
      </c>
      <c r="B48" s="12" t="s">
        <v>670</v>
      </c>
      <c r="C48" s="12" t="s">
        <v>287</v>
      </c>
      <c r="D48" s="12" t="s">
        <v>670</v>
      </c>
      <c r="E48" s="12" t="s">
        <v>670</v>
      </c>
      <c r="F48" s="12" t="s">
        <v>670</v>
      </c>
      <c r="G48" s="12" t="s">
        <v>670</v>
      </c>
      <c r="H48" s="12" t="s">
        <v>670</v>
      </c>
      <c r="I48" s="27" t="s">
        <v>670</v>
      </c>
    </row>
    <row r="49" spans="1:9" ht="12">
      <c r="A49" s="23" t="s">
        <v>607</v>
      </c>
      <c r="B49" s="12" t="s">
        <v>670</v>
      </c>
      <c r="C49" s="12" t="s">
        <v>670</v>
      </c>
      <c r="D49" s="12" t="s">
        <v>670</v>
      </c>
      <c r="E49" s="12" t="s">
        <v>670</v>
      </c>
      <c r="F49" s="12" t="s">
        <v>670</v>
      </c>
      <c r="G49" s="12" t="s">
        <v>670</v>
      </c>
      <c r="H49" s="12" t="s">
        <v>670</v>
      </c>
      <c r="I49" s="27" t="s">
        <v>670</v>
      </c>
    </row>
    <row r="50" spans="1:9" ht="12">
      <c r="A50" s="23" t="s">
        <v>609</v>
      </c>
      <c r="B50" s="12" t="s">
        <v>670</v>
      </c>
      <c r="C50" s="12" t="s">
        <v>670</v>
      </c>
      <c r="D50" s="12" t="s">
        <v>670</v>
      </c>
      <c r="E50" s="12" t="s">
        <v>670</v>
      </c>
      <c r="F50" s="12" t="s">
        <v>670</v>
      </c>
      <c r="G50" s="12" t="s">
        <v>670</v>
      </c>
      <c r="H50" s="12" t="s">
        <v>670</v>
      </c>
      <c r="I50" s="27" t="s">
        <v>670</v>
      </c>
    </row>
    <row r="51" spans="1:9" ht="12">
      <c r="A51" s="23" t="s">
        <v>610</v>
      </c>
      <c r="B51" s="12" t="s">
        <v>670</v>
      </c>
      <c r="C51" s="12" t="s">
        <v>670</v>
      </c>
      <c r="D51" s="12" t="s">
        <v>670</v>
      </c>
      <c r="E51" s="12" t="s">
        <v>670</v>
      </c>
      <c r="F51" s="12" t="s">
        <v>670</v>
      </c>
      <c r="G51" s="12" t="s">
        <v>670</v>
      </c>
      <c r="H51" s="12" t="s">
        <v>670</v>
      </c>
      <c r="I51" s="27" t="s">
        <v>670</v>
      </c>
    </row>
    <row r="52" spans="1:9" ht="12">
      <c r="A52" s="23" t="s">
        <v>611</v>
      </c>
      <c r="B52" s="12" t="s">
        <v>670</v>
      </c>
      <c r="C52" s="12" t="s">
        <v>670</v>
      </c>
      <c r="D52" s="12" t="s">
        <v>670</v>
      </c>
      <c r="E52" s="12" t="s">
        <v>670</v>
      </c>
      <c r="F52" s="12" t="s">
        <v>670</v>
      </c>
      <c r="G52" s="12" t="s">
        <v>670</v>
      </c>
      <c r="H52" s="12" t="s">
        <v>670</v>
      </c>
      <c r="I52" s="27" t="s">
        <v>670</v>
      </c>
    </row>
    <row r="53" spans="1:9" ht="12">
      <c r="A53" s="23" t="s">
        <v>946</v>
      </c>
      <c r="B53" s="12" t="s">
        <v>670</v>
      </c>
      <c r="C53" s="12" t="s">
        <v>670</v>
      </c>
      <c r="D53" s="12" t="s">
        <v>670</v>
      </c>
      <c r="E53" s="12" t="s">
        <v>670</v>
      </c>
      <c r="F53" s="12" t="s">
        <v>670</v>
      </c>
      <c r="G53" s="12" t="s">
        <v>670</v>
      </c>
      <c r="H53" s="12" t="s">
        <v>670</v>
      </c>
      <c r="I53" s="27" t="s">
        <v>670</v>
      </c>
    </row>
    <row r="54" spans="1:9" ht="12">
      <c r="A54" s="23" t="s">
        <v>612</v>
      </c>
      <c r="B54" s="12" t="s">
        <v>670</v>
      </c>
      <c r="C54" s="12" t="s">
        <v>670</v>
      </c>
      <c r="D54" s="12" t="s">
        <v>670</v>
      </c>
      <c r="E54" s="12" t="s">
        <v>670</v>
      </c>
      <c r="F54" s="12" t="s">
        <v>670</v>
      </c>
      <c r="G54" s="12" t="s">
        <v>670</v>
      </c>
      <c r="H54" s="12" t="s">
        <v>670</v>
      </c>
      <c r="I54" s="27" t="s">
        <v>670</v>
      </c>
    </row>
    <row r="55" spans="1:9" ht="12">
      <c r="A55" s="23" t="s">
        <v>613</v>
      </c>
      <c r="B55" s="19" t="s">
        <v>941</v>
      </c>
      <c r="C55" s="12" t="s">
        <v>670</v>
      </c>
      <c r="D55" s="12" t="s">
        <v>862</v>
      </c>
      <c r="E55" s="12" t="s">
        <v>670</v>
      </c>
      <c r="F55" s="12" t="s">
        <v>1814</v>
      </c>
      <c r="G55" s="12" t="s">
        <v>670</v>
      </c>
      <c r="H55" s="12" t="s">
        <v>670</v>
      </c>
      <c r="I55" s="27" t="s">
        <v>670</v>
      </c>
    </row>
    <row r="56" spans="1:9" ht="12">
      <c r="A56" s="23" t="s">
        <v>615</v>
      </c>
      <c r="B56" s="19" t="s">
        <v>941</v>
      </c>
      <c r="C56" s="12" t="s">
        <v>670</v>
      </c>
      <c r="D56" s="12" t="s">
        <v>863</v>
      </c>
      <c r="E56" s="12" t="s">
        <v>670</v>
      </c>
      <c r="F56" s="12" t="s">
        <v>670</v>
      </c>
      <c r="G56" s="12" t="s">
        <v>670</v>
      </c>
      <c r="H56" s="12" t="s">
        <v>670</v>
      </c>
      <c r="I56" s="27" t="s">
        <v>670</v>
      </c>
    </row>
    <row r="57" spans="1:9" ht="12">
      <c r="A57" s="23" t="s">
        <v>616</v>
      </c>
      <c r="B57" s="19" t="s">
        <v>941</v>
      </c>
      <c r="C57" s="12" t="s">
        <v>670</v>
      </c>
      <c r="D57" s="12" t="s">
        <v>864</v>
      </c>
      <c r="E57" s="12" t="s">
        <v>670</v>
      </c>
      <c r="F57" s="12" t="s">
        <v>902</v>
      </c>
      <c r="G57" s="12" t="s">
        <v>1815</v>
      </c>
      <c r="H57" s="12" t="s">
        <v>670</v>
      </c>
      <c r="I57" s="27" t="s">
        <v>670</v>
      </c>
    </row>
    <row r="58" spans="1:9" ht="12">
      <c r="A58" s="23" t="s">
        <v>168</v>
      </c>
      <c r="B58" s="19" t="s">
        <v>941</v>
      </c>
      <c r="C58" s="12" t="s">
        <v>670</v>
      </c>
      <c r="D58" s="12" t="s">
        <v>865</v>
      </c>
      <c r="E58" s="12" t="s">
        <v>670</v>
      </c>
      <c r="F58" s="12" t="s">
        <v>903</v>
      </c>
      <c r="G58" s="12" t="s">
        <v>670</v>
      </c>
      <c r="H58" s="12" t="s">
        <v>670</v>
      </c>
      <c r="I58" s="27" t="s">
        <v>670</v>
      </c>
    </row>
    <row r="59" spans="1:9" ht="12">
      <c r="A59" s="23" t="s">
        <v>115</v>
      </c>
      <c r="B59" s="19" t="s">
        <v>941</v>
      </c>
      <c r="C59" s="12" t="s">
        <v>670</v>
      </c>
      <c r="D59" s="12" t="s">
        <v>866</v>
      </c>
      <c r="E59" s="12" t="s">
        <v>670</v>
      </c>
      <c r="F59" s="12" t="s">
        <v>670</v>
      </c>
      <c r="G59" s="12" t="s">
        <v>670</v>
      </c>
      <c r="H59" s="12" t="s">
        <v>670</v>
      </c>
      <c r="I59" s="27" t="s">
        <v>670</v>
      </c>
    </row>
    <row r="60" spans="1:9" ht="12">
      <c r="A60" s="23" t="s">
        <v>49</v>
      </c>
      <c r="B60" s="19" t="s">
        <v>941</v>
      </c>
      <c r="C60" s="12" t="s">
        <v>670</v>
      </c>
      <c r="D60" s="12" t="s">
        <v>878</v>
      </c>
      <c r="E60" s="12" t="s">
        <v>670</v>
      </c>
      <c r="F60" s="12" t="s">
        <v>897</v>
      </c>
      <c r="G60" s="12" t="s">
        <v>670</v>
      </c>
      <c r="H60" s="12" t="s">
        <v>670</v>
      </c>
      <c r="I60" s="27" t="s">
        <v>670</v>
      </c>
    </row>
    <row r="61" spans="1:9" ht="12">
      <c r="A61" s="23" t="s">
        <v>620</v>
      </c>
      <c r="B61" s="19" t="s">
        <v>941</v>
      </c>
      <c r="C61" s="12" t="s">
        <v>670</v>
      </c>
      <c r="D61" s="12" t="s">
        <v>670</v>
      </c>
      <c r="E61" s="12" t="s">
        <v>670</v>
      </c>
      <c r="F61" s="12" t="s">
        <v>898</v>
      </c>
      <c r="G61" s="12" t="s">
        <v>670</v>
      </c>
      <c r="H61" s="12" t="s">
        <v>670</v>
      </c>
      <c r="I61" s="27" t="s">
        <v>670</v>
      </c>
    </row>
    <row r="62" spans="1:9" ht="12">
      <c r="A62" s="23" t="s">
        <v>99</v>
      </c>
      <c r="B62" s="19" t="s">
        <v>941</v>
      </c>
      <c r="C62" s="12" t="s">
        <v>670</v>
      </c>
      <c r="D62" s="12" t="s">
        <v>670</v>
      </c>
      <c r="E62" s="12" t="s">
        <v>670</v>
      </c>
      <c r="F62" s="12" t="s">
        <v>670</v>
      </c>
      <c r="G62" s="12" t="s">
        <v>670</v>
      </c>
      <c r="H62" s="12" t="s">
        <v>670</v>
      </c>
      <c r="I62" s="27" t="s">
        <v>670</v>
      </c>
    </row>
    <row r="63" spans="1:9" ht="12">
      <c r="A63" s="23" t="s">
        <v>119</v>
      </c>
      <c r="B63" s="19" t="s">
        <v>941</v>
      </c>
      <c r="C63" s="12" t="s">
        <v>670</v>
      </c>
      <c r="D63" s="12" t="s">
        <v>670</v>
      </c>
      <c r="E63" s="12" t="s">
        <v>670</v>
      </c>
      <c r="F63" s="12" t="s">
        <v>670</v>
      </c>
      <c r="G63" s="12" t="s">
        <v>670</v>
      </c>
      <c r="H63" s="12" t="s">
        <v>670</v>
      </c>
      <c r="I63" s="27" t="s">
        <v>670</v>
      </c>
    </row>
    <row r="64" spans="1:9" s="15" customFormat="1" ht="12">
      <c r="A64" s="23" t="s">
        <v>625</v>
      </c>
      <c r="B64" s="19" t="s">
        <v>941</v>
      </c>
      <c r="C64" s="12" t="s">
        <v>670</v>
      </c>
      <c r="D64" s="12" t="s">
        <v>670</v>
      </c>
      <c r="E64" s="12" t="s">
        <v>670</v>
      </c>
      <c r="F64" s="12" t="s">
        <v>670</v>
      </c>
      <c r="G64" s="12" t="s">
        <v>670</v>
      </c>
      <c r="H64" s="12" t="s">
        <v>670</v>
      </c>
      <c r="I64" s="27" t="s">
        <v>670</v>
      </c>
    </row>
    <row r="65" spans="1:9" s="15" customFormat="1" ht="12">
      <c r="A65" s="23" t="s">
        <v>626</v>
      </c>
      <c r="B65" s="19" t="s">
        <v>941</v>
      </c>
      <c r="C65" s="12" t="s">
        <v>670</v>
      </c>
      <c r="D65" s="12" t="s">
        <v>670</v>
      </c>
      <c r="E65" s="12" t="s">
        <v>670</v>
      </c>
      <c r="F65" s="12" t="s">
        <v>905</v>
      </c>
      <c r="G65" s="12" t="s">
        <v>670</v>
      </c>
      <c r="H65" s="12" t="s">
        <v>670</v>
      </c>
      <c r="I65" s="27" t="s">
        <v>670</v>
      </c>
    </row>
    <row r="66" spans="1:9" ht="12">
      <c r="A66" s="23" t="s">
        <v>121</v>
      </c>
      <c r="B66" s="19" t="s">
        <v>941</v>
      </c>
      <c r="C66" s="12" t="s">
        <v>670</v>
      </c>
      <c r="D66" s="12" t="s">
        <v>670</v>
      </c>
      <c r="E66" s="12" t="s">
        <v>670</v>
      </c>
      <c r="F66" s="12" t="s">
        <v>901</v>
      </c>
      <c r="G66" s="12" t="s">
        <v>670</v>
      </c>
      <c r="H66" s="12" t="s">
        <v>670</v>
      </c>
      <c r="I66" s="27" t="s">
        <v>670</v>
      </c>
    </row>
    <row r="67" spans="1:9" ht="12">
      <c r="A67" s="23" t="s">
        <v>629</v>
      </c>
      <c r="B67" s="19" t="s">
        <v>941</v>
      </c>
      <c r="C67" s="12" t="s">
        <v>670</v>
      </c>
      <c r="D67" s="12" t="s">
        <v>670</v>
      </c>
      <c r="E67" s="12" t="s">
        <v>670</v>
      </c>
      <c r="F67" s="12" t="s">
        <v>670</v>
      </c>
      <c r="G67" s="12" t="s">
        <v>670</v>
      </c>
      <c r="H67" s="12" t="s">
        <v>670</v>
      </c>
      <c r="I67" s="27" t="s">
        <v>670</v>
      </c>
    </row>
    <row r="68" spans="1:9" ht="12">
      <c r="A68" s="23" t="s">
        <v>50</v>
      </c>
      <c r="B68" s="19" t="s">
        <v>941</v>
      </c>
      <c r="C68" s="12" t="s">
        <v>670</v>
      </c>
      <c r="D68" s="12" t="s">
        <v>867</v>
      </c>
      <c r="E68" s="12" t="s">
        <v>670</v>
      </c>
      <c r="F68" s="12" t="s">
        <v>900</v>
      </c>
      <c r="G68" s="12" t="s">
        <v>670</v>
      </c>
      <c r="H68" s="12" t="s">
        <v>670</v>
      </c>
      <c r="I68" s="27" t="s">
        <v>670</v>
      </c>
    </row>
    <row r="69" spans="1:9" ht="12">
      <c r="A69" s="23" t="s">
        <v>124</v>
      </c>
      <c r="B69" s="19" t="s">
        <v>941</v>
      </c>
      <c r="C69" s="12" t="s">
        <v>670</v>
      </c>
      <c r="D69" s="12" t="s">
        <v>670</v>
      </c>
      <c r="E69" s="12" t="s">
        <v>670</v>
      </c>
      <c r="F69" s="12" t="s">
        <v>670</v>
      </c>
      <c r="G69" s="12" t="s">
        <v>670</v>
      </c>
      <c r="H69" s="12" t="s">
        <v>670</v>
      </c>
      <c r="I69" s="27" t="s">
        <v>670</v>
      </c>
    </row>
    <row r="70" spans="1:9" ht="12">
      <c r="A70" s="23" t="s">
        <v>51</v>
      </c>
      <c r="B70" s="19" t="s">
        <v>941</v>
      </c>
      <c r="C70" s="12" t="s">
        <v>670</v>
      </c>
      <c r="D70" s="12" t="s">
        <v>670</v>
      </c>
      <c r="E70" s="12" t="s">
        <v>670</v>
      </c>
      <c r="F70" s="12" t="s">
        <v>670</v>
      </c>
      <c r="G70" s="12" t="s">
        <v>670</v>
      </c>
      <c r="H70" s="12" t="s">
        <v>670</v>
      </c>
      <c r="I70" s="27" t="s">
        <v>670</v>
      </c>
    </row>
    <row r="71" spans="1:9" ht="12">
      <c r="A71" s="23" t="s">
        <v>636</v>
      </c>
      <c r="B71" s="19" t="s">
        <v>941</v>
      </c>
      <c r="C71" s="12" t="s">
        <v>670</v>
      </c>
      <c r="D71" s="12" t="s">
        <v>868</v>
      </c>
      <c r="E71" s="12" t="s">
        <v>670</v>
      </c>
      <c r="F71" s="12" t="s">
        <v>904</v>
      </c>
      <c r="G71" s="12" t="s">
        <v>670</v>
      </c>
      <c r="H71" s="12" t="s">
        <v>670</v>
      </c>
      <c r="I71" s="27" t="s">
        <v>670</v>
      </c>
    </row>
    <row r="72" spans="1:9" ht="12">
      <c r="A72" s="23" t="s">
        <v>48</v>
      </c>
      <c r="B72" s="19" t="s">
        <v>941</v>
      </c>
      <c r="C72" s="12" t="s">
        <v>670</v>
      </c>
      <c r="D72" s="12" t="s">
        <v>869</v>
      </c>
      <c r="E72" s="12" t="s">
        <v>670</v>
      </c>
      <c r="F72" s="12" t="s">
        <v>1811</v>
      </c>
      <c r="G72" s="12" t="s">
        <v>1812</v>
      </c>
      <c r="H72" s="12" t="s">
        <v>1813</v>
      </c>
      <c r="I72" s="27" t="s">
        <v>670</v>
      </c>
    </row>
    <row r="73" spans="1:9" ht="12">
      <c r="A73" s="23" t="s">
        <v>638</v>
      </c>
      <c r="B73" s="19" t="s">
        <v>941</v>
      </c>
      <c r="C73" s="12" t="s">
        <v>670</v>
      </c>
      <c r="D73" s="12" t="s">
        <v>870</v>
      </c>
      <c r="E73" s="12" t="s">
        <v>670</v>
      </c>
      <c r="F73" s="12" t="s">
        <v>670</v>
      </c>
      <c r="G73" s="12" t="s">
        <v>670</v>
      </c>
      <c r="H73" s="12" t="s">
        <v>670</v>
      </c>
      <c r="I73" s="27" t="s">
        <v>670</v>
      </c>
    </row>
    <row r="74" spans="1:9" ht="12">
      <c r="A74" s="23" t="s">
        <v>640</v>
      </c>
      <c r="B74" s="19" t="s">
        <v>941</v>
      </c>
      <c r="C74" s="12" t="s">
        <v>670</v>
      </c>
      <c r="D74" s="12" t="s">
        <v>670</v>
      </c>
      <c r="E74" s="12" t="s">
        <v>670</v>
      </c>
      <c r="F74" s="12" t="s">
        <v>899</v>
      </c>
      <c r="G74" s="12" t="s">
        <v>670</v>
      </c>
      <c r="H74" s="12" t="s">
        <v>670</v>
      </c>
      <c r="I74" s="27" t="s">
        <v>670</v>
      </c>
    </row>
    <row r="75" spans="1:9" ht="12">
      <c r="A75" s="23" t="s">
        <v>641</v>
      </c>
      <c r="B75" s="19" t="s">
        <v>941</v>
      </c>
      <c r="C75" s="12" t="s">
        <v>670</v>
      </c>
      <c r="D75" s="12" t="s">
        <v>670</v>
      </c>
      <c r="E75" s="12" t="s">
        <v>670</v>
      </c>
      <c r="F75" s="12" t="s">
        <v>670</v>
      </c>
      <c r="G75" s="12" t="s">
        <v>670</v>
      </c>
      <c r="H75" s="12" t="s">
        <v>670</v>
      </c>
      <c r="I75" s="27" t="s">
        <v>670</v>
      </c>
    </row>
    <row r="76" spans="1:9" ht="12">
      <c r="A76" s="23" t="s">
        <v>642</v>
      </c>
      <c r="B76" s="19" t="s">
        <v>941</v>
      </c>
      <c r="C76" s="12" t="s">
        <v>670</v>
      </c>
      <c r="D76" s="12" t="s">
        <v>871</v>
      </c>
      <c r="E76" s="12" t="s">
        <v>670</v>
      </c>
      <c r="F76" s="12" t="s">
        <v>670</v>
      </c>
      <c r="G76" s="12" t="s">
        <v>670</v>
      </c>
      <c r="H76" s="12" t="s">
        <v>670</v>
      </c>
      <c r="I76" s="27" t="s">
        <v>670</v>
      </c>
    </row>
    <row r="77" spans="1:9" ht="12">
      <c r="A77" s="23" t="s">
        <v>128</v>
      </c>
      <c r="B77" s="19" t="s">
        <v>941</v>
      </c>
      <c r="C77" s="12" t="s">
        <v>670</v>
      </c>
      <c r="D77" s="12" t="s">
        <v>872</v>
      </c>
      <c r="E77" s="12" t="s">
        <v>670</v>
      </c>
      <c r="F77" s="12" t="s">
        <v>670</v>
      </c>
      <c r="G77" s="12" t="s">
        <v>670</v>
      </c>
      <c r="H77" s="12" t="s">
        <v>670</v>
      </c>
      <c r="I77" s="27" t="s">
        <v>670</v>
      </c>
    </row>
    <row r="78" spans="1:9" ht="12">
      <c r="A78" s="23" t="s">
        <v>645</v>
      </c>
      <c r="B78" s="19" t="s">
        <v>941</v>
      </c>
      <c r="C78" s="12" t="s">
        <v>670</v>
      </c>
      <c r="D78" s="12" t="s">
        <v>873</v>
      </c>
      <c r="E78" s="12" t="s">
        <v>670</v>
      </c>
      <c r="F78" s="62" t="s">
        <v>670</v>
      </c>
      <c r="G78" s="12" t="s">
        <v>670</v>
      </c>
      <c r="H78" s="12" t="s">
        <v>670</v>
      </c>
      <c r="I78" s="27" t="s">
        <v>670</v>
      </c>
    </row>
    <row r="79" spans="1:9" ht="12">
      <c r="A79" s="23" t="s">
        <v>648</v>
      </c>
      <c r="B79" s="19" t="s">
        <v>941</v>
      </c>
      <c r="C79" s="12" t="s">
        <v>670</v>
      </c>
      <c r="D79" s="12" t="s">
        <v>670</v>
      </c>
      <c r="E79" s="12" t="s">
        <v>670</v>
      </c>
      <c r="F79" s="12" t="s">
        <v>670</v>
      </c>
      <c r="G79" s="12" t="s">
        <v>670</v>
      </c>
      <c r="H79" s="12" t="s">
        <v>670</v>
      </c>
      <c r="I79" s="27" t="s">
        <v>670</v>
      </c>
    </row>
    <row r="80" spans="1:9" ht="12">
      <c r="A80" s="23" t="s">
        <v>650</v>
      </c>
      <c r="B80" s="19" t="s">
        <v>941</v>
      </c>
      <c r="C80" s="12" t="s">
        <v>670</v>
      </c>
      <c r="D80" s="12" t="s">
        <v>874</v>
      </c>
      <c r="E80" s="12" t="s">
        <v>670</v>
      </c>
      <c r="F80" s="12" t="s">
        <v>906</v>
      </c>
      <c r="G80" s="12" t="s">
        <v>670</v>
      </c>
      <c r="H80" s="12" t="s">
        <v>670</v>
      </c>
      <c r="I80" s="27" t="s">
        <v>670</v>
      </c>
    </row>
    <row r="81" spans="1:9" ht="12">
      <c r="A81" s="23" t="s">
        <v>668</v>
      </c>
      <c r="B81" s="12" t="s">
        <v>277</v>
      </c>
      <c r="C81" s="12" t="s">
        <v>670</v>
      </c>
      <c r="D81" s="12" t="s">
        <v>670</v>
      </c>
      <c r="E81" s="12" t="s">
        <v>670</v>
      </c>
      <c r="F81" s="12" t="s">
        <v>286</v>
      </c>
      <c r="G81" s="12" t="s">
        <v>670</v>
      </c>
      <c r="H81" s="12" t="s">
        <v>670</v>
      </c>
      <c r="I81" s="27" t="s">
        <v>670</v>
      </c>
    </row>
    <row r="82" spans="1:9" ht="12">
      <c r="A82" s="23" t="s">
        <v>947</v>
      </c>
      <c r="B82" s="12" t="s">
        <v>909</v>
      </c>
      <c r="C82" s="12" t="s">
        <v>266</v>
      </c>
      <c r="D82" s="12" t="s">
        <v>266</v>
      </c>
      <c r="E82" s="12" t="s">
        <v>266</v>
      </c>
      <c r="F82" s="12" t="s">
        <v>266</v>
      </c>
      <c r="G82" s="12" t="s">
        <v>266</v>
      </c>
      <c r="H82" s="12" t="s">
        <v>266</v>
      </c>
      <c r="I82" s="27" t="s">
        <v>266</v>
      </c>
    </row>
    <row r="83" spans="1:9" s="16" customFormat="1" ht="12">
      <c r="A83" s="23" t="s">
        <v>652</v>
      </c>
      <c r="B83" s="12" t="s">
        <v>670</v>
      </c>
      <c r="C83" s="12" t="s">
        <v>670</v>
      </c>
      <c r="D83" s="12" t="s">
        <v>670</v>
      </c>
      <c r="E83" s="12" t="s">
        <v>670</v>
      </c>
      <c r="F83" s="12" t="s">
        <v>670</v>
      </c>
      <c r="G83" s="12" t="s">
        <v>670</v>
      </c>
      <c r="H83" s="12" t="s">
        <v>670</v>
      </c>
      <c r="I83" s="27" t="s">
        <v>670</v>
      </c>
    </row>
    <row r="84" spans="1:9" ht="12">
      <c r="A84" s="23" t="s">
        <v>654</v>
      </c>
      <c r="B84" s="12" t="s">
        <v>670</v>
      </c>
      <c r="C84" s="12" t="s">
        <v>670</v>
      </c>
      <c r="D84" s="12" t="s">
        <v>670</v>
      </c>
      <c r="E84" s="12" t="s">
        <v>670</v>
      </c>
      <c r="F84" s="12" t="s">
        <v>670</v>
      </c>
      <c r="G84" s="12" t="s">
        <v>670</v>
      </c>
      <c r="H84" s="12" t="s">
        <v>670</v>
      </c>
      <c r="I84" s="27" t="s">
        <v>670</v>
      </c>
    </row>
    <row r="85" spans="1:9" ht="12">
      <c r="A85" s="23" t="s">
        <v>656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27" t="s">
        <v>670</v>
      </c>
    </row>
    <row r="86" spans="1:9" ht="12">
      <c r="A86" s="23" t="s">
        <v>949</v>
      </c>
      <c r="B86" s="12" t="s">
        <v>909</v>
      </c>
      <c r="C86" s="12" t="s">
        <v>266</v>
      </c>
      <c r="D86" s="12" t="s">
        <v>266</v>
      </c>
      <c r="E86" s="12" t="s">
        <v>266</v>
      </c>
      <c r="F86" s="12" t="s">
        <v>266</v>
      </c>
      <c r="G86" s="12" t="s">
        <v>266</v>
      </c>
      <c r="H86" s="12" t="s">
        <v>266</v>
      </c>
      <c r="I86" s="27" t="s">
        <v>266</v>
      </c>
    </row>
    <row r="87" spans="1:9" ht="12">
      <c r="A87" s="23" t="s">
        <v>951</v>
      </c>
      <c r="B87" s="12" t="s">
        <v>909</v>
      </c>
      <c r="C87" s="12" t="s">
        <v>266</v>
      </c>
      <c r="D87" s="12" t="s">
        <v>266</v>
      </c>
      <c r="E87" s="12" t="s">
        <v>266</v>
      </c>
      <c r="F87" s="12" t="s">
        <v>266</v>
      </c>
      <c r="G87" s="12" t="s">
        <v>266</v>
      </c>
      <c r="H87" s="12" t="s">
        <v>266</v>
      </c>
      <c r="I87" s="27" t="s">
        <v>266</v>
      </c>
    </row>
    <row r="88" spans="1:9" ht="12">
      <c r="A88" s="23" t="s">
        <v>952</v>
      </c>
      <c r="B88" s="12" t="s">
        <v>909</v>
      </c>
      <c r="C88" s="12" t="s">
        <v>266</v>
      </c>
      <c r="D88" s="12" t="s">
        <v>266</v>
      </c>
      <c r="E88" s="12" t="s">
        <v>266</v>
      </c>
      <c r="F88" s="12" t="s">
        <v>266</v>
      </c>
      <c r="G88" s="12" t="s">
        <v>266</v>
      </c>
      <c r="H88" s="12" t="s">
        <v>266</v>
      </c>
      <c r="I88" s="27" t="s">
        <v>266</v>
      </c>
    </row>
    <row r="89" spans="1:9" ht="12">
      <c r="A89" s="23" t="s">
        <v>658</v>
      </c>
      <c r="B89" s="12" t="s">
        <v>670</v>
      </c>
      <c r="C89" s="12" t="s">
        <v>670</v>
      </c>
      <c r="D89" s="12" t="s">
        <v>670</v>
      </c>
      <c r="E89" s="12" t="s">
        <v>670</v>
      </c>
      <c r="F89" s="12" t="s">
        <v>670</v>
      </c>
      <c r="G89" s="12" t="s">
        <v>670</v>
      </c>
      <c r="H89" s="12" t="s">
        <v>670</v>
      </c>
      <c r="I89" s="27" t="s">
        <v>670</v>
      </c>
    </row>
    <row r="90" spans="1:9" s="15" customFormat="1" ht="12">
      <c r="A90" s="24" t="s">
        <v>660</v>
      </c>
      <c r="B90" s="18" t="s">
        <v>670</v>
      </c>
      <c r="C90" s="18" t="s">
        <v>670</v>
      </c>
      <c r="D90" s="18" t="s">
        <v>670</v>
      </c>
      <c r="E90" s="18" t="s">
        <v>670</v>
      </c>
      <c r="F90" s="18" t="s">
        <v>670</v>
      </c>
      <c r="G90" s="18" t="s">
        <v>670</v>
      </c>
      <c r="H90" s="18" t="s">
        <v>670</v>
      </c>
      <c r="I90" s="28" t="s">
        <v>670</v>
      </c>
    </row>
    <row r="91" spans="1:9" s="15" customFormat="1">
      <c r="A91" s="11"/>
      <c r="B91" s="11"/>
      <c r="C91" s="11"/>
      <c r="D91" s="11"/>
      <c r="E91" s="11"/>
      <c r="F91" s="11"/>
      <c r="G91" s="11"/>
      <c r="H91" s="11"/>
      <c r="I91" s="11"/>
    </row>
    <row r="92" spans="1:9" s="15" customFormat="1">
      <c r="A92" s="11"/>
      <c r="B92" s="11"/>
      <c r="C92" s="11"/>
      <c r="D92" s="11"/>
      <c r="E92" s="11"/>
      <c r="F92" s="11"/>
      <c r="G92" s="11"/>
      <c r="H92" s="11"/>
      <c r="I92" s="11"/>
    </row>
    <row r="93" spans="1:9">
      <c r="A93" s="16"/>
      <c r="B93" s="16"/>
      <c r="C93" s="16"/>
      <c r="D93" s="16"/>
      <c r="E93" s="16"/>
      <c r="F93" s="16"/>
      <c r="G93" s="16"/>
      <c r="H93" s="16"/>
      <c r="I93" s="16"/>
    </row>
    <row r="100" spans="2:9">
      <c r="B100" s="15"/>
      <c r="C100" s="15"/>
      <c r="D100" s="15"/>
      <c r="E100" s="15"/>
      <c r="F100" s="15"/>
      <c r="G100" s="15"/>
      <c r="H100" s="15"/>
      <c r="I100" s="15"/>
    </row>
    <row r="101" spans="2:9">
      <c r="B101" s="15"/>
      <c r="C101" s="15"/>
      <c r="D101" s="15"/>
      <c r="E101" s="15"/>
      <c r="F101" s="15"/>
      <c r="G101" s="15"/>
      <c r="H101" s="15"/>
      <c r="I101" s="15"/>
    </row>
    <row r="102" spans="2:9">
      <c r="B102" s="15"/>
      <c r="C102" s="15"/>
      <c r="D102" s="15"/>
      <c r="E102" s="15"/>
      <c r="F102" s="15"/>
      <c r="G102" s="15"/>
      <c r="H102" s="15"/>
      <c r="I102" s="15"/>
    </row>
  </sheetData>
  <autoFilter ref="A1:I90" xr:uid="{9DD6DEC0-C364-41B4-AE33-85D9E44EDDF2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66B5-FAD1-4A47-9B25-C2EE02C22E50}">
  <sheetPr codeName="Sheet18">
    <tabColor theme="8" tint="0.79998168889431442"/>
  </sheetPr>
  <dimension ref="A1:J99"/>
  <sheetViews>
    <sheetView workbookViewId="0">
      <pane xSplit="1" ySplit="1" topLeftCell="C34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10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10" s="14" customFormat="1" ht="12">
      <c r="A2" s="31" t="s">
        <v>215</v>
      </c>
      <c r="B2" s="12" t="s">
        <v>1102</v>
      </c>
      <c r="C2" s="12" t="s">
        <v>1118</v>
      </c>
      <c r="D2" s="12" t="s">
        <v>1116</v>
      </c>
      <c r="E2" s="12" t="s">
        <v>266</v>
      </c>
      <c r="F2" s="12" t="s">
        <v>549</v>
      </c>
      <c r="G2" s="12" t="s">
        <v>266</v>
      </c>
      <c r="H2" s="12" t="s">
        <v>266</v>
      </c>
      <c r="I2" s="13" t="s">
        <v>266</v>
      </c>
      <c r="J2" s="15" t="s">
        <v>1326</v>
      </c>
    </row>
    <row r="3" spans="1:10" s="14" customFormat="1" ht="12">
      <c r="A3" s="31" t="s">
        <v>154</v>
      </c>
      <c r="B3" s="12" t="s">
        <v>550</v>
      </c>
      <c r="C3" s="12" t="s">
        <v>548</v>
      </c>
      <c r="D3" s="12" t="s">
        <v>1117</v>
      </c>
      <c r="E3" s="12" t="s">
        <v>266</v>
      </c>
      <c r="F3" s="12" t="s">
        <v>266</v>
      </c>
      <c r="G3" s="12" t="s">
        <v>266</v>
      </c>
      <c r="H3" s="12" t="s">
        <v>266</v>
      </c>
      <c r="I3" s="13" t="s">
        <v>266</v>
      </c>
    </row>
    <row r="4" spans="1:10" s="14" customFormat="1" ht="12">
      <c r="A4" s="31" t="s">
        <v>156</v>
      </c>
      <c r="B4" s="12" t="s">
        <v>551</v>
      </c>
      <c r="C4" s="12" t="s">
        <v>552</v>
      </c>
      <c r="D4" s="12" t="s">
        <v>1119</v>
      </c>
      <c r="E4" s="12" t="s">
        <v>266</v>
      </c>
      <c r="F4" s="12" t="s">
        <v>266</v>
      </c>
      <c r="G4" s="12" t="s">
        <v>266</v>
      </c>
      <c r="H4" s="12" t="s">
        <v>266</v>
      </c>
      <c r="I4" s="13" t="s">
        <v>266</v>
      </c>
    </row>
    <row r="5" spans="1:10" s="14" customFormat="1" ht="12">
      <c r="A5" s="31" t="s">
        <v>150</v>
      </c>
      <c r="B5" s="12" t="s">
        <v>1100</v>
      </c>
      <c r="C5" s="12" t="s">
        <v>553</v>
      </c>
      <c r="D5" s="12" t="s">
        <v>1120</v>
      </c>
      <c r="E5" s="12" t="s">
        <v>266</v>
      </c>
      <c r="F5" s="12" t="s">
        <v>266</v>
      </c>
      <c r="G5" s="12" t="s">
        <v>266</v>
      </c>
      <c r="H5" s="12" t="s">
        <v>266</v>
      </c>
      <c r="I5" s="13" t="s">
        <v>266</v>
      </c>
    </row>
    <row r="6" spans="1:10" s="14" customFormat="1" ht="12">
      <c r="A6" s="31" t="s">
        <v>159</v>
      </c>
      <c r="B6" s="12" t="s">
        <v>1103</v>
      </c>
      <c r="C6" s="12" t="s">
        <v>266</v>
      </c>
      <c r="D6" s="12" t="s">
        <v>1121</v>
      </c>
      <c r="E6" s="12" t="s">
        <v>266</v>
      </c>
      <c r="F6" s="12" t="s">
        <v>266</v>
      </c>
      <c r="G6" s="12" t="s">
        <v>266</v>
      </c>
      <c r="H6" s="12" t="s">
        <v>266</v>
      </c>
      <c r="I6" s="13" t="s">
        <v>266</v>
      </c>
    </row>
    <row r="7" spans="1:10" s="14" customFormat="1" ht="12">
      <c r="A7" s="31" t="s">
        <v>53</v>
      </c>
      <c r="B7" s="12" t="s">
        <v>1101</v>
      </c>
      <c r="C7" s="12" t="s">
        <v>266</v>
      </c>
      <c r="D7" s="12" t="s">
        <v>266</v>
      </c>
      <c r="E7" s="12" t="s">
        <v>266</v>
      </c>
      <c r="F7" s="12" t="s">
        <v>554</v>
      </c>
      <c r="G7" s="12" t="s">
        <v>266</v>
      </c>
      <c r="H7" s="12" t="s">
        <v>266</v>
      </c>
      <c r="I7" s="13" t="s">
        <v>266</v>
      </c>
    </row>
    <row r="8" spans="1:10" s="14" customFormat="1" ht="12">
      <c r="A8" s="31" t="s">
        <v>224</v>
      </c>
      <c r="B8" s="12" t="s">
        <v>556</v>
      </c>
      <c r="C8" s="12" t="s">
        <v>555</v>
      </c>
      <c r="D8" s="12" t="s">
        <v>266</v>
      </c>
      <c r="E8" s="12" t="s">
        <v>266</v>
      </c>
      <c r="F8" s="12" t="s">
        <v>266</v>
      </c>
      <c r="G8" s="12" t="s">
        <v>266</v>
      </c>
      <c r="H8" s="12" t="s">
        <v>266</v>
      </c>
      <c r="I8" s="13" t="s">
        <v>266</v>
      </c>
    </row>
    <row r="9" spans="1:10" s="14" customFormat="1" ht="12">
      <c r="A9" s="31" t="s">
        <v>238</v>
      </c>
      <c r="B9" s="12" t="s">
        <v>558</v>
      </c>
      <c r="C9" s="12" t="s">
        <v>266</v>
      </c>
      <c r="D9" s="12" t="s">
        <v>266</v>
      </c>
      <c r="E9" s="12" t="s">
        <v>557</v>
      </c>
      <c r="F9" s="12" t="s">
        <v>266</v>
      </c>
      <c r="G9" s="12" t="s">
        <v>266</v>
      </c>
      <c r="H9" s="12" t="s">
        <v>266</v>
      </c>
      <c r="I9" s="13" t="s">
        <v>266</v>
      </c>
    </row>
    <row r="10" spans="1:10" s="14" customFormat="1" ht="12">
      <c r="A10" s="31" t="s">
        <v>235</v>
      </c>
      <c r="B10" s="12" t="s">
        <v>670</v>
      </c>
      <c r="C10" s="12" t="s">
        <v>266</v>
      </c>
      <c r="D10" s="12" t="s">
        <v>266</v>
      </c>
      <c r="E10" s="12" t="s">
        <v>266</v>
      </c>
      <c r="F10" s="12" t="s">
        <v>266</v>
      </c>
      <c r="G10" s="12" t="s">
        <v>266</v>
      </c>
      <c r="H10" s="12" t="s">
        <v>266</v>
      </c>
      <c r="I10" s="13" t="s">
        <v>266</v>
      </c>
    </row>
    <row r="11" spans="1:10" s="14" customFormat="1" ht="12">
      <c r="A11" s="31" t="s">
        <v>141</v>
      </c>
      <c r="B11" s="12" t="s">
        <v>559</v>
      </c>
      <c r="C11" s="12" t="s">
        <v>266</v>
      </c>
      <c r="D11" s="12" t="s">
        <v>663</v>
      </c>
      <c r="E11" s="12" t="s">
        <v>266</v>
      </c>
      <c r="F11" s="12" t="s">
        <v>266</v>
      </c>
      <c r="G11" s="12" t="s">
        <v>266</v>
      </c>
      <c r="H11" s="12" t="s">
        <v>266</v>
      </c>
      <c r="I11" s="13" t="s">
        <v>266</v>
      </c>
    </row>
    <row r="12" spans="1:10" s="14" customFormat="1" ht="12">
      <c r="A12" s="31" t="s">
        <v>221</v>
      </c>
      <c r="B12" s="12" t="s">
        <v>560</v>
      </c>
      <c r="C12" s="12" t="s">
        <v>266</v>
      </c>
      <c r="D12" s="12" t="s">
        <v>664</v>
      </c>
      <c r="E12" s="12" t="s">
        <v>266</v>
      </c>
      <c r="F12" s="12" t="s">
        <v>266</v>
      </c>
      <c r="G12" s="12" t="s">
        <v>266</v>
      </c>
      <c r="H12" s="12" t="s">
        <v>266</v>
      </c>
      <c r="I12" s="13" t="s">
        <v>266</v>
      </c>
    </row>
    <row r="13" spans="1:10" s="14" customFormat="1" ht="12">
      <c r="A13" s="31" t="s">
        <v>225</v>
      </c>
      <c r="B13" s="12" t="s">
        <v>561</v>
      </c>
      <c r="C13" s="12" t="s">
        <v>266</v>
      </c>
      <c r="D13" s="12" t="s">
        <v>562</v>
      </c>
      <c r="E13" s="12" t="s">
        <v>266</v>
      </c>
      <c r="F13" s="12" t="s">
        <v>266</v>
      </c>
      <c r="G13" s="12" t="s">
        <v>266</v>
      </c>
      <c r="H13" s="12" t="s">
        <v>266</v>
      </c>
      <c r="I13" s="13" t="s">
        <v>266</v>
      </c>
    </row>
    <row r="14" spans="1:10" ht="12">
      <c r="A14" s="32">
        <v>1</v>
      </c>
      <c r="B14" s="13" t="s">
        <v>563</v>
      </c>
      <c r="C14" s="13" t="s">
        <v>563</v>
      </c>
      <c r="D14" s="12" t="s">
        <v>1106</v>
      </c>
      <c r="E14" s="12" t="s">
        <v>564</v>
      </c>
      <c r="F14" s="12" t="s">
        <v>266</v>
      </c>
      <c r="G14" s="12" t="s">
        <v>266</v>
      </c>
      <c r="H14" s="12" t="s">
        <v>266</v>
      </c>
      <c r="I14" s="13" t="s">
        <v>266</v>
      </c>
    </row>
    <row r="15" spans="1:10" ht="12">
      <c r="A15" s="32">
        <v>2</v>
      </c>
      <c r="B15" s="13" t="s">
        <v>563</v>
      </c>
      <c r="C15" s="13" t="s">
        <v>563</v>
      </c>
      <c r="D15" s="12" t="s">
        <v>1107</v>
      </c>
      <c r="E15" s="12" t="s">
        <v>565</v>
      </c>
      <c r="F15" s="12" t="s">
        <v>266</v>
      </c>
      <c r="G15" s="12" t="s">
        <v>266</v>
      </c>
      <c r="H15" s="12" t="s">
        <v>266</v>
      </c>
      <c r="I15" s="13" t="s">
        <v>266</v>
      </c>
    </row>
    <row r="16" spans="1:10" ht="12">
      <c r="A16" s="32">
        <v>3</v>
      </c>
      <c r="B16" s="13" t="s">
        <v>563</v>
      </c>
      <c r="C16" s="13" t="s">
        <v>563</v>
      </c>
      <c r="D16" s="12" t="s">
        <v>1108</v>
      </c>
      <c r="E16" s="12" t="s">
        <v>566</v>
      </c>
      <c r="F16" s="12" t="s">
        <v>266</v>
      </c>
      <c r="G16" s="12" t="s">
        <v>266</v>
      </c>
      <c r="H16" s="12" t="s">
        <v>266</v>
      </c>
      <c r="I16" s="13" t="s">
        <v>266</v>
      </c>
    </row>
    <row r="17" spans="1:9" ht="12">
      <c r="A17" s="32">
        <v>4</v>
      </c>
      <c r="B17" s="13" t="s">
        <v>563</v>
      </c>
      <c r="C17" s="13" t="s">
        <v>563</v>
      </c>
      <c r="D17" s="12" t="s">
        <v>1109</v>
      </c>
      <c r="E17" s="12" t="s">
        <v>567</v>
      </c>
      <c r="F17" s="12" t="s">
        <v>266</v>
      </c>
      <c r="G17" s="12" t="s">
        <v>266</v>
      </c>
      <c r="H17" s="12" t="s">
        <v>266</v>
      </c>
      <c r="I17" s="13" t="s">
        <v>266</v>
      </c>
    </row>
    <row r="18" spans="1:9" ht="12">
      <c r="A18" s="32">
        <v>5</v>
      </c>
      <c r="B18" s="13" t="s">
        <v>563</v>
      </c>
      <c r="C18" s="13" t="s">
        <v>563</v>
      </c>
      <c r="D18" s="12" t="s">
        <v>1110</v>
      </c>
      <c r="E18" s="12" t="s">
        <v>568</v>
      </c>
      <c r="F18" s="12" t="s">
        <v>266</v>
      </c>
      <c r="G18" s="12" t="s">
        <v>266</v>
      </c>
      <c r="H18" s="12" t="s">
        <v>266</v>
      </c>
      <c r="I18" s="13" t="s">
        <v>266</v>
      </c>
    </row>
    <row r="19" spans="1:9" ht="12">
      <c r="A19" s="32">
        <v>6</v>
      </c>
      <c r="B19" s="13" t="s">
        <v>563</v>
      </c>
      <c r="C19" s="13" t="s">
        <v>563</v>
      </c>
      <c r="D19" s="12" t="s">
        <v>1111</v>
      </c>
      <c r="E19" s="12" t="s">
        <v>569</v>
      </c>
      <c r="F19" s="12" t="s">
        <v>266</v>
      </c>
      <c r="G19" s="12" t="s">
        <v>266</v>
      </c>
      <c r="H19" s="12" t="s">
        <v>266</v>
      </c>
      <c r="I19" s="13" t="s">
        <v>266</v>
      </c>
    </row>
    <row r="20" spans="1:9" ht="12">
      <c r="A20" s="32">
        <v>7</v>
      </c>
      <c r="B20" s="13" t="s">
        <v>563</v>
      </c>
      <c r="C20" s="13" t="s">
        <v>563</v>
      </c>
      <c r="D20" s="12" t="s">
        <v>1112</v>
      </c>
      <c r="E20" s="12" t="s">
        <v>570</v>
      </c>
      <c r="F20" s="12" t="s">
        <v>266</v>
      </c>
      <c r="G20" s="12" t="s">
        <v>266</v>
      </c>
      <c r="H20" s="12" t="s">
        <v>266</v>
      </c>
      <c r="I20" s="13" t="s">
        <v>266</v>
      </c>
    </row>
    <row r="21" spans="1:9" ht="12">
      <c r="A21" s="32">
        <v>8</v>
      </c>
      <c r="B21" s="13" t="s">
        <v>563</v>
      </c>
      <c r="C21" s="13" t="s">
        <v>563</v>
      </c>
      <c r="D21" s="12" t="s">
        <v>1113</v>
      </c>
      <c r="E21" s="12" t="s">
        <v>571</v>
      </c>
      <c r="F21" s="12" t="s">
        <v>266</v>
      </c>
      <c r="G21" s="12" t="s">
        <v>266</v>
      </c>
      <c r="H21" s="12" t="s">
        <v>266</v>
      </c>
      <c r="I21" s="13" t="s">
        <v>266</v>
      </c>
    </row>
    <row r="22" spans="1:9" ht="12">
      <c r="A22" s="32">
        <v>9</v>
      </c>
      <c r="B22" s="13" t="s">
        <v>563</v>
      </c>
      <c r="C22" s="13" t="s">
        <v>563</v>
      </c>
      <c r="D22" s="12" t="s">
        <v>1114</v>
      </c>
      <c r="E22" s="12" t="s">
        <v>572</v>
      </c>
      <c r="F22" s="12" t="s">
        <v>266</v>
      </c>
      <c r="G22" s="12" t="s">
        <v>266</v>
      </c>
      <c r="H22" s="12" t="s">
        <v>266</v>
      </c>
      <c r="I22" s="13" t="s">
        <v>266</v>
      </c>
    </row>
    <row r="23" spans="1:9" ht="12">
      <c r="A23" s="32">
        <v>0</v>
      </c>
      <c r="B23" s="13" t="s">
        <v>563</v>
      </c>
      <c r="C23" s="13" t="s">
        <v>563</v>
      </c>
      <c r="D23" s="12" t="s">
        <v>1115</v>
      </c>
      <c r="E23" s="12" t="s">
        <v>548</v>
      </c>
      <c r="F23" s="12" t="s">
        <v>266</v>
      </c>
      <c r="G23" s="12" t="s">
        <v>266</v>
      </c>
      <c r="H23" s="12" t="s">
        <v>266</v>
      </c>
      <c r="I23" s="13" t="s">
        <v>266</v>
      </c>
    </row>
    <row r="24" spans="1:9" s="14" customFormat="1" ht="12">
      <c r="A24" s="31" t="s">
        <v>573</v>
      </c>
      <c r="B24" s="13" t="s">
        <v>574</v>
      </c>
      <c r="C24" s="12" t="s">
        <v>576</v>
      </c>
      <c r="D24" s="12" t="s">
        <v>575</v>
      </c>
      <c r="E24" s="12" t="s">
        <v>577</v>
      </c>
      <c r="F24" s="12" t="s">
        <v>578</v>
      </c>
      <c r="G24" s="12" t="s">
        <v>1099</v>
      </c>
      <c r="H24" s="12" t="s">
        <v>579</v>
      </c>
      <c r="I24" s="13" t="s">
        <v>266</v>
      </c>
    </row>
    <row r="25" spans="1:9" s="14" customFormat="1" ht="12">
      <c r="A25" s="31" t="s">
        <v>580</v>
      </c>
      <c r="B25" s="13" t="s">
        <v>574</v>
      </c>
      <c r="C25" s="12" t="s">
        <v>582</v>
      </c>
      <c r="D25" s="12" t="s">
        <v>581</v>
      </c>
      <c r="E25" s="12" t="s">
        <v>583</v>
      </c>
      <c r="F25" s="12" t="s">
        <v>584</v>
      </c>
      <c r="G25" s="12" t="s">
        <v>585</v>
      </c>
      <c r="H25" s="12" t="s">
        <v>586</v>
      </c>
      <c r="I25" s="13" t="s">
        <v>266</v>
      </c>
    </row>
    <row r="26" spans="1:9" ht="12">
      <c r="A26" s="33" t="s">
        <v>587</v>
      </c>
      <c r="B26" s="13" t="s">
        <v>563</v>
      </c>
      <c r="C26" s="12" t="s">
        <v>266</v>
      </c>
      <c r="D26" s="13" t="s">
        <v>588</v>
      </c>
      <c r="E26" s="13" t="s">
        <v>665</v>
      </c>
      <c r="F26" s="13" t="s">
        <v>588</v>
      </c>
      <c r="G26" s="13" t="s">
        <v>665</v>
      </c>
      <c r="H26" s="12" t="s">
        <v>266</v>
      </c>
      <c r="I26" s="13" t="s">
        <v>266</v>
      </c>
    </row>
    <row r="27" spans="1:9" ht="12">
      <c r="A27" s="33" t="s">
        <v>589</v>
      </c>
      <c r="B27" s="12" t="s">
        <v>266</v>
      </c>
      <c r="C27" s="12" t="s">
        <v>591</v>
      </c>
      <c r="D27" s="12" t="s">
        <v>590</v>
      </c>
      <c r="E27" s="12" t="s">
        <v>266</v>
      </c>
      <c r="F27" s="12" t="s">
        <v>266</v>
      </c>
      <c r="G27" s="12" t="s">
        <v>266</v>
      </c>
      <c r="H27" s="12" t="s">
        <v>266</v>
      </c>
      <c r="I27" s="13" t="s">
        <v>266</v>
      </c>
    </row>
    <row r="28" spans="1:9" ht="12">
      <c r="A28" s="33" t="s">
        <v>592</v>
      </c>
      <c r="B28" s="13" t="s">
        <v>593</v>
      </c>
      <c r="C28" s="12" t="s">
        <v>595</v>
      </c>
      <c r="D28" s="12" t="s">
        <v>594</v>
      </c>
      <c r="E28" s="12" t="s">
        <v>266</v>
      </c>
      <c r="F28" s="12" t="s">
        <v>595</v>
      </c>
      <c r="G28" s="12" t="s">
        <v>266</v>
      </c>
      <c r="H28" s="12" t="s">
        <v>266</v>
      </c>
      <c r="I28" s="13" t="s">
        <v>266</v>
      </c>
    </row>
    <row r="29" spans="1:9" ht="12">
      <c r="A29" s="33" t="s">
        <v>596</v>
      </c>
      <c r="B29" s="13" t="s">
        <v>593</v>
      </c>
      <c r="C29" s="12" t="s">
        <v>266</v>
      </c>
      <c r="D29" s="12" t="s">
        <v>266</v>
      </c>
      <c r="E29" s="12" t="s">
        <v>597</v>
      </c>
      <c r="F29" s="12" t="s">
        <v>266</v>
      </c>
      <c r="G29" s="12" t="s">
        <v>598</v>
      </c>
      <c r="H29" s="12" t="s">
        <v>266</v>
      </c>
      <c r="I29" s="13" t="s">
        <v>266</v>
      </c>
    </row>
    <row r="30" spans="1:9" ht="12">
      <c r="A30" s="33" t="s">
        <v>669</v>
      </c>
      <c r="B30" s="12" t="s">
        <v>266</v>
      </c>
      <c r="C30" s="12" t="s">
        <v>266</v>
      </c>
      <c r="D30" s="12" t="s">
        <v>266</v>
      </c>
      <c r="E30" s="12" t="s">
        <v>266</v>
      </c>
      <c r="F30" s="12" t="s">
        <v>266</v>
      </c>
      <c r="G30" s="12" t="s">
        <v>266</v>
      </c>
      <c r="H30" s="12" t="s">
        <v>266</v>
      </c>
      <c r="I30" s="13" t="s">
        <v>266</v>
      </c>
    </row>
    <row r="31" spans="1:9" ht="12">
      <c r="A31" s="33" t="s">
        <v>599</v>
      </c>
      <c r="B31" s="13" t="s">
        <v>574</v>
      </c>
      <c r="C31" s="12" t="s">
        <v>266</v>
      </c>
      <c r="D31" s="12" t="s">
        <v>266</v>
      </c>
      <c r="E31" s="12" t="s">
        <v>266</v>
      </c>
      <c r="F31" s="12" t="s">
        <v>266</v>
      </c>
      <c r="G31" s="12" t="s">
        <v>266</v>
      </c>
      <c r="H31" s="12" t="s">
        <v>266</v>
      </c>
      <c r="I31" s="13" t="s">
        <v>266</v>
      </c>
    </row>
    <row r="32" spans="1:9" ht="12">
      <c r="A32" s="33" t="s">
        <v>600</v>
      </c>
      <c r="B32" s="13" t="s">
        <v>574</v>
      </c>
      <c r="C32" s="12" t="s">
        <v>266</v>
      </c>
      <c r="D32" s="12" t="s">
        <v>266</v>
      </c>
      <c r="E32" s="12" t="s">
        <v>266</v>
      </c>
      <c r="F32" s="12" t="s">
        <v>266</v>
      </c>
      <c r="G32" s="12" t="s">
        <v>266</v>
      </c>
      <c r="H32" s="12" t="s">
        <v>266</v>
      </c>
      <c r="I32" s="13" t="s">
        <v>266</v>
      </c>
    </row>
    <row r="33" spans="1:9" ht="12">
      <c r="A33" s="33" t="s">
        <v>601</v>
      </c>
      <c r="B33" s="13" t="s">
        <v>602</v>
      </c>
      <c r="C33" s="12" t="s">
        <v>591</v>
      </c>
      <c r="D33" s="12" t="s">
        <v>266</v>
      </c>
      <c r="E33" s="12" t="s">
        <v>1090</v>
      </c>
      <c r="F33" s="12" t="s">
        <v>591</v>
      </c>
      <c r="G33" s="12" t="s">
        <v>266</v>
      </c>
      <c r="H33" s="12" t="s">
        <v>266</v>
      </c>
      <c r="I33" s="13" t="s">
        <v>266</v>
      </c>
    </row>
    <row r="34" spans="1:9" ht="12">
      <c r="A34" s="34" t="s">
        <v>915</v>
      </c>
      <c r="B34" s="13" t="s">
        <v>563</v>
      </c>
      <c r="C34" s="13" t="s">
        <v>563</v>
      </c>
      <c r="D34" s="12" t="s">
        <v>266</v>
      </c>
      <c r="E34" s="12" t="s">
        <v>266</v>
      </c>
      <c r="F34" s="12" t="s">
        <v>266</v>
      </c>
      <c r="G34" s="12" t="s">
        <v>266</v>
      </c>
      <c r="H34" s="12" t="s">
        <v>266</v>
      </c>
      <c r="I34" s="13" t="s">
        <v>266</v>
      </c>
    </row>
    <row r="35" spans="1:9" ht="12">
      <c r="A35" s="33" t="s">
        <v>917</v>
      </c>
      <c r="B35" s="13" t="s">
        <v>563</v>
      </c>
      <c r="C35" s="13" t="s">
        <v>563</v>
      </c>
      <c r="D35" s="12" t="s">
        <v>266</v>
      </c>
      <c r="E35" s="12" t="s">
        <v>266</v>
      </c>
      <c r="F35" s="12" t="s">
        <v>266</v>
      </c>
      <c r="G35" s="12" t="s">
        <v>266</v>
      </c>
      <c r="H35" s="12" t="s">
        <v>266</v>
      </c>
      <c r="I35" s="13" t="s">
        <v>266</v>
      </c>
    </row>
    <row r="36" spans="1:9" ht="12">
      <c r="A36" s="33" t="s">
        <v>919</v>
      </c>
      <c r="B36" s="13" t="s">
        <v>563</v>
      </c>
      <c r="C36" s="13" t="s">
        <v>563</v>
      </c>
      <c r="D36" s="12" t="s">
        <v>266</v>
      </c>
      <c r="E36" s="12" t="s">
        <v>266</v>
      </c>
      <c r="F36" s="12" t="s">
        <v>266</v>
      </c>
      <c r="G36" s="12" t="s">
        <v>266</v>
      </c>
      <c r="H36" s="12" t="s">
        <v>266</v>
      </c>
      <c r="I36" s="13" t="s">
        <v>266</v>
      </c>
    </row>
    <row r="37" spans="1:9" ht="12">
      <c r="A37" s="34" t="s">
        <v>921</v>
      </c>
      <c r="B37" s="13" t="s">
        <v>563</v>
      </c>
      <c r="C37" s="13" t="s">
        <v>563</v>
      </c>
      <c r="D37" s="12" t="s">
        <v>266</v>
      </c>
      <c r="E37" s="12" t="s">
        <v>266</v>
      </c>
      <c r="F37" s="12" t="s">
        <v>266</v>
      </c>
      <c r="G37" s="12" t="s">
        <v>266</v>
      </c>
      <c r="H37" s="12" t="s">
        <v>266</v>
      </c>
      <c r="I37" s="13" t="s">
        <v>266</v>
      </c>
    </row>
    <row r="38" spans="1:9" ht="12">
      <c r="A38" s="33" t="s">
        <v>938</v>
      </c>
      <c r="B38" s="13" t="s">
        <v>563</v>
      </c>
      <c r="C38" s="13" t="s">
        <v>563</v>
      </c>
      <c r="D38" s="12" t="s">
        <v>605</v>
      </c>
      <c r="E38" s="12" t="s">
        <v>606</v>
      </c>
      <c r="F38" s="12" t="s">
        <v>266</v>
      </c>
      <c r="G38" s="12" t="s">
        <v>266</v>
      </c>
      <c r="H38" s="12" t="s">
        <v>266</v>
      </c>
      <c r="I38" s="13" t="s">
        <v>266</v>
      </c>
    </row>
    <row r="39" spans="1:9" ht="12">
      <c r="A39" s="33" t="s">
        <v>926</v>
      </c>
      <c r="B39" s="13" t="s">
        <v>563</v>
      </c>
      <c r="C39" s="13" t="s">
        <v>563</v>
      </c>
      <c r="D39" s="12" t="s">
        <v>266</v>
      </c>
      <c r="E39" s="12" t="s">
        <v>266</v>
      </c>
      <c r="F39" s="12" t="s">
        <v>266</v>
      </c>
      <c r="G39" s="12" t="s">
        <v>266</v>
      </c>
      <c r="H39" s="12" t="s">
        <v>266</v>
      </c>
      <c r="I39" s="13" t="s">
        <v>266</v>
      </c>
    </row>
    <row r="40" spans="1:9" ht="12">
      <c r="A40" s="33" t="s">
        <v>928</v>
      </c>
      <c r="B40" s="13" t="s">
        <v>563</v>
      </c>
      <c r="C40" s="13" t="s">
        <v>563</v>
      </c>
      <c r="D40" s="12" t="s">
        <v>266</v>
      </c>
      <c r="E40" s="12" t="s">
        <v>266</v>
      </c>
      <c r="F40" s="12" t="s">
        <v>266</v>
      </c>
      <c r="G40" s="12" t="s">
        <v>266</v>
      </c>
      <c r="H40" s="12" t="s">
        <v>266</v>
      </c>
      <c r="I40" s="13" t="s">
        <v>266</v>
      </c>
    </row>
    <row r="41" spans="1:9" ht="12">
      <c r="A41" s="33" t="s">
        <v>939</v>
      </c>
      <c r="B41" s="13" t="s">
        <v>563</v>
      </c>
      <c r="C41" s="13" t="s">
        <v>563</v>
      </c>
      <c r="D41" s="12" t="s">
        <v>603</v>
      </c>
      <c r="E41" s="12" t="s">
        <v>266</v>
      </c>
      <c r="F41" s="12" t="s">
        <v>604</v>
      </c>
      <c r="G41" s="12" t="s">
        <v>266</v>
      </c>
      <c r="H41" s="12" t="s">
        <v>266</v>
      </c>
      <c r="I41" s="13" t="s">
        <v>266</v>
      </c>
    </row>
    <row r="42" spans="1:9" ht="12">
      <c r="A42" s="33" t="s">
        <v>934</v>
      </c>
      <c r="B42" s="13" t="s">
        <v>563</v>
      </c>
      <c r="C42" s="13" t="s">
        <v>563</v>
      </c>
      <c r="D42" s="12" t="s">
        <v>266</v>
      </c>
      <c r="E42" s="12" t="s">
        <v>266</v>
      </c>
      <c r="F42" s="12" t="s">
        <v>266</v>
      </c>
      <c r="G42" s="12" t="s">
        <v>266</v>
      </c>
      <c r="H42" s="12" t="s">
        <v>266</v>
      </c>
      <c r="I42" s="13" t="s">
        <v>266</v>
      </c>
    </row>
    <row r="43" spans="1:9" ht="12">
      <c r="A43" s="33" t="s">
        <v>936</v>
      </c>
      <c r="B43" s="13" t="s">
        <v>563</v>
      </c>
      <c r="C43" s="13" t="s">
        <v>563</v>
      </c>
      <c r="D43" s="12" t="s">
        <v>266</v>
      </c>
      <c r="E43" s="12" t="s">
        <v>266</v>
      </c>
      <c r="F43" s="12" t="s">
        <v>266</v>
      </c>
      <c r="G43" s="12" t="s">
        <v>266</v>
      </c>
      <c r="H43" s="12" t="s">
        <v>266</v>
      </c>
      <c r="I43" s="13" t="s">
        <v>266</v>
      </c>
    </row>
    <row r="44" spans="1:9" ht="12">
      <c r="A44" s="33" t="s">
        <v>667</v>
      </c>
      <c r="B44" s="12" t="s">
        <v>266</v>
      </c>
      <c r="C44" s="12" t="s">
        <v>266</v>
      </c>
      <c r="D44" s="12" t="s">
        <v>266</v>
      </c>
      <c r="E44" s="12" t="s">
        <v>266</v>
      </c>
      <c r="F44" s="12" t="s">
        <v>266</v>
      </c>
      <c r="G44" s="12" t="s">
        <v>266</v>
      </c>
      <c r="H44" s="12" t="s">
        <v>266</v>
      </c>
      <c r="I44" s="13" t="s">
        <v>266</v>
      </c>
    </row>
    <row r="45" spans="1:9" ht="12">
      <c r="A45" s="33" t="s">
        <v>607</v>
      </c>
      <c r="B45" s="13" t="s">
        <v>608</v>
      </c>
      <c r="C45" s="12" t="s">
        <v>266</v>
      </c>
      <c r="D45" s="12" t="s">
        <v>266</v>
      </c>
      <c r="E45" s="12" t="s">
        <v>266</v>
      </c>
      <c r="F45" s="12" t="s">
        <v>266</v>
      </c>
      <c r="G45" s="12" t="s">
        <v>266</v>
      </c>
      <c r="H45" s="12" t="s">
        <v>266</v>
      </c>
      <c r="I45" s="13" t="s">
        <v>266</v>
      </c>
    </row>
    <row r="46" spans="1:9" ht="12">
      <c r="A46" s="33" t="s">
        <v>609</v>
      </c>
      <c r="B46" s="12" t="s">
        <v>266</v>
      </c>
      <c r="C46" s="12" t="s">
        <v>266</v>
      </c>
      <c r="D46" s="12" t="s">
        <v>266</v>
      </c>
      <c r="E46" s="12" t="s">
        <v>266</v>
      </c>
      <c r="F46" s="12" t="s">
        <v>266</v>
      </c>
      <c r="G46" s="12" t="s">
        <v>266</v>
      </c>
      <c r="H46" s="12" t="s">
        <v>266</v>
      </c>
      <c r="I46" s="13" t="s">
        <v>266</v>
      </c>
    </row>
    <row r="47" spans="1:9" ht="12">
      <c r="A47" s="33" t="s">
        <v>610</v>
      </c>
      <c r="B47" s="12" t="s">
        <v>266</v>
      </c>
      <c r="C47" s="12" t="s">
        <v>266</v>
      </c>
      <c r="D47" s="12" t="s">
        <v>266</v>
      </c>
      <c r="E47" s="12" t="s">
        <v>266</v>
      </c>
      <c r="F47" s="12" t="s">
        <v>266</v>
      </c>
      <c r="G47" s="12" t="s">
        <v>266</v>
      </c>
      <c r="H47" s="12" t="s">
        <v>266</v>
      </c>
      <c r="I47" s="13" t="s">
        <v>266</v>
      </c>
    </row>
    <row r="48" spans="1:9" ht="12">
      <c r="A48" s="33" t="s">
        <v>611</v>
      </c>
      <c r="B48" s="12" t="s">
        <v>266</v>
      </c>
      <c r="C48" s="12" t="s">
        <v>266</v>
      </c>
      <c r="D48" s="12" t="s">
        <v>266</v>
      </c>
      <c r="E48" s="12" t="s">
        <v>266</v>
      </c>
      <c r="F48" s="12" t="s">
        <v>266</v>
      </c>
      <c r="G48" s="12" t="s">
        <v>266</v>
      </c>
      <c r="H48" s="12" t="s">
        <v>266</v>
      </c>
      <c r="I48" s="13" t="s">
        <v>266</v>
      </c>
    </row>
    <row r="49" spans="1:9" ht="12">
      <c r="A49" s="33" t="s">
        <v>946</v>
      </c>
      <c r="B49" s="12" t="s">
        <v>266</v>
      </c>
      <c r="C49" s="12" t="s">
        <v>266</v>
      </c>
      <c r="D49" s="12" t="s">
        <v>266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13" t="s">
        <v>266</v>
      </c>
    </row>
    <row r="50" spans="1:9" ht="12">
      <c r="A50" s="33" t="s">
        <v>612</v>
      </c>
      <c r="B50" s="12" t="s">
        <v>266</v>
      </c>
      <c r="C50" s="12" t="s">
        <v>266</v>
      </c>
      <c r="D50" s="12" t="s">
        <v>266</v>
      </c>
      <c r="E50" s="12" t="s">
        <v>266</v>
      </c>
      <c r="F50" s="12" t="s">
        <v>266</v>
      </c>
      <c r="G50" s="12" t="s">
        <v>266</v>
      </c>
      <c r="H50" s="12" t="s">
        <v>266</v>
      </c>
      <c r="I50" s="13" t="s">
        <v>266</v>
      </c>
    </row>
    <row r="51" spans="1:9" ht="12">
      <c r="A51" s="33" t="s">
        <v>613</v>
      </c>
      <c r="B51" s="13" t="s">
        <v>563</v>
      </c>
      <c r="C51" s="13" t="s">
        <v>563</v>
      </c>
      <c r="D51" s="12" t="s">
        <v>614</v>
      </c>
      <c r="E51" s="12" t="s">
        <v>266</v>
      </c>
      <c r="F51" s="12" t="s">
        <v>266</v>
      </c>
      <c r="G51" s="12" t="s">
        <v>266</v>
      </c>
      <c r="H51" s="12" t="s">
        <v>266</v>
      </c>
      <c r="I51" s="13" t="s">
        <v>266</v>
      </c>
    </row>
    <row r="52" spans="1:9" ht="12">
      <c r="A52" s="33" t="s">
        <v>615</v>
      </c>
      <c r="B52" s="13" t="s">
        <v>563</v>
      </c>
      <c r="C52" s="13" t="s">
        <v>563</v>
      </c>
      <c r="D52" s="12" t="s">
        <v>266</v>
      </c>
      <c r="E52" s="12" t="s">
        <v>266</v>
      </c>
      <c r="F52" s="12" t="s">
        <v>266</v>
      </c>
      <c r="G52" s="12" t="s">
        <v>266</v>
      </c>
      <c r="H52" s="12" t="s">
        <v>266</v>
      </c>
      <c r="I52" s="13" t="s">
        <v>266</v>
      </c>
    </row>
    <row r="53" spans="1:9" ht="12">
      <c r="A53" s="33" t="s">
        <v>616</v>
      </c>
      <c r="B53" s="13" t="s">
        <v>563</v>
      </c>
      <c r="C53" s="13" t="s">
        <v>563</v>
      </c>
      <c r="D53" s="12" t="s">
        <v>617</v>
      </c>
      <c r="E53" s="12" t="s">
        <v>266</v>
      </c>
      <c r="F53" s="12" t="s">
        <v>1104</v>
      </c>
      <c r="G53" s="12" t="s">
        <v>266</v>
      </c>
      <c r="H53" s="12" t="s">
        <v>266</v>
      </c>
      <c r="I53" s="13" t="s">
        <v>266</v>
      </c>
    </row>
    <row r="54" spans="1:9" ht="12">
      <c r="A54" s="33" t="s">
        <v>168</v>
      </c>
      <c r="B54" s="13" t="s">
        <v>563</v>
      </c>
      <c r="C54" s="13" t="s">
        <v>563</v>
      </c>
      <c r="D54" s="12" t="s">
        <v>266</v>
      </c>
      <c r="E54" s="12" t="s">
        <v>266</v>
      </c>
      <c r="F54" s="12" t="s">
        <v>266</v>
      </c>
      <c r="G54" s="12" t="s">
        <v>266</v>
      </c>
      <c r="H54" s="12" t="s">
        <v>266</v>
      </c>
      <c r="I54" s="13" t="s">
        <v>266</v>
      </c>
    </row>
    <row r="55" spans="1:9" ht="12">
      <c r="A55" s="33" t="s">
        <v>115</v>
      </c>
      <c r="B55" s="13" t="s">
        <v>563</v>
      </c>
      <c r="C55" s="13" t="s">
        <v>563</v>
      </c>
      <c r="D55" s="12" t="s">
        <v>266</v>
      </c>
      <c r="E55" s="12" t="s">
        <v>266</v>
      </c>
      <c r="F55" s="12" t="s">
        <v>266</v>
      </c>
      <c r="G55" s="12" t="s">
        <v>266</v>
      </c>
      <c r="H55" s="12" t="s">
        <v>266</v>
      </c>
      <c r="I55" s="13" t="s">
        <v>266</v>
      </c>
    </row>
    <row r="56" spans="1:9" ht="12">
      <c r="A56" s="33" t="s">
        <v>49</v>
      </c>
      <c r="B56" s="13" t="s">
        <v>563</v>
      </c>
      <c r="C56" s="13" t="s">
        <v>563</v>
      </c>
      <c r="D56" s="12" t="s">
        <v>618</v>
      </c>
      <c r="E56" s="12" t="s">
        <v>266</v>
      </c>
      <c r="F56" s="12" t="s">
        <v>619</v>
      </c>
      <c r="G56" s="12" t="s">
        <v>266</v>
      </c>
      <c r="H56" s="12" t="s">
        <v>266</v>
      </c>
      <c r="I56" s="13" t="s">
        <v>266</v>
      </c>
    </row>
    <row r="57" spans="1:9" ht="12">
      <c r="A57" s="33" t="s">
        <v>620</v>
      </c>
      <c r="B57" s="13" t="s">
        <v>563</v>
      </c>
      <c r="C57" s="13" t="s">
        <v>563</v>
      </c>
      <c r="D57" s="12" t="s">
        <v>621</v>
      </c>
      <c r="E57" s="12" t="s">
        <v>266</v>
      </c>
      <c r="F57" s="12" t="s">
        <v>622</v>
      </c>
      <c r="G57" s="12" t="s">
        <v>266</v>
      </c>
      <c r="H57" s="12" t="s">
        <v>266</v>
      </c>
      <c r="I57" s="13" t="s">
        <v>266</v>
      </c>
    </row>
    <row r="58" spans="1:9" ht="12">
      <c r="A58" s="33" t="s">
        <v>99</v>
      </c>
      <c r="B58" s="13" t="s">
        <v>563</v>
      </c>
      <c r="C58" s="13" t="s">
        <v>563</v>
      </c>
      <c r="D58" s="12" t="s">
        <v>623</v>
      </c>
      <c r="E58" s="12" t="s">
        <v>266</v>
      </c>
      <c r="F58" s="12" t="s">
        <v>266</v>
      </c>
      <c r="G58" s="12" t="s">
        <v>266</v>
      </c>
      <c r="H58" s="12" t="s">
        <v>266</v>
      </c>
      <c r="I58" s="13" t="s">
        <v>266</v>
      </c>
    </row>
    <row r="59" spans="1:9" ht="12">
      <c r="A59" s="33" t="s">
        <v>119</v>
      </c>
      <c r="B59" s="13" t="s">
        <v>563</v>
      </c>
      <c r="C59" s="13" t="s">
        <v>563</v>
      </c>
      <c r="D59" s="12" t="s">
        <v>624</v>
      </c>
      <c r="E59" s="12" t="s">
        <v>266</v>
      </c>
      <c r="F59" s="12" t="s">
        <v>266</v>
      </c>
      <c r="G59" s="12" t="s">
        <v>266</v>
      </c>
      <c r="H59" s="12" t="s">
        <v>266</v>
      </c>
      <c r="I59" s="13" t="s">
        <v>266</v>
      </c>
    </row>
    <row r="60" spans="1:9" ht="12">
      <c r="A60" s="33" t="s">
        <v>625</v>
      </c>
      <c r="B60" s="13" t="s">
        <v>563</v>
      </c>
      <c r="C60" s="13" t="s">
        <v>563</v>
      </c>
      <c r="D60" s="12" t="s">
        <v>1105</v>
      </c>
      <c r="E60" s="12" t="s">
        <v>266</v>
      </c>
      <c r="F60" s="12" t="s">
        <v>266</v>
      </c>
      <c r="G60" s="12" t="s">
        <v>266</v>
      </c>
      <c r="H60" s="12" t="s">
        <v>266</v>
      </c>
      <c r="I60" s="13" t="s">
        <v>266</v>
      </c>
    </row>
    <row r="61" spans="1:9" ht="12">
      <c r="A61" s="33" t="s">
        <v>626</v>
      </c>
      <c r="B61" s="13" t="s">
        <v>563</v>
      </c>
      <c r="C61" s="13" t="s">
        <v>563</v>
      </c>
      <c r="D61" s="12" t="s">
        <v>627</v>
      </c>
      <c r="E61" s="12" t="s">
        <v>266</v>
      </c>
      <c r="F61" s="12" t="s">
        <v>266</v>
      </c>
      <c r="G61" s="12" t="s">
        <v>266</v>
      </c>
      <c r="H61" s="12" t="s">
        <v>266</v>
      </c>
      <c r="I61" s="13" t="s">
        <v>266</v>
      </c>
    </row>
    <row r="62" spans="1:9" ht="12">
      <c r="A62" s="33" t="s">
        <v>121</v>
      </c>
      <c r="B62" s="13" t="s">
        <v>563</v>
      </c>
      <c r="C62" s="13" t="s">
        <v>563</v>
      </c>
      <c r="D62" s="12" t="s">
        <v>628</v>
      </c>
      <c r="E62" s="12" t="s">
        <v>266</v>
      </c>
      <c r="F62" s="12" t="s">
        <v>266</v>
      </c>
      <c r="G62" s="12" t="s">
        <v>266</v>
      </c>
      <c r="H62" s="12" t="s">
        <v>266</v>
      </c>
      <c r="I62" s="13" t="s">
        <v>266</v>
      </c>
    </row>
    <row r="63" spans="1:9" ht="12">
      <c r="A63" s="33" t="s">
        <v>629</v>
      </c>
      <c r="B63" s="13" t="s">
        <v>563</v>
      </c>
      <c r="C63" s="13" t="s">
        <v>563</v>
      </c>
      <c r="D63" s="12" t="s">
        <v>630</v>
      </c>
      <c r="E63" s="12" t="s">
        <v>266</v>
      </c>
      <c r="F63" s="12" t="s">
        <v>266</v>
      </c>
      <c r="G63" s="12" t="s">
        <v>1098</v>
      </c>
      <c r="H63" s="12" t="s">
        <v>266</v>
      </c>
      <c r="I63" s="13" t="s">
        <v>266</v>
      </c>
    </row>
    <row r="64" spans="1:9" s="15" customFormat="1" ht="12">
      <c r="A64" s="33" t="s">
        <v>50</v>
      </c>
      <c r="B64" s="13" t="s">
        <v>563</v>
      </c>
      <c r="C64" s="13" t="s">
        <v>563</v>
      </c>
      <c r="D64" s="12" t="s">
        <v>631</v>
      </c>
      <c r="E64" s="12" t="s">
        <v>266</v>
      </c>
      <c r="F64" s="12" t="s">
        <v>632</v>
      </c>
      <c r="G64" s="12" t="s">
        <v>266</v>
      </c>
      <c r="H64" s="12" t="s">
        <v>266</v>
      </c>
      <c r="I64" s="13" t="s">
        <v>266</v>
      </c>
    </row>
    <row r="65" spans="1:9" s="15" customFormat="1" ht="12">
      <c r="A65" s="33" t="s">
        <v>124</v>
      </c>
      <c r="B65" s="13" t="s">
        <v>563</v>
      </c>
      <c r="C65" s="13" t="s">
        <v>563</v>
      </c>
      <c r="D65" s="12" t="s">
        <v>633</v>
      </c>
      <c r="E65" s="12" t="s">
        <v>266</v>
      </c>
      <c r="F65" s="12" t="s">
        <v>266</v>
      </c>
      <c r="G65" s="12" t="s">
        <v>266</v>
      </c>
      <c r="H65" s="12" t="s">
        <v>266</v>
      </c>
      <c r="I65" s="13" t="s">
        <v>266</v>
      </c>
    </row>
    <row r="66" spans="1:9" ht="12">
      <c r="A66" s="33" t="s">
        <v>51</v>
      </c>
      <c r="B66" s="13" t="s">
        <v>563</v>
      </c>
      <c r="C66" s="13" t="s">
        <v>563</v>
      </c>
      <c r="D66" s="12" t="s">
        <v>634</v>
      </c>
      <c r="E66" s="12" t="s">
        <v>266</v>
      </c>
      <c r="F66" s="12" t="s">
        <v>635</v>
      </c>
      <c r="G66" s="12" t="s">
        <v>266</v>
      </c>
      <c r="H66" s="12" t="s">
        <v>266</v>
      </c>
      <c r="I66" s="13" t="s">
        <v>266</v>
      </c>
    </row>
    <row r="67" spans="1:9" ht="12">
      <c r="A67" s="33" t="s">
        <v>636</v>
      </c>
      <c r="B67" s="13" t="s">
        <v>563</v>
      </c>
      <c r="C67" s="13" t="s">
        <v>563</v>
      </c>
      <c r="D67" s="12" t="s">
        <v>637</v>
      </c>
      <c r="E67" s="12" t="s">
        <v>266</v>
      </c>
      <c r="F67" s="12" t="s">
        <v>266</v>
      </c>
      <c r="G67" s="12" t="s">
        <v>266</v>
      </c>
      <c r="H67" s="12" t="s">
        <v>266</v>
      </c>
      <c r="I67" s="13" t="s">
        <v>266</v>
      </c>
    </row>
    <row r="68" spans="1:9" ht="12">
      <c r="A68" s="33" t="s">
        <v>48</v>
      </c>
      <c r="B68" s="13" t="s">
        <v>563</v>
      </c>
      <c r="C68" s="13" t="s">
        <v>563</v>
      </c>
      <c r="D68" s="12" t="s">
        <v>266</v>
      </c>
      <c r="E68" s="12" t="s">
        <v>266</v>
      </c>
      <c r="F68" s="12" t="s">
        <v>266</v>
      </c>
      <c r="G68" s="12" t="s">
        <v>266</v>
      </c>
      <c r="H68" s="12" t="s">
        <v>266</v>
      </c>
      <c r="I68" s="13" t="s">
        <v>266</v>
      </c>
    </row>
    <row r="69" spans="1:9" ht="12">
      <c r="A69" s="33" t="s">
        <v>638</v>
      </c>
      <c r="B69" s="13" t="s">
        <v>563</v>
      </c>
      <c r="C69" s="13" t="s">
        <v>563</v>
      </c>
      <c r="D69" s="12" t="s">
        <v>639</v>
      </c>
      <c r="E69" s="12" t="s">
        <v>266</v>
      </c>
      <c r="F69" s="12" t="s">
        <v>266</v>
      </c>
      <c r="G69" s="12" t="s">
        <v>266</v>
      </c>
      <c r="H69" s="12" t="s">
        <v>266</v>
      </c>
      <c r="I69" s="13" t="s">
        <v>266</v>
      </c>
    </row>
    <row r="70" spans="1:9" ht="12">
      <c r="A70" s="33" t="s">
        <v>640</v>
      </c>
      <c r="B70" s="13" t="s">
        <v>563</v>
      </c>
      <c r="C70" s="13" t="s">
        <v>563</v>
      </c>
      <c r="D70" s="12" t="s">
        <v>266</v>
      </c>
      <c r="E70" s="12" t="s">
        <v>266</v>
      </c>
      <c r="F70" s="12" t="s">
        <v>266</v>
      </c>
      <c r="G70" s="12" t="s">
        <v>266</v>
      </c>
      <c r="H70" s="12" t="s">
        <v>266</v>
      </c>
      <c r="I70" s="13" t="s">
        <v>266</v>
      </c>
    </row>
    <row r="71" spans="1:9" ht="12">
      <c r="A71" s="33" t="s">
        <v>641</v>
      </c>
      <c r="B71" s="13" t="s">
        <v>563</v>
      </c>
      <c r="C71" s="13" t="s">
        <v>563</v>
      </c>
      <c r="D71" s="12" t="s">
        <v>266</v>
      </c>
      <c r="E71" s="12" t="s">
        <v>266</v>
      </c>
      <c r="F71" s="12" t="s">
        <v>266</v>
      </c>
      <c r="G71" s="12" t="s">
        <v>266</v>
      </c>
      <c r="H71" s="12" t="s">
        <v>266</v>
      </c>
      <c r="I71" s="13" t="s">
        <v>266</v>
      </c>
    </row>
    <row r="72" spans="1:9" ht="12">
      <c r="A72" s="33" t="s">
        <v>642</v>
      </c>
      <c r="B72" s="13" t="s">
        <v>563</v>
      </c>
      <c r="C72" s="13" t="s">
        <v>563</v>
      </c>
      <c r="D72" s="12" t="s">
        <v>643</v>
      </c>
      <c r="E72" s="12" t="s">
        <v>266</v>
      </c>
      <c r="F72" s="12" t="s">
        <v>1075</v>
      </c>
      <c r="G72" s="12" t="s">
        <v>266</v>
      </c>
      <c r="H72" s="12" t="s">
        <v>266</v>
      </c>
      <c r="I72" s="13" t="s">
        <v>266</v>
      </c>
    </row>
    <row r="73" spans="1:9" ht="12">
      <c r="A73" s="33" t="s">
        <v>128</v>
      </c>
      <c r="B73" s="13" t="s">
        <v>563</v>
      </c>
      <c r="C73" s="13" t="s">
        <v>563</v>
      </c>
      <c r="D73" s="12" t="s">
        <v>644</v>
      </c>
      <c r="E73" s="12" t="s">
        <v>266</v>
      </c>
      <c r="F73" s="12" t="s">
        <v>266</v>
      </c>
      <c r="G73" s="12" t="s">
        <v>266</v>
      </c>
      <c r="H73" s="12" t="s">
        <v>266</v>
      </c>
      <c r="I73" s="13" t="s">
        <v>266</v>
      </c>
    </row>
    <row r="74" spans="1:9" ht="12">
      <c r="A74" s="33" t="s">
        <v>645</v>
      </c>
      <c r="B74" s="13" t="s">
        <v>563</v>
      </c>
      <c r="C74" s="13" t="s">
        <v>563</v>
      </c>
      <c r="D74" s="12" t="s">
        <v>646</v>
      </c>
      <c r="E74" s="12" t="s">
        <v>266</v>
      </c>
      <c r="F74" s="12" t="s">
        <v>647</v>
      </c>
      <c r="G74" s="12" t="s">
        <v>266</v>
      </c>
      <c r="H74" s="12" t="s">
        <v>266</v>
      </c>
      <c r="I74" s="13" t="s">
        <v>266</v>
      </c>
    </row>
    <row r="75" spans="1:9" ht="12">
      <c r="A75" s="33" t="s">
        <v>648</v>
      </c>
      <c r="B75" s="13" t="s">
        <v>563</v>
      </c>
      <c r="C75" s="13" t="s">
        <v>563</v>
      </c>
      <c r="D75" s="12" t="s">
        <v>649</v>
      </c>
      <c r="E75" s="12" t="s">
        <v>266</v>
      </c>
      <c r="F75" s="12" t="s">
        <v>266</v>
      </c>
      <c r="G75" s="12" t="s">
        <v>266</v>
      </c>
      <c r="H75" s="12" t="s">
        <v>266</v>
      </c>
      <c r="I75" s="13" t="s">
        <v>266</v>
      </c>
    </row>
    <row r="76" spans="1:9" ht="12">
      <c r="A76" s="33" t="s">
        <v>650</v>
      </c>
      <c r="B76" s="13" t="s">
        <v>563</v>
      </c>
      <c r="C76" s="13" t="s">
        <v>563</v>
      </c>
      <c r="D76" s="12" t="s">
        <v>651</v>
      </c>
      <c r="E76" s="12" t="s">
        <v>266</v>
      </c>
      <c r="F76" s="12" t="s">
        <v>266</v>
      </c>
      <c r="G76" s="12" t="s">
        <v>266</v>
      </c>
      <c r="H76" s="12" t="s">
        <v>266</v>
      </c>
      <c r="I76" s="13" t="s">
        <v>266</v>
      </c>
    </row>
    <row r="77" spans="1:9" ht="12">
      <c r="A77" s="33" t="s">
        <v>668</v>
      </c>
      <c r="B77" s="12" t="s">
        <v>266</v>
      </c>
      <c r="C77" s="12" t="s">
        <v>266</v>
      </c>
      <c r="D77" s="12" t="s">
        <v>1091</v>
      </c>
      <c r="E77" s="12" t="s">
        <v>266</v>
      </c>
      <c r="F77" s="12" t="s">
        <v>266</v>
      </c>
      <c r="G77" s="12" t="s">
        <v>266</v>
      </c>
      <c r="H77" s="12" t="s">
        <v>266</v>
      </c>
      <c r="I77" s="13" t="s">
        <v>266</v>
      </c>
    </row>
    <row r="78" spans="1:9" ht="12">
      <c r="A78" s="33" t="s">
        <v>947</v>
      </c>
      <c r="B78" s="12" t="s">
        <v>670</v>
      </c>
      <c r="C78" s="12" t="s">
        <v>266</v>
      </c>
      <c r="D78" s="12" t="s">
        <v>266</v>
      </c>
      <c r="E78" s="12" t="s">
        <v>266</v>
      </c>
      <c r="F78" s="12" t="s">
        <v>266</v>
      </c>
      <c r="G78" s="12" t="s">
        <v>266</v>
      </c>
      <c r="H78" s="12" t="s">
        <v>266</v>
      </c>
      <c r="I78" s="13" t="s">
        <v>266</v>
      </c>
    </row>
    <row r="79" spans="1:9" ht="12">
      <c r="A79" s="33" t="s">
        <v>948</v>
      </c>
      <c r="B79" s="12" t="s">
        <v>653</v>
      </c>
      <c r="C79" s="12" t="s">
        <v>266</v>
      </c>
      <c r="D79" s="12" t="s">
        <v>266</v>
      </c>
      <c r="E79" s="12" t="s">
        <v>266</v>
      </c>
      <c r="F79" s="12" t="s">
        <v>266</v>
      </c>
      <c r="G79" s="12" t="s">
        <v>266</v>
      </c>
      <c r="H79" s="12" t="s">
        <v>266</v>
      </c>
      <c r="I79" s="13" t="s">
        <v>266</v>
      </c>
    </row>
    <row r="80" spans="1:9" ht="12">
      <c r="A80" s="33" t="s">
        <v>950</v>
      </c>
      <c r="B80" s="12" t="s">
        <v>655</v>
      </c>
      <c r="C80" s="12" t="s">
        <v>266</v>
      </c>
      <c r="D80" s="12" t="s">
        <v>266</v>
      </c>
      <c r="E80" s="12" t="s">
        <v>266</v>
      </c>
      <c r="F80" s="12" t="s">
        <v>266</v>
      </c>
      <c r="G80" s="12" t="s">
        <v>266</v>
      </c>
      <c r="H80" s="12" t="s">
        <v>266</v>
      </c>
      <c r="I80" s="13" t="s">
        <v>266</v>
      </c>
    </row>
    <row r="81" spans="1:9" ht="12">
      <c r="A81" s="33" t="s">
        <v>656</v>
      </c>
      <c r="B81" s="12" t="s">
        <v>657</v>
      </c>
      <c r="C81" s="12" t="s">
        <v>266</v>
      </c>
      <c r="D81" s="12" t="s">
        <v>266</v>
      </c>
      <c r="E81" s="12" t="s">
        <v>266</v>
      </c>
      <c r="F81" s="12" t="s">
        <v>266</v>
      </c>
      <c r="G81" s="12" t="s">
        <v>266</v>
      </c>
      <c r="H81" s="12" t="s">
        <v>266</v>
      </c>
      <c r="I81" s="13" t="s">
        <v>266</v>
      </c>
    </row>
    <row r="82" spans="1:9" ht="12">
      <c r="A82" s="33" t="s">
        <v>949</v>
      </c>
      <c r="B82" s="12" t="s">
        <v>670</v>
      </c>
      <c r="C82" s="12" t="s">
        <v>266</v>
      </c>
      <c r="D82" s="12" t="s">
        <v>266</v>
      </c>
      <c r="E82" s="12" t="s">
        <v>266</v>
      </c>
      <c r="F82" s="12" t="s">
        <v>266</v>
      </c>
      <c r="G82" s="12" t="s">
        <v>266</v>
      </c>
      <c r="H82" s="12" t="s">
        <v>266</v>
      </c>
      <c r="I82" s="13" t="s">
        <v>266</v>
      </c>
    </row>
    <row r="83" spans="1:9" s="16" customFormat="1" ht="12">
      <c r="A83" s="33" t="s">
        <v>951</v>
      </c>
      <c r="B83" s="12" t="s">
        <v>670</v>
      </c>
      <c r="C83" s="12" t="s">
        <v>266</v>
      </c>
      <c r="D83" s="12" t="s">
        <v>266</v>
      </c>
      <c r="E83" s="12" t="s">
        <v>266</v>
      </c>
      <c r="F83" s="12" t="s">
        <v>266</v>
      </c>
      <c r="G83" s="12" t="s">
        <v>266</v>
      </c>
      <c r="H83" s="12" t="s">
        <v>266</v>
      </c>
      <c r="I83" s="13" t="s">
        <v>266</v>
      </c>
    </row>
    <row r="84" spans="1:9" ht="12">
      <c r="A84" s="33" t="s">
        <v>952</v>
      </c>
      <c r="B84" s="12" t="s">
        <v>670</v>
      </c>
      <c r="C84" s="12" t="s">
        <v>266</v>
      </c>
      <c r="D84" s="12" t="s">
        <v>266</v>
      </c>
      <c r="E84" s="12" t="s">
        <v>266</v>
      </c>
      <c r="F84" s="12" t="s">
        <v>266</v>
      </c>
      <c r="G84" s="12" t="s">
        <v>266</v>
      </c>
      <c r="H84" s="12" t="s">
        <v>266</v>
      </c>
      <c r="I84" s="13" t="s">
        <v>266</v>
      </c>
    </row>
    <row r="85" spans="1:9" ht="12">
      <c r="A85" s="33" t="s">
        <v>658</v>
      </c>
      <c r="B85" s="12" t="s">
        <v>266</v>
      </c>
      <c r="C85" s="12" t="s">
        <v>266</v>
      </c>
      <c r="D85" s="12" t="s">
        <v>659</v>
      </c>
      <c r="E85" s="12" t="s">
        <v>266</v>
      </c>
      <c r="F85" s="12" t="s">
        <v>266</v>
      </c>
      <c r="G85" s="12" t="s">
        <v>266</v>
      </c>
      <c r="H85" s="12" t="s">
        <v>266</v>
      </c>
      <c r="I85" s="13" t="s">
        <v>266</v>
      </c>
    </row>
    <row r="86" spans="1:9" ht="12">
      <c r="A86" s="33" t="s">
        <v>660</v>
      </c>
      <c r="B86" s="12" t="s">
        <v>266</v>
      </c>
      <c r="C86" s="12" t="s">
        <v>266</v>
      </c>
      <c r="D86" s="12" t="s">
        <v>661</v>
      </c>
      <c r="E86" s="12" t="s">
        <v>266</v>
      </c>
      <c r="F86" s="12" t="s">
        <v>266</v>
      </c>
      <c r="G86" s="12" t="s">
        <v>266</v>
      </c>
      <c r="H86" s="12" t="s">
        <v>266</v>
      </c>
      <c r="I86" s="13" t="s">
        <v>266</v>
      </c>
    </row>
    <row r="87" spans="1:9" ht="12">
      <c r="A87" s="33" t="s">
        <v>662</v>
      </c>
      <c r="B87" s="12" t="s">
        <v>631</v>
      </c>
      <c r="C87" s="12" t="s">
        <v>266</v>
      </c>
      <c r="D87" s="12" t="s">
        <v>266</v>
      </c>
      <c r="E87" s="12" t="s">
        <v>266</v>
      </c>
      <c r="F87" s="12" t="s">
        <v>266</v>
      </c>
      <c r="G87" s="12" t="s">
        <v>266</v>
      </c>
      <c r="H87" s="12" t="s">
        <v>266</v>
      </c>
      <c r="I87" s="13" t="s">
        <v>266</v>
      </c>
    </row>
    <row r="90" spans="1:9" s="15" customFormat="1">
      <c r="A90" s="11"/>
      <c r="B90" s="16"/>
      <c r="C90" s="16"/>
      <c r="D90" s="16"/>
      <c r="E90" s="16"/>
      <c r="F90" s="16"/>
      <c r="G90" s="16"/>
      <c r="H90" s="16"/>
      <c r="I90" s="16"/>
    </row>
    <row r="91" spans="1:9" s="15" customFormat="1">
      <c r="A91" s="11"/>
      <c r="B91" s="11"/>
      <c r="C91" s="11"/>
      <c r="D91" s="11"/>
      <c r="E91" s="11"/>
      <c r="F91" s="11"/>
      <c r="G91" s="11"/>
      <c r="H91" s="11"/>
      <c r="I91" s="11"/>
    </row>
    <row r="92" spans="1:9" s="15" customFormat="1">
      <c r="A92" s="11"/>
      <c r="B92" s="11"/>
      <c r="C92" s="11"/>
      <c r="D92" s="11"/>
      <c r="E92" s="11"/>
      <c r="F92" s="11"/>
      <c r="G92" s="11"/>
      <c r="H92" s="11"/>
      <c r="I92" s="11"/>
    </row>
    <row r="97" spans="2:9">
      <c r="B97" s="15"/>
      <c r="C97" s="15"/>
      <c r="D97" s="15"/>
      <c r="E97" s="15"/>
      <c r="F97" s="15"/>
      <c r="G97" s="15"/>
      <c r="H97" s="15"/>
      <c r="I97" s="15"/>
    </row>
    <row r="98" spans="2:9">
      <c r="B98" s="15"/>
      <c r="C98" s="15"/>
      <c r="D98" s="15"/>
      <c r="E98" s="15"/>
      <c r="F98" s="15"/>
      <c r="G98" s="15"/>
      <c r="H98" s="15"/>
      <c r="I98" s="15"/>
    </row>
    <row r="99" spans="2:9">
      <c r="B99" s="15"/>
      <c r="C99" s="15"/>
      <c r="D99" s="15"/>
      <c r="E99" s="15"/>
      <c r="F99" s="15"/>
      <c r="G99" s="15"/>
      <c r="H99" s="15"/>
      <c r="I99" s="15"/>
    </row>
  </sheetData>
  <autoFilter ref="A1:I87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ECD4-AC2C-4540-BA67-8715369ABF5F}">
  <sheetPr codeName="Sheet22">
    <tabColor theme="8" tint="0.79998168889431442"/>
  </sheetPr>
  <dimension ref="A1:J98"/>
  <sheetViews>
    <sheetView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10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10" s="14" customFormat="1" ht="12">
      <c r="A2" s="31" t="s">
        <v>215</v>
      </c>
      <c r="B2" s="12" t="s">
        <v>1349</v>
      </c>
      <c r="C2" s="12" t="s">
        <v>266</v>
      </c>
      <c r="D2" s="12" t="s">
        <v>266</v>
      </c>
      <c r="E2" s="12" t="s">
        <v>266</v>
      </c>
      <c r="F2" s="12" t="s">
        <v>1383</v>
      </c>
      <c r="G2" s="12" t="s">
        <v>266</v>
      </c>
      <c r="H2" s="12" t="s">
        <v>266</v>
      </c>
      <c r="I2" s="13" t="s">
        <v>266</v>
      </c>
      <c r="J2" s="15" t="s">
        <v>1327</v>
      </c>
    </row>
    <row r="3" spans="1:10" s="14" customFormat="1" ht="12">
      <c r="A3" s="31" t="s">
        <v>154</v>
      </c>
      <c r="B3" s="12" t="s">
        <v>1350</v>
      </c>
      <c r="C3" s="12" t="s">
        <v>266</v>
      </c>
      <c r="D3" s="12" t="s">
        <v>266</v>
      </c>
      <c r="E3" s="12" t="s">
        <v>266</v>
      </c>
      <c r="F3" s="12" t="s">
        <v>266</v>
      </c>
      <c r="G3" s="12" t="s">
        <v>266</v>
      </c>
      <c r="H3" s="12" t="s">
        <v>266</v>
      </c>
      <c r="I3" s="13" t="s">
        <v>266</v>
      </c>
      <c r="J3" s="15" t="s">
        <v>1328</v>
      </c>
    </row>
    <row r="4" spans="1:10" s="14" customFormat="1" ht="12">
      <c r="A4" s="31" t="s">
        <v>156</v>
      </c>
      <c r="B4" s="12" t="s">
        <v>240</v>
      </c>
      <c r="C4" s="12" t="s">
        <v>1361</v>
      </c>
      <c r="D4" s="12" t="s">
        <v>266</v>
      </c>
      <c r="E4" s="12" t="s">
        <v>266</v>
      </c>
      <c r="F4" s="12" t="s">
        <v>266</v>
      </c>
      <c r="G4" s="12" t="s">
        <v>266</v>
      </c>
      <c r="H4" s="12" t="s">
        <v>266</v>
      </c>
      <c r="I4" s="13" t="s">
        <v>266</v>
      </c>
      <c r="J4" s="15"/>
    </row>
    <row r="5" spans="1:10" s="14" customFormat="1" ht="12">
      <c r="A5" s="31" t="s">
        <v>150</v>
      </c>
      <c r="B5" s="12" t="s">
        <v>266</v>
      </c>
      <c r="C5" s="12" t="s">
        <v>266</v>
      </c>
      <c r="D5" s="12" t="s">
        <v>266</v>
      </c>
      <c r="E5" s="12" t="s">
        <v>266</v>
      </c>
      <c r="F5" s="12" t="s">
        <v>266</v>
      </c>
      <c r="G5" s="12" t="s">
        <v>266</v>
      </c>
      <c r="H5" s="12" t="s">
        <v>266</v>
      </c>
      <c r="I5" s="13" t="s">
        <v>266</v>
      </c>
    </row>
    <row r="6" spans="1:10" s="14" customFormat="1" ht="12">
      <c r="A6" s="31" t="s">
        <v>159</v>
      </c>
      <c r="B6" s="12" t="s">
        <v>266</v>
      </c>
      <c r="C6" s="12" t="s">
        <v>266</v>
      </c>
      <c r="D6" s="12" t="s">
        <v>266</v>
      </c>
      <c r="E6" s="12" t="s">
        <v>266</v>
      </c>
      <c r="F6" s="12" t="s">
        <v>266</v>
      </c>
      <c r="G6" s="12" t="s">
        <v>266</v>
      </c>
      <c r="H6" s="12" t="s">
        <v>266</v>
      </c>
      <c r="I6" s="13" t="s">
        <v>266</v>
      </c>
    </row>
    <row r="7" spans="1:10" s="14" customFormat="1" ht="12">
      <c r="A7" s="31" t="s">
        <v>53</v>
      </c>
      <c r="B7" s="12" t="s">
        <v>266</v>
      </c>
      <c r="C7" s="12" t="s">
        <v>266</v>
      </c>
      <c r="D7" s="12" t="s">
        <v>266</v>
      </c>
      <c r="E7" s="12" t="s">
        <v>266</v>
      </c>
      <c r="F7" s="12" t="s">
        <v>266</v>
      </c>
      <c r="G7" s="12" t="s">
        <v>266</v>
      </c>
      <c r="H7" s="12" t="s">
        <v>266</v>
      </c>
      <c r="I7" s="13" t="s">
        <v>266</v>
      </c>
    </row>
    <row r="8" spans="1:10" s="14" customFormat="1" ht="12">
      <c r="A8" s="31" t="s">
        <v>224</v>
      </c>
      <c r="B8" s="12" t="s">
        <v>1351</v>
      </c>
      <c r="C8" s="12" t="s">
        <v>266</v>
      </c>
      <c r="D8" s="12" t="s">
        <v>266</v>
      </c>
      <c r="E8" s="12" t="s">
        <v>266</v>
      </c>
      <c r="F8" s="12" t="s">
        <v>266</v>
      </c>
      <c r="G8" s="12" t="s">
        <v>266</v>
      </c>
      <c r="H8" s="12" t="s">
        <v>266</v>
      </c>
      <c r="I8" s="13" t="s">
        <v>266</v>
      </c>
    </row>
    <row r="9" spans="1:10" s="14" customFormat="1" ht="12">
      <c r="A9" s="31" t="s">
        <v>238</v>
      </c>
      <c r="B9" s="12" t="s">
        <v>1352</v>
      </c>
      <c r="C9" s="12" t="s">
        <v>266</v>
      </c>
      <c r="D9" s="12" t="s">
        <v>266</v>
      </c>
      <c r="E9" s="12" t="s">
        <v>1389</v>
      </c>
      <c r="F9" s="12" t="s">
        <v>266</v>
      </c>
      <c r="G9" s="12" t="s">
        <v>266</v>
      </c>
      <c r="H9" s="12" t="s">
        <v>266</v>
      </c>
      <c r="I9" s="13" t="s">
        <v>266</v>
      </c>
    </row>
    <row r="10" spans="1:10" s="14" customFormat="1" ht="12">
      <c r="A10" s="31" t="s">
        <v>235</v>
      </c>
      <c r="B10" s="12" t="s">
        <v>266</v>
      </c>
      <c r="C10" s="12" t="s">
        <v>266</v>
      </c>
      <c r="D10" s="12" t="s">
        <v>266</v>
      </c>
      <c r="E10" s="12" t="s">
        <v>266</v>
      </c>
      <c r="F10" s="12" t="s">
        <v>266</v>
      </c>
      <c r="G10" s="12" t="s">
        <v>266</v>
      </c>
      <c r="H10" s="12" t="s">
        <v>266</v>
      </c>
      <c r="I10" s="13" t="s">
        <v>266</v>
      </c>
    </row>
    <row r="11" spans="1:10" s="14" customFormat="1" ht="12">
      <c r="A11" s="31" t="s">
        <v>141</v>
      </c>
      <c r="B11" s="12" t="s">
        <v>1353</v>
      </c>
      <c r="C11" s="12" t="s">
        <v>266</v>
      </c>
      <c r="D11" s="12" t="s">
        <v>266</v>
      </c>
      <c r="E11" s="12" t="s">
        <v>266</v>
      </c>
      <c r="F11" s="12" t="s">
        <v>266</v>
      </c>
      <c r="G11" s="12" t="s">
        <v>266</v>
      </c>
      <c r="H11" s="12" t="s">
        <v>266</v>
      </c>
      <c r="I11" s="13" t="s">
        <v>266</v>
      </c>
    </row>
    <row r="12" spans="1:10" s="14" customFormat="1" ht="12">
      <c r="A12" s="31" t="s">
        <v>221</v>
      </c>
      <c r="B12" s="12" t="s">
        <v>266</v>
      </c>
      <c r="C12" s="12" t="s">
        <v>266</v>
      </c>
      <c r="D12" s="12" t="s">
        <v>266</v>
      </c>
      <c r="E12" s="12" t="s">
        <v>266</v>
      </c>
      <c r="F12" s="12" t="s">
        <v>266</v>
      </c>
      <c r="G12" s="12" t="s">
        <v>266</v>
      </c>
      <c r="H12" s="12" t="s">
        <v>266</v>
      </c>
      <c r="I12" s="13" t="s">
        <v>266</v>
      </c>
    </row>
    <row r="13" spans="1:10" s="14" customFormat="1" ht="12">
      <c r="A13" s="31" t="s">
        <v>225</v>
      </c>
      <c r="B13" s="12" t="s">
        <v>1354</v>
      </c>
      <c r="C13" s="12" t="s">
        <v>266</v>
      </c>
      <c r="D13" s="12" t="s">
        <v>562</v>
      </c>
      <c r="E13" s="12" t="s">
        <v>266</v>
      </c>
      <c r="F13" s="12" t="s">
        <v>266</v>
      </c>
      <c r="G13" s="12" t="s">
        <v>266</v>
      </c>
      <c r="H13" s="12" t="s">
        <v>266</v>
      </c>
      <c r="I13" s="13" t="s">
        <v>266</v>
      </c>
    </row>
    <row r="14" spans="1:10" ht="12">
      <c r="A14" s="32">
        <v>1</v>
      </c>
      <c r="B14" s="13" t="s">
        <v>563</v>
      </c>
      <c r="C14" s="13" t="s">
        <v>563</v>
      </c>
      <c r="D14" s="12" t="s">
        <v>266</v>
      </c>
      <c r="E14" s="12" t="s">
        <v>1329</v>
      </c>
      <c r="F14" s="12" t="s">
        <v>266</v>
      </c>
      <c r="G14" s="12" t="s">
        <v>266</v>
      </c>
      <c r="H14" s="12" t="s">
        <v>266</v>
      </c>
      <c r="I14" s="13" t="s">
        <v>266</v>
      </c>
    </row>
    <row r="15" spans="1:10" ht="12">
      <c r="A15" s="32">
        <v>2</v>
      </c>
      <c r="B15" s="13" t="s">
        <v>563</v>
      </c>
      <c r="C15" s="13" t="s">
        <v>563</v>
      </c>
      <c r="D15" s="12" t="s">
        <v>266</v>
      </c>
      <c r="E15" s="12" t="s">
        <v>1330</v>
      </c>
      <c r="F15" s="12" t="s">
        <v>266</v>
      </c>
      <c r="G15" s="12" t="s">
        <v>266</v>
      </c>
      <c r="H15" s="12" t="s">
        <v>266</v>
      </c>
      <c r="I15" s="13" t="s">
        <v>266</v>
      </c>
    </row>
    <row r="16" spans="1:10" ht="12">
      <c r="A16" s="32">
        <v>3</v>
      </c>
      <c r="B16" s="13" t="s">
        <v>563</v>
      </c>
      <c r="C16" s="13" t="s">
        <v>563</v>
      </c>
      <c r="D16" s="12" t="s">
        <v>266</v>
      </c>
      <c r="E16" s="12" t="s">
        <v>1331</v>
      </c>
      <c r="F16" s="12" t="s">
        <v>266</v>
      </c>
      <c r="G16" s="12" t="s">
        <v>266</v>
      </c>
      <c r="H16" s="12" t="s">
        <v>266</v>
      </c>
      <c r="I16" s="13" t="s">
        <v>266</v>
      </c>
    </row>
    <row r="17" spans="1:9" ht="12">
      <c r="A17" s="32">
        <v>4</v>
      </c>
      <c r="B17" s="13" t="s">
        <v>563</v>
      </c>
      <c r="C17" s="13" t="s">
        <v>563</v>
      </c>
      <c r="D17" s="12" t="s">
        <v>266</v>
      </c>
      <c r="E17" s="12" t="s">
        <v>1332</v>
      </c>
      <c r="F17" s="12" t="s">
        <v>266</v>
      </c>
      <c r="G17" s="12" t="s">
        <v>266</v>
      </c>
      <c r="H17" s="12" t="s">
        <v>266</v>
      </c>
      <c r="I17" s="13" t="s">
        <v>266</v>
      </c>
    </row>
    <row r="18" spans="1:9" ht="12">
      <c r="A18" s="32">
        <v>5</v>
      </c>
      <c r="B18" s="13" t="s">
        <v>563</v>
      </c>
      <c r="C18" s="13" t="s">
        <v>563</v>
      </c>
      <c r="D18" s="12" t="s">
        <v>266</v>
      </c>
      <c r="E18" s="12" t="s">
        <v>1333</v>
      </c>
      <c r="F18" s="12" t="s">
        <v>266</v>
      </c>
      <c r="G18" s="12" t="s">
        <v>266</v>
      </c>
      <c r="H18" s="12" t="s">
        <v>266</v>
      </c>
      <c r="I18" s="13" t="s">
        <v>266</v>
      </c>
    </row>
    <row r="19" spans="1:9" ht="12">
      <c r="A19" s="32">
        <v>6</v>
      </c>
      <c r="B19" s="13" t="s">
        <v>563</v>
      </c>
      <c r="C19" s="13" t="s">
        <v>563</v>
      </c>
      <c r="D19" s="12" t="s">
        <v>266</v>
      </c>
      <c r="E19" s="12" t="s">
        <v>1334</v>
      </c>
      <c r="F19" s="12" t="s">
        <v>266</v>
      </c>
      <c r="G19" s="12" t="s">
        <v>266</v>
      </c>
      <c r="H19" s="12" t="s">
        <v>266</v>
      </c>
      <c r="I19" s="13" t="s">
        <v>266</v>
      </c>
    </row>
    <row r="20" spans="1:9" ht="12">
      <c r="A20" s="32">
        <v>7</v>
      </c>
      <c r="B20" s="13" t="s">
        <v>563</v>
      </c>
      <c r="C20" s="13" t="s">
        <v>563</v>
      </c>
      <c r="D20" s="12" t="s">
        <v>266</v>
      </c>
      <c r="E20" s="12" t="s">
        <v>1335</v>
      </c>
      <c r="F20" s="12" t="s">
        <v>266</v>
      </c>
      <c r="G20" s="12" t="s">
        <v>266</v>
      </c>
      <c r="H20" s="12" t="s">
        <v>266</v>
      </c>
      <c r="I20" s="13" t="s">
        <v>266</v>
      </c>
    </row>
    <row r="21" spans="1:9" ht="12">
      <c r="A21" s="32">
        <v>8</v>
      </c>
      <c r="B21" s="13" t="s">
        <v>563</v>
      </c>
      <c r="C21" s="13" t="s">
        <v>563</v>
      </c>
      <c r="D21" s="12" t="s">
        <v>266</v>
      </c>
      <c r="E21" s="12" t="s">
        <v>1336</v>
      </c>
      <c r="F21" s="12" t="s">
        <v>266</v>
      </c>
      <c r="G21" s="12" t="s">
        <v>266</v>
      </c>
      <c r="H21" s="12" t="s">
        <v>266</v>
      </c>
      <c r="I21" s="13" t="s">
        <v>266</v>
      </c>
    </row>
    <row r="22" spans="1:9" ht="12">
      <c r="A22" s="32">
        <v>9</v>
      </c>
      <c r="B22" s="13" t="s">
        <v>563</v>
      </c>
      <c r="C22" s="13" t="s">
        <v>563</v>
      </c>
      <c r="D22" s="12" t="s">
        <v>266</v>
      </c>
      <c r="E22" s="12" t="s">
        <v>1337</v>
      </c>
      <c r="F22" s="12" t="s">
        <v>266</v>
      </c>
      <c r="G22" s="12" t="s">
        <v>266</v>
      </c>
      <c r="H22" s="12" t="s">
        <v>266</v>
      </c>
      <c r="I22" s="13" t="s">
        <v>266</v>
      </c>
    </row>
    <row r="23" spans="1:9" ht="12">
      <c r="A23" s="32">
        <v>0</v>
      </c>
      <c r="B23" s="13" t="s">
        <v>563</v>
      </c>
      <c r="C23" s="13" t="s">
        <v>563</v>
      </c>
      <c r="D23" s="12" t="s">
        <v>266</v>
      </c>
      <c r="E23" s="12" t="s">
        <v>1391</v>
      </c>
      <c r="F23" s="12" t="s">
        <v>266</v>
      </c>
      <c r="G23" s="12" t="s">
        <v>266</v>
      </c>
      <c r="H23" s="12" t="s">
        <v>266</v>
      </c>
      <c r="I23" s="13" t="s">
        <v>266</v>
      </c>
    </row>
    <row r="24" spans="1:9" s="14" customFormat="1" ht="12">
      <c r="A24" s="31" t="s">
        <v>573</v>
      </c>
      <c r="B24" s="13" t="s">
        <v>1415</v>
      </c>
      <c r="C24" s="12" t="s">
        <v>1416</v>
      </c>
      <c r="D24" s="12" t="s">
        <v>1417</v>
      </c>
      <c r="E24" s="12" t="s">
        <v>266</v>
      </c>
      <c r="F24" s="12" t="s">
        <v>1418</v>
      </c>
      <c r="G24" s="12" t="s">
        <v>1419</v>
      </c>
      <c r="H24" s="12" t="s">
        <v>1420</v>
      </c>
      <c r="I24" s="13" t="s">
        <v>266</v>
      </c>
    </row>
    <row r="25" spans="1:9" s="14" customFormat="1" ht="12">
      <c r="A25" s="31" t="s">
        <v>580</v>
      </c>
      <c r="B25" s="13" t="s">
        <v>1421</v>
      </c>
      <c r="C25" s="12" t="s">
        <v>1422</v>
      </c>
      <c r="D25" s="12" t="s">
        <v>1423</v>
      </c>
      <c r="E25" s="12" t="s">
        <v>1424</v>
      </c>
      <c r="F25" s="12" t="s">
        <v>1425</v>
      </c>
      <c r="G25" s="12" t="s">
        <v>1426</v>
      </c>
      <c r="H25" s="12" t="s">
        <v>1427</v>
      </c>
      <c r="I25" s="13" t="s">
        <v>266</v>
      </c>
    </row>
    <row r="26" spans="1:9" ht="12">
      <c r="A26" s="33" t="s">
        <v>587</v>
      </c>
      <c r="B26" s="13" t="s">
        <v>1355</v>
      </c>
      <c r="C26" s="12" t="s">
        <v>1362</v>
      </c>
      <c r="D26" s="13" t="s">
        <v>588</v>
      </c>
      <c r="E26" s="13" t="s">
        <v>665</v>
      </c>
      <c r="F26" s="13" t="s">
        <v>588</v>
      </c>
      <c r="G26" s="13" t="s">
        <v>665</v>
      </c>
      <c r="H26" s="12" t="s">
        <v>266</v>
      </c>
      <c r="I26" s="13" t="s">
        <v>266</v>
      </c>
    </row>
    <row r="27" spans="1:9" ht="12">
      <c r="A27" s="33" t="s">
        <v>589</v>
      </c>
      <c r="B27" s="12" t="s">
        <v>1358</v>
      </c>
      <c r="C27" s="12" t="s">
        <v>266</v>
      </c>
      <c r="D27" s="12" t="s">
        <v>266</v>
      </c>
      <c r="E27" s="12" t="s">
        <v>266</v>
      </c>
      <c r="F27" s="12" t="s">
        <v>266</v>
      </c>
      <c r="G27" s="12" t="s">
        <v>266</v>
      </c>
      <c r="H27" s="12" t="s">
        <v>266</v>
      </c>
      <c r="I27" s="13" t="s">
        <v>266</v>
      </c>
    </row>
    <row r="28" spans="1:9" ht="12">
      <c r="A28" s="33" t="s">
        <v>592</v>
      </c>
      <c r="B28" s="13" t="s">
        <v>1359</v>
      </c>
      <c r="C28" s="12" t="s">
        <v>1363</v>
      </c>
      <c r="D28" s="12" t="s">
        <v>1369</v>
      </c>
      <c r="E28" s="12" t="s">
        <v>266</v>
      </c>
      <c r="F28" s="12" t="s">
        <v>1363</v>
      </c>
      <c r="G28" s="12" t="s">
        <v>266</v>
      </c>
      <c r="H28" s="12" t="s">
        <v>266</v>
      </c>
      <c r="I28" s="13" t="s">
        <v>266</v>
      </c>
    </row>
    <row r="29" spans="1:9" ht="12">
      <c r="A29" s="33" t="s">
        <v>596</v>
      </c>
      <c r="B29" s="13" t="s">
        <v>1357</v>
      </c>
      <c r="C29" s="12" t="s">
        <v>266</v>
      </c>
      <c r="D29" s="12" t="s">
        <v>1368</v>
      </c>
      <c r="E29" s="12" t="s">
        <v>266</v>
      </c>
      <c r="F29" s="12" t="s">
        <v>266</v>
      </c>
      <c r="G29" s="12" t="s">
        <v>266</v>
      </c>
      <c r="H29" s="12" t="s">
        <v>266</v>
      </c>
      <c r="I29" s="13" t="s">
        <v>266</v>
      </c>
    </row>
    <row r="30" spans="1:9" ht="12">
      <c r="A30" s="33" t="s">
        <v>669</v>
      </c>
      <c r="B30" s="12" t="s">
        <v>266</v>
      </c>
      <c r="C30" s="12" t="s">
        <v>266</v>
      </c>
      <c r="D30" s="12" t="s">
        <v>266</v>
      </c>
      <c r="E30" s="12" t="s">
        <v>266</v>
      </c>
      <c r="F30" s="12" t="s">
        <v>266</v>
      </c>
      <c r="G30" s="12" t="s">
        <v>266</v>
      </c>
      <c r="H30" s="12" t="s">
        <v>266</v>
      </c>
      <c r="I30" s="13" t="s">
        <v>266</v>
      </c>
    </row>
    <row r="31" spans="1:9" ht="12">
      <c r="A31" s="33" t="s">
        <v>1428</v>
      </c>
      <c r="B31" s="13" t="s">
        <v>1429</v>
      </c>
      <c r="C31" s="12" t="s">
        <v>1430</v>
      </c>
      <c r="D31" s="12" t="s">
        <v>1431</v>
      </c>
      <c r="E31" s="12" t="s">
        <v>1432</v>
      </c>
      <c r="F31" s="12" t="s">
        <v>1433</v>
      </c>
      <c r="G31" s="12" t="s">
        <v>266</v>
      </c>
      <c r="H31" s="12" t="s">
        <v>1434</v>
      </c>
      <c r="I31" s="13" t="s">
        <v>266</v>
      </c>
    </row>
    <row r="32" spans="1:9" ht="12">
      <c r="A32" s="33" t="s">
        <v>1435</v>
      </c>
      <c r="B32" s="13" t="s">
        <v>1417</v>
      </c>
      <c r="C32" s="12" t="s">
        <v>1436</v>
      </c>
      <c r="D32" s="12" t="s">
        <v>1437</v>
      </c>
      <c r="E32" s="12" t="s">
        <v>1438</v>
      </c>
      <c r="F32" s="12" t="s">
        <v>1439</v>
      </c>
      <c r="G32" s="12" t="s">
        <v>266</v>
      </c>
      <c r="H32" s="12" t="s">
        <v>1440</v>
      </c>
      <c r="I32" s="13" t="s">
        <v>266</v>
      </c>
    </row>
    <row r="33" spans="1:9" ht="12">
      <c r="A33" s="33" t="s">
        <v>601</v>
      </c>
      <c r="B33" s="13" t="s">
        <v>602</v>
      </c>
      <c r="C33" s="12" t="s">
        <v>266</v>
      </c>
      <c r="D33" s="12" t="s">
        <v>1367</v>
      </c>
      <c r="E33" s="12" t="s">
        <v>1390</v>
      </c>
      <c r="F33" s="12" t="s">
        <v>266</v>
      </c>
      <c r="G33" s="12" t="s">
        <v>266</v>
      </c>
      <c r="H33" s="12" t="s">
        <v>266</v>
      </c>
      <c r="I33" s="13" t="s">
        <v>266</v>
      </c>
    </row>
    <row r="34" spans="1:9" ht="12">
      <c r="A34" s="34" t="s">
        <v>915</v>
      </c>
      <c r="B34" s="13" t="s">
        <v>563</v>
      </c>
      <c r="C34" s="13" t="s">
        <v>563</v>
      </c>
      <c r="D34" s="12" t="s">
        <v>1377</v>
      </c>
      <c r="E34" s="12" t="s">
        <v>266</v>
      </c>
      <c r="F34" s="12" t="s">
        <v>266</v>
      </c>
      <c r="G34" s="12" t="s">
        <v>266</v>
      </c>
      <c r="H34" s="12" t="s">
        <v>266</v>
      </c>
      <c r="I34" s="13" t="s">
        <v>266</v>
      </c>
    </row>
    <row r="35" spans="1:9" ht="12">
      <c r="A35" s="33" t="s">
        <v>917</v>
      </c>
      <c r="B35" s="13" t="s">
        <v>563</v>
      </c>
      <c r="C35" s="13" t="s">
        <v>563</v>
      </c>
      <c r="D35" s="12" t="s">
        <v>1378</v>
      </c>
      <c r="E35" s="12" t="s">
        <v>266</v>
      </c>
      <c r="F35" s="12" t="s">
        <v>266</v>
      </c>
      <c r="G35" s="12" t="s">
        <v>266</v>
      </c>
      <c r="H35" s="12" t="s">
        <v>266</v>
      </c>
      <c r="I35" s="13" t="s">
        <v>266</v>
      </c>
    </row>
    <row r="36" spans="1:9" ht="12">
      <c r="A36" s="33" t="s">
        <v>919</v>
      </c>
      <c r="B36" s="13" t="s">
        <v>563</v>
      </c>
      <c r="C36" s="13" t="s">
        <v>563</v>
      </c>
      <c r="D36" s="12" t="s">
        <v>1379</v>
      </c>
      <c r="E36" s="12" t="s">
        <v>266</v>
      </c>
      <c r="F36" s="12" t="s">
        <v>266</v>
      </c>
      <c r="G36" s="12" t="s">
        <v>266</v>
      </c>
      <c r="H36" s="12" t="s">
        <v>266</v>
      </c>
      <c r="I36" s="13" t="s">
        <v>266</v>
      </c>
    </row>
    <row r="37" spans="1:9" ht="12">
      <c r="A37" s="34" t="s">
        <v>921</v>
      </c>
      <c r="B37" s="13" t="s">
        <v>563</v>
      </c>
      <c r="C37" s="13" t="s">
        <v>563</v>
      </c>
      <c r="D37" s="12" t="s">
        <v>1380</v>
      </c>
      <c r="E37" s="12" t="s">
        <v>266</v>
      </c>
      <c r="F37" s="12" t="s">
        <v>266</v>
      </c>
      <c r="G37" s="12" t="s">
        <v>266</v>
      </c>
      <c r="H37" s="12" t="s">
        <v>266</v>
      </c>
      <c r="I37" s="13" t="s">
        <v>266</v>
      </c>
    </row>
    <row r="38" spans="1:9" ht="12">
      <c r="A38" s="33" t="s">
        <v>938</v>
      </c>
      <c r="B38" s="13" t="s">
        <v>563</v>
      </c>
      <c r="C38" s="13" t="s">
        <v>563</v>
      </c>
      <c r="D38" s="12" t="s">
        <v>1381</v>
      </c>
      <c r="E38" s="12" t="s">
        <v>266</v>
      </c>
      <c r="F38" s="12" t="s">
        <v>266</v>
      </c>
      <c r="G38" s="12" t="s">
        <v>266</v>
      </c>
      <c r="H38" s="12" t="s">
        <v>266</v>
      </c>
      <c r="I38" s="13" t="s">
        <v>266</v>
      </c>
    </row>
    <row r="39" spans="1:9" ht="12">
      <c r="A39" s="33" t="s">
        <v>926</v>
      </c>
      <c r="B39" s="13" t="s">
        <v>563</v>
      </c>
      <c r="C39" s="13" t="s">
        <v>563</v>
      </c>
      <c r="D39" s="12" t="s">
        <v>266</v>
      </c>
      <c r="E39" s="12" t="s">
        <v>1399</v>
      </c>
      <c r="F39" s="12" t="s">
        <v>266</v>
      </c>
      <c r="G39" s="12" t="s">
        <v>266</v>
      </c>
      <c r="H39" s="12" t="s">
        <v>266</v>
      </c>
      <c r="I39" s="13" t="s">
        <v>266</v>
      </c>
    </row>
    <row r="40" spans="1:9" ht="12">
      <c r="A40" s="33" t="s">
        <v>928</v>
      </c>
      <c r="B40" s="13" t="s">
        <v>563</v>
      </c>
      <c r="C40" s="13" t="s">
        <v>563</v>
      </c>
      <c r="D40" s="12" t="s">
        <v>1382</v>
      </c>
      <c r="E40" s="12" t="s">
        <v>1400</v>
      </c>
      <c r="F40" s="12" t="s">
        <v>266</v>
      </c>
      <c r="G40" s="12" t="s">
        <v>266</v>
      </c>
      <c r="H40" s="12" t="s">
        <v>266</v>
      </c>
      <c r="I40" s="13" t="s">
        <v>266</v>
      </c>
    </row>
    <row r="41" spans="1:9" ht="12">
      <c r="A41" s="33" t="s">
        <v>939</v>
      </c>
      <c r="B41" s="13" t="s">
        <v>563</v>
      </c>
      <c r="C41" s="13" t="s">
        <v>563</v>
      </c>
      <c r="D41" s="12" t="s">
        <v>266</v>
      </c>
      <c r="E41" s="12" t="s">
        <v>266</v>
      </c>
      <c r="F41" s="12" t="s">
        <v>266</v>
      </c>
      <c r="G41" s="12" t="s">
        <v>266</v>
      </c>
      <c r="H41" s="12" t="s">
        <v>266</v>
      </c>
      <c r="I41" s="13" t="s">
        <v>266</v>
      </c>
    </row>
    <row r="42" spans="1:9" ht="12">
      <c r="A42" s="33" t="s">
        <v>934</v>
      </c>
      <c r="B42" s="13" t="s">
        <v>563</v>
      </c>
      <c r="C42" s="13" t="s">
        <v>563</v>
      </c>
      <c r="D42" s="12" t="s">
        <v>1370</v>
      </c>
      <c r="E42" s="12" t="s">
        <v>266</v>
      </c>
      <c r="F42" s="12" t="s">
        <v>266</v>
      </c>
      <c r="G42" s="12" t="s">
        <v>266</v>
      </c>
      <c r="H42" s="12" t="s">
        <v>266</v>
      </c>
      <c r="I42" s="13" t="s">
        <v>266</v>
      </c>
    </row>
    <row r="43" spans="1:9" ht="12">
      <c r="A43" s="33" t="s">
        <v>936</v>
      </c>
      <c r="B43" s="13" t="s">
        <v>563</v>
      </c>
      <c r="C43" s="13" t="s">
        <v>563</v>
      </c>
      <c r="D43" s="12" t="s">
        <v>780</v>
      </c>
      <c r="E43" s="12" t="s">
        <v>266</v>
      </c>
      <c r="F43" s="12" t="s">
        <v>266</v>
      </c>
      <c r="G43" s="12" t="s">
        <v>266</v>
      </c>
      <c r="H43" s="12" t="s">
        <v>266</v>
      </c>
      <c r="I43" s="13" t="s">
        <v>266</v>
      </c>
    </row>
    <row r="44" spans="1:9" ht="12">
      <c r="A44" s="33" t="s">
        <v>667</v>
      </c>
      <c r="B44" s="12" t="s">
        <v>1356</v>
      </c>
      <c r="C44" s="12" t="s">
        <v>266</v>
      </c>
      <c r="D44" s="12" t="s">
        <v>266</v>
      </c>
      <c r="E44" s="12" t="s">
        <v>266</v>
      </c>
      <c r="F44" s="12" t="s">
        <v>266</v>
      </c>
      <c r="G44" s="12" t="s">
        <v>266</v>
      </c>
      <c r="H44" s="12" t="s">
        <v>266</v>
      </c>
      <c r="I44" s="13" t="s">
        <v>266</v>
      </c>
    </row>
    <row r="45" spans="1:9" ht="12">
      <c r="A45" s="33" t="s">
        <v>607</v>
      </c>
      <c r="B45" s="13" t="s">
        <v>608</v>
      </c>
      <c r="C45" s="12" t="s">
        <v>266</v>
      </c>
      <c r="D45" s="12" t="s">
        <v>266</v>
      </c>
      <c r="E45" s="12" t="s">
        <v>266</v>
      </c>
      <c r="F45" s="12" t="s">
        <v>266</v>
      </c>
      <c r="G45" s="12" t="s">
        <v>266</v>
      </c>
      <c r="H45" s="12" t="s">
        <v>266</v>
      </c>
      <c r="I45" s="13" t="s">
        <v>266</v>
      </c>
    </row>
    <row r="46" spans="1:9" ht="12">
      <c r="A46" s="33" t="s">
        <v>609</v>
      </c>
      <c r="B46" s="12" t="s">
        <v>266</v>
      </c>
      <c r="C46" s="12" t="s">
        <v>266</v>
      </c>
      <c r="D46" s="12" t="s">
        <v>266</v>
      </c>
      <c r="E46" s="12" t="s">
        <v>266</v>
      </c>
      <c r="F46" s="12" t="s">
        <v>266</v>
      </c>
      <c r="G46" s="12" t="s">
        <v>266</v>
      </c>
      <c r="H46" s="12" t="s">
        <v>266</v>
      </c>
      <c r="I46" s="13" t="s">
        <v>266</v>
      </c>
    </row>
    <row r="47" spans="1:9" ht="12">
      <c r="A47" s="33" t="s">
        <v>610</v>
      </c>
      <c r="B47" s="12" t="s">
        <v>266</v>
      </c>
      <c r="C47" s="12" t="s">
        <v>266</v>
      </c>
      <c r="D47" s="12" t="s">
        <v>266</v>
      </c>
      <c r="E47" s="12" t="s">
        <v>266</v>
      </c>
      <c r="F47" s="12" t="s">
        <v>266</v>
      </c>
      <c r="G47" s="12" t="s">
        <v>266</v>
      </c>
      <c r="H47" s="12" t="s">
        <v>266</v>
      </c>
      <c r="I47" s="13" t="s">
        <v>266</v>
      </c>
    </row>
    <row r="48" spans="1:9" ht="12">
      <c r="A48" s="33" t="s">
        <v>611</v>
      </c>
      <c r="B48" s="12" t="s">
        <v>266</v>
      </c>
      <c r="C48" s="12" t="s">
        <v>266</v>
      </c>
      <c r="D48" s="12" t="s">
        <v>266</v>
      </c>
      <c r="E48" s="12" t="s">
        <v>266</v>
      </c>
      <c r="F48" s="12" t="s">
        <v>266</v>
      </c>
      <c r="G48" s="12" t="s">
        <v>266</v>
      </c>
      <c r="H48" s="12" t="s">
        <v>266</v>
      </c>
      <c r="I48" s="13" t="s">
        <v>266</v>
      </c>
    </row>
    <row r="49" spans="1:9" ht="12">
      <c r="A49" s="33" t="s">
        <v>946</v>
      </c>
      <c r="B49" s="12" t="s">
        <v>266</v>
      </c>
      <c r="C49" s="12" t="s">
        <v>266</v>
      </c>
      <c r="D49" s="12" t="s">
        <v>266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13" t="s">
        <v>266</v>
      </c>
    </row>
    <row r="50" spans="1:9" ht="12">
      <c r="A50" s="33" t="s">
        <v>612</v>
      </c>
      <c r="B50" s="12" t="s">
        <v>266</v>
      </c>
      <c r="C50" s="12" t="s">
        <v>266</v>
      </c>
      <c r="D50" s="12" t="s">
        <v>266</v>
      </c>
      <c r="E50" s="12" t="s">
        <v>266</v>
      </c>
      <c r="F50" s="12" t="s">
        <v>266</v>
      </c>
      <c r="G50" s="12" t="s">
        <v>266</v>
      </c>
      <c r="H50" s="12" t="s">
        <v>266</v>
      </c>
      <c r="I50" s="13" t="s">
        <v>266</v>
      </c>
    </row>
    <row r="51" spans="1:9" ht="12">
      <c r="A51" s="33" t="s">
        <v>613</v>
      </c>
      <c r="B51" s="13" t="s">
        <v>563</v>
      </c>
      <c r="C51" s="13" t="s">
        <v>563</v>
      </c>
      <c r="D51" s="12" t="s">
        <v>729</v>
      </c>
      <c r="E51" s="12" t="s">
        <v>1392</v>
      </c>
      <c r="F51" s="12" t="s">
        <v>266</v>
      </c>
      <c r="G51" s="12" t="s">
        <v>266</v>
      </c>
      <c r="H51" s="12" t="s">
        <v>266</v>
      </c>
      <c r="I51" s="13" t="s">
        <v>266</v>
      </c>
    </row>
    <row r="52" spans="1:9" ht="12">
      <c r="A52" s="33" t="s">
        <v>615</v>
      </c>
      <c r="B52" s="13" t="s">
        <v>563</v>
      </c>
      <c r="C52" s="13" t="s">
        <v>563</v>
      </c>
      <c r="D52" s="12" t="s">
        <v>1338</v>
      </c>
      <c r="E52" s="12" t="s">
        <v>266</v>
      </c>
      <c r="F52" s="12" t="s">
        <v>266</v>
      </c>
      <c r="G52" s="12" t="s">
        <v>266</v>
      </c>
      <c r="H52" s="12" t="s">
        <v>266</v>
      </c>
      <c r="I52" s="13" t="s">
        <v>266</v>
      </c>
    </row>
    <row r="53" spans="1:9" ht="12">
      <c r="A53" s="33" t="s">
        <v>616</v>
      </c>
      <c r="B53" s="13" t="s">
        <v>563</v>
      </c>
      <c r="C53" s="13" t="s">
        <v>563</v>
      </c>
      <c r="D53" s="12" t="s">
        <v>617</v>
      </c>
      <c r="E53" s="12" t="s">
        <v>266</v>
      </c>
      <c r="F53" s="12" t="s">
        <v>1384</v>
      </c>
      <c r="G53" s="12" t="s">
        <v>266</v>
      </c>
      <c r="H53" s="12" t="s">
        <v>266</v>
      </c>
      <c r="I53" s="13" t="s">
        <v>266</v>
      </c>
    </row>
    <row r="54" spans="1:9" ht="12">
      <c r="A54" s="33" t="s">
        <v>168</v>
      </c>
      <c r="B54" s="13" t="s">
        <v>563</v>
      </c>
      <c r="C54" s="13" t="s">
        <v>563</v>
      </c>
      <c r="D54" s="12" t="s">
        <v>1339</v>
      </c>
      <c r="E54" s="12" t="s">
        <v>1393</v>
      </c>
      <c r="F54" s="12" t="s">
        <v>1385</v>
      </c>
      <c r="G54" s="12" t="s">
        <v>266</v>
      </c>
      <c r="H54" s="12" t="s">
        <v>266</v>
      </c>
      <c r="I54" s="13" t="s">
        <v>266</v>
      </c>
    </row>
    <row r="55" spans="1:9" ht="12">
      <c r="A55" s="33" t="s">
        <v>115</v>
      </c>
      <c r="B55" s="13" t="s">
        <v>563</v>
      </c>
      <c r="C55" s="13" t="s">
        <v>563</v>
      </c>
      <c r="D55" s="12" t="s">
        <v>1371</v>
      </c>
      <c r="E55" s="12" t="s">
        <v>266</v>
      </c>
      <c r="F55" s="12" t="s">
        <v>266</v>
      </c>
      <c r="G55" s="12" t="s">
        <v>266</v>
      </c>
      <c r="H55" s="12" t="s">
        <v>1401</v>
      </c>
      <c r="I55" s="13" t="s">
        <v>266</v>
      </c>
    </row>
    <row r="56" spans="1:9" ht="12">
      <c r="A56" s="33" t="s">
        <v>49</v>
      </c>
      <c r="B56" s="13" t="s">
        <v>563</v>
      </c>
      <c r="C56" s="13" t="s">
        <v>563</v>
      </c>
      <c r="D56" s="12" t="s">
        <v>618</v>
      </c>
      <c r="E56" s="12" t="s">
        <v>266</v>
      </c>
      <c r="F56" s="12" t="s">
        <v>266</v>
      </c>
      <c r="G56" s="12" t="s">
        <v>266</v>
      </c>
      <c r="H56" s="12" t="s">
        <v>266</v>
      </c>
      <c r="I56" s="13" t="s">
        <v>266</v>
      </c>
    </row>
    <row r="57" spans="1:9" ht="12">
      <c r="A57" s="33" t="s">
        <v>620</v>
      </c>
      <c r="B57" s="13" t="s">
        <v>563</v>
      </c>
      <c r="C57" s="13" t="s">
        <v>563</v>
      </c>
      <c r="D57" s="12" t="s">
        <v>1372</v>
      </c>
      <c r="E57" s="12" t="s">
        <v>266</v>
      </c>
      <c r="F57" s="12" t="s">
        <v>1442</v>
      </c>
      <c r="G57" s="12" t="s">
        <v>266</v>
      </c>
      <c r="H57" s="12" t="s">
        <v>266</v>
      </c>
      <c r="I57" s="13" t="s">
        <v>266</v>
      </c>
    </row>
    <row r="58" spans="1:9" ht="12">
      <c r="A58" s="33" t="s">
        <v>99</v>
      </c>
      <c r="B58" s="13" t="s">
        <v>563</v>
      </c>
      <c r="C58" s="13" t="s">
        <v>563</v>
      </c>
      <c r="D58" s="12" t="s">
        <v>623</v>
      </c>
      <c r="E58" s="12" t="s">
        <v>266</v>
      </c>
      <c r="F58" s="12" t="s">
        <v>266</v>
      </c>
      <c r="G58" s="12" t="s">
        <v>266</v>
      </c>
      <c r="H58" s="12" t="s">
        <v>1402</v>
      </c>
      <c r="I58" s="13" t="s">
        <v>266</v>
      </c>
    </row>
    <row r="59" spans="1:9" ht="12">
      <c r="A59" s="33" t="s">
        <v>119</v>
      </c>
      <c r="B59" s="13" t="s">
        <v>563</v>
      </c>
      <c r="C59" s="13" t="s">
        <v>563</v>
      </c>
      <c r="D59" s="12" t="s">
        <v>1373</v>
      </c>
      <c r="E59" s="12" t="s">
        <v>266</v>
      </c>
      <c r="F59" s="12" t="s">
        <v>266</v>
      </c>
      <c r="G59" s="12" t="s">
        <v>266</v>
      </c>
      <c r="H59" s="12" t="s">
        <v>266</v>
      </c>
      <c r="I59" s="13" t="s">
        <v>266</v>
      </c>
    </row>
    <row r="60" spans="1:9" ht="12">
      <c r="A60" s="33" t="s">
        <v>625</v>
      </c>
      <c r="B60" s="13" t="s">
        <v>563</v>
      </c>
      <c r="C60" s="13" t="s">
        <v>563</v>
      </c>
      <c r="D60" s="12" t="s">
        <v>1374</v>
      </c>
      <c r="E60" s="12" t="s">
        <v>266</v>
      </c>
      <c r="F60" s="12" t="s">
        <v>266</v>
      </c>
      <c r="G60" s="12" t="s">
        <v>266</v>
      </c>
      <c r="H60" s="12" t="s">
        <v>266</v>
      </c>
      <c r="I60" s="13" t="s">
        <v>266</v>
      </c>
    </row>
    <row r="61" spans="1:9" ht="12">
      <c r="A61" s="33" t="s">
        <v>626</v>
      </c>
      <c r="B61" s="13" t="s">
        <v>563</v>
      </c>
      <c r="C61" s="13" t="s">
        <v>563</v>
      </c>
      <c r="D61" s="12" t="s">
        <v>1375</v>
      </c>
      <c r="E61" s="12" t="s">
        <v>266</v>
      </c>
      <c r="F61" s="12" t="s">
        <v>1369</v>
      </c>
      <c r="G61" s="12" t="s">
        <v>266</v>
      </c>
      <c r="H61" s="12" t="s">
        <v>266</v>
      </c>
      <c r="I61" s="13" t="s">
        <v>266</v>
      </c>
    </row>
    <row r="62" spans="1:9" ht="12">
      <c r="A62" s="33" t="s">
        <v>121</v>
      </c>
      <c r="B62" s="13" t="s">
        <v>563</v>
      </c>
      <c r="C62" s="13" t="s">
        <v>563</v>
      </c>
      <c r="D62" s="12" t="s">
        <v>1340</v>
      </c>
      <c r="E62" s="12" t="s">
        <v>1394</v>
      </c>
      <c r="F62" s="12" t="s">
        <v>266</v>
      </c>
      <c r="G62" s="12" t="s">
        <v>266</v>
      </c>
      <c r="H62" s="12" t="s">
        <v>1403</v>
      </c>
      <c r="I62" s="13" t="s">
        <v>266</v>
      </c>
    </row>
    <row r="63" spans="1:9" ht="12">
      <c r="A63" s="33" t="s">
        <v>629</v>
      </c>
      <c r="B63" s="13" t="s">
        <v>563</v>
      </c>
      <c r="C63" s="13" t="s">
        <v>563</v>
      </c>
      <c r="D63" s="12" t="s">
        <v>1341</v>
      </c>
      <c r="E63" s="12" t="s">
        <v>1395</v>
      </c>
      <c r="F63" s="12" t="s">
        <v>1386</v>
      </c>
      <c r="G63" s="12" t="s">
        <v>266</v>
      </c>
      <c r="H63" s="12" t="s">
        <v>266</v>
      </c>
      <c r="I63" s="13" t="s">
        <v>266</v>
      </c>
    </row>
    <row r="64" spans="1:9" s="15" customFormat="1" ht="12">
      <c r="A64" s="33" t="s">
        <v>50</v>
      </c>
      <c r="B64" s="13" t="s">
        <v>563</v>
      </c>
      <c r="C64" s="13" t="s">
        <v>563</v>
      </c>
      <c r="D64" s="12" t="s">
        <v>631</v>
      </c>
      <c r="E64" s="12" t="s">
        <v>1396</v>
      </c>
      <c r="F64" s="12" t="s">
        <v>266</v>
      </c>
      <c r="G64" s="12" t="s">
        <v>266</v>
      </c>
      <c r="H64" s="12" t="s">
        <v>266</v>
      </c>
      <c r="I64" s="13" t="s">
        <v>266</v>
      </c>
    </row>
    <row r="65" spans="1:9" s="15" customFormat="1" ht="12">
      <c r="A65" s="33" t="s">
        <v>124</v>
      </c>
      <c r="B65" s="13" t="s">
        <v>563</v>
      </c>
      <c r="C65" s="13" t="s">
        <v>563</v>
      </c>
      <c r="D65" s="12" t="s">
        <v>633</v>
      </c>
      <c r="E65" s="12" t="s">
        <v>266</v>
      </c>
      <c r="F65" s="12" t="s">
        <v>266</v>
      </c>
      <c r="G65" s="12" t="s">
        <v>266</v>
      </c>
      <c r="H65" s="12" t="s">
        <v>266</v>
      </c>
      <c r="I65" s="13" t="s">
        <v>266</v>
      </c>
    </row>
    <row r="66" spans="1:9" ht="12">
      <c r="A66" s="33" t="s">
        <v>51</v>
      </c>
      <c r="B66" s="13" t="s">
        <v>563</v>
      </c>
      <c r="C66" s="13" t="s">
        <v>563</v>
      </c>
      <c r="D66" s="12" t="s">
        <v>634</v>
      </c>
      <c r="E66" s="12" t="s">
        <v>1397</v>
      </c>
      <c r="F66" s="12" t="s">
        <v>1387</v>
      </c>
      <c r="G66" s="12" t="s">
        <v>266</v>
      </c>
      <c r="H66" s="12" t="s">
        <v>1404</v>
      </c>
      <c r="I66" s="13" t="s">
        <v>266</v>
      </c>
    </row>
    <row r="67" spans="1:9" ht="12">
      <c r="A67" s="33" t="s">
        <v>636</v>
      </c>
      <c r="B67" s="13" t="s">
        <v>563</v>
      </c>
      <c r="C67" s="13" t="s">
        <v>563</v>
      </c>
      <c r="D67" s="12" t="s">
        <v>1342</v>
      </c>
      <c r="E67" s="12" t="s">
        <v>266</v>
      </c>
      <c r="F67" s="12" t="s">
        <v>266</v>
      </c>
      <c r="G67" s="12" t="s">
        <v>266</v>
      </c>
      <c r="H67" s="12" t="s">
        <v>266</v>
      </c>
      <c r="I67" s="13" t="s">
        <v>266</v>
      </c>
    </row>
    <row r="68" spans="1:9" ht="12">
      <c r="A68" s="33" t="s">
        <v>48</v>
      </c>
      <c r="B68" s="13" t="s">
        <v>563</v>
      </c>
      <c r="C68" s="13" t="s">
        <v>563</v>
      </c>
      <c r="D68" s="12" t="s">
        <v>266</v>
      </c>
      <c r="E68" s="12" t="s">
        <v>1398</v>
      </c>
      <c r="F68" s="12" t="s">
        <v>266</v>
      </c>
      <c r="G68" s="12" t="s">
        <v>266</v>
      </c>
      <c r="H68" s="12" t="s">
        <v>266</v>
      </c>
      <c r="I68" s="13" t="s">
        <v>266</v>
      </c>
    </row>
    <row r="69" spans="1:9" ht="12">
      <c r="A69" s="33" t="s">
        <v>638</v>
      </c>
      <c r="B69" s="13" t="s">
        <v>563</v>
      </c>
      <c r="C69" s="13" t="s">
        <v>563</v>
      </c>
      <c r="D69" s="12" t="s">
        <v>639</v>
      </c>
      <c r="E69" s="12" t="s">
        <v>266</v>
      </c>
      <c r="F69" s="12" t="s">
        <v>1388</v>
      </c>
      <c r="G69" s="12" t="s">
        <v>266</v>
      </c>
      <c r="H69" s="12" t="s">
        <v>1405</v>
      </c>
      <c r="I69" s="13" t="s">
        <v>266</v>
      </c>
    </row>
    <row r="70" spans="1:9" ht="12">
      <c r="A70" s="33" t="s">
        <v>640</v>
      </c>
      <c r="B70" s="13" t="s">
        <v>563</v>
      </c>
      <c r="C70" s="13" t="s">
        <v>563</v>
      </c>
      <c r="D70" s="12" t="s">
        <v>266</v>
      </c>
      <c r="E70" s="12" t="s">
        <v>266</v>
      </c>
      <c r="F70" s="12" t="s">
        <v>266</v>
      </c>
      <c r="G70" s="12" t="s">
        <v>266</v>
      </c>
      <c r="H70" s="12" t="s">
        <v>1406</v>
      </c>
      <c r="I70" s="13" t="s">
        <v>266</v>
      </c>
    </row>
    <row r="71" spans="1:9" ht="12">
      <c r="A71" s="33" t="s">
        <v>641</v>
      </c>
      <c r="B71" s="13" t="s">
        <v>563</v>
      </c>
      <c r="C71" s="13" t="s">
        <v>563</v>
      </c>
      <c r="D71" s="12" t="s">
        <v>1376</v>
      </c>
      <c r="E71" s="12" t="s">
        <v>266</v>
      </c>
      <c r="F71" s="12" t="s">
        <v>1368</v>
      </c>
      <c r="G71" s="12" t="s">
        <v>266</v>
      </c>
      <c r="H71" s="12" t="s">
        <v>1407</v>
      </c>
      <c r="I71" s="13" t="s">
        <v>266</v>
      </c>
    </row>
    <row r="72" spans="1:9" ht="12">
      <c r="A72" s="33" t="s">
        <v>642</v>
      </c>
      <c r="B72" s="13" t="s">
        <v>563</v>
      </c>
      <c r="C72" s="13" t="s">
        <v>563</v>
      </c>
      <c r="D72" s="12" t="s">
        <v>643</v>
      </c>
      <c r="E72" s="12" t="s">
        <v>266</v>
      </c>
      <c r="F72" s="12" t="s">
        <v>266</v>
      </c>
      <c r="G72" s="12" t="s">
        <v>266</v>
      </c>
      <c r="H72" s="12" t="s">
        <v>266</v>
      </c>
      <c r="I72" s="13" t="s">
        <v>266</v>
      </c>
    </row>
    <row r="73" spans="1:9" ht="12">
      <c r="A73" s="33" t="s">
        <v>128</v>
      </c>
      <c r="B73" s="13" t="s">
        <v>563</v>
      </c>
      <c r="C73" s="13" t="s">
        <v>563</v>
      </c>
      <c r="D73" s="12" t="s">
        <v>1443</v>
      </c>
      <c r="E73" s="12" t="s">
        <v>266</v>
      </c>
      <c r="F73" s="12" t="s">
        <v>266</v>
      </c>
      <c r="G73" s="12" t="s">
        <v>266</v>
      </c>
      <c r="H73" s="12" t="s">
        <v>1408</v>
      </c>
      <c r="I73" s="13" t="s">
        <v>266</v>
      </c>
    </row>
    <row r="74" spans="1:9" ht="12">
      <c r="A74" s="33" t="s">
        <v>645</v>
      </c>
      <c r="B74" s="13" t="s">
        <v>563</v>
      </c>
      <c r="C74" s="13" t="s">
        <v>563</v>
      </c>
      <c r="D74" s="12" t="s">
        <v>810</v>
      </c>
      <c r="E74" s="12" t="s">
        <v>266</v>
      </c>
      <c r="F74" s="12" t="s">
        <v>266</v>
      </c>
      <c r="G74" s="12" t="s">
        <v>266</v>
      </c>
      <c r="H74" s="12" t="s">
        <v>1409</v>
      </c>
      <c r="I74" s="13" t="s">
        <v>266</v>
      </c>
    </row>
    <row r="75" spans="1:9" ht="12">
      <c r="A75" s="33" t="s">
        <v>648</v>
      </c>
      <c r="B75" s="13" t="s">
        <v>563</v>
      </c>
      <c r="C75" s="13" t="s">
        <v>563</v>
      </c>
      <c r="D75" s="12" t="s">
        <v>651</v>
      </c>
      <c r="E75" s="12" t="s">
        <v>266</v>
      </c>
      <c r="F75" s="12" t="s">
        <v>266</v>
      </c>
      <c r="G75" s="12" t="s">
        <v>266</v>
      </c>
      <c r="H75" s="12" t="s">
        <v>266</v>
      </c>
      <c r="I75" s="13" t="s">
        <v>266</v>
      </c>
    </row>
    <row r="76" spans="1:9" ht="12">
      <c r="A76" s="33" t="s">
        <v>650</v>
      </c>
      <c r="B76" s="13" t="s">
        <v>563</v>
      </c>
      <c r="C76" s="13" t="s">
        <v>563</v>
      </c>
      <c r="D76" s="12" t="s">
        <v>780</v>
      </c>
      <c r="E76" s="12" t="s">
        <v>266</v>
      </c>
      <c r="F76" s="12" t="s">
        <v>266</v>
      </c>
      <c r="G76" s="12" t="s">
        <v>266</v>
      </c>
      <c r="H76" s="12" t="s">
        <v>266</v>
      </c>
      <c r="I76" s="13" t="s">
        <v>266</v>
      </c>
    </row>
    <row r="77" spans="1:9" ht="12">
      <c r="A77" s="33" t="s">
        <v>668</v>
      </c>
      <c r="B77" s="12" t="s">
        <v>1360</v>
      </c>
      <c r="C77" s="12" t="s">
        <v>1364</v>
      </c>
      <c r="D77" s="12" t="s">
        <v>1370</v>
      </c>
      <c r="E77" s="12" t="s">
        <v>266</v>
      </c>
      <c r="F77" s="12" t="s">
        <v>266</v>
      </c>
      <c r="G77" s="12" t="s">
        <v>266</v>
      </c>
      <c r="H77" s="12" t="s">
        <v>266</v>
      </c>
      <c r="I77" s="13" t="s">
        <v>266</v>
      </c>
    </row>
    <row r="78" spans="1:9" ht="12">
      <c r="A78" s="33" t="s">
        <v>947</v>
      </c>
      <c r="B78" s="12" t="s">
        <v>266</v>
      </c>
      <c r="C78" s="12" t="s">
        <v>266</v>
      </c>
      <c r="D78" s="12" t="s">
        <v>266</v>
      </c>
      <c r="E78" s="12" t="s">
        <v>266</v>
      </c>
      <c r="F78" s="12" t="s">
        <v>266</v>
      </c>
      <c r="G78" s="12" t="s">
        <v>266</v>
      </c>
      <c r="H78" s="12" t="s">
        <v>266</v>
      </c>
      <c r="I78" s="13" t="s">
        <v>266</v>
      </c>
    </row>
    <row r="79" spans="1:9" ht="12">
      <c r="A79" s="33" t="s">
        <v>948</v>
      </c>
      <c r="B79" s="12" t="s">
        <v>1343</v>
      </c>
      <c r="C79" s="12" t="s">
        <v>1343</v>
      </c>
      <c r="D79" s="12" t="s">
        <v>1343</v>
      </c>
      <c r="E79" s="12" t="s">
        <v>1343</v>
      </c>
      <c r="F79" s="12" t="s">
        <v>1343</v>
      </c>
      <c r="G79" s="12" t="s">
        <v>1343</v>
      </c>
      <c r="H79" s="12" t="s">
        <v>1343</v>
      </c>
      <c r="I79" s="13" t="s">
        <v>266</v>
      </c>
    </row>
    <row r="80" spans="1:9" ht="12">
      <c r="A80" s="33" t="s">
        <v>950</v>
      </c>
      <c r="B80" s="12" t="s">
        <v>1346</v>
      </c>
      <c r="C80" s="12" t="s">
        <v>1346</v>
      </c>
      <c r="D80" s="12" t="s">
        <v>1346</v>
      </c>
      <c r="E80" s="12" t="s">
        <v>1346</v>
      </c>
      <c r="F80" s="12" t="s">
        <v>1346</v>
      </c>
      <c r="G80" s="12" t="s">
        <v>1346</v>
      </c>
      <c r="H80" s="12" t="s">
        <v>1346</v>
      </c>
      <c r="I80" s="13" t="s">
        <v>266</v>
      </c>
    </row>
    <row r="81" spans="1:9" ht="12">
      <c r="A81" s="33" t="s">
        <v>1414</v>
      </c>
      <c r="B81" s="12" t="s">
        <v>1344</v>
      </c>
      <c r="C81" s="12" t="s">
        <v>1344</v>
      </c>
      <c r="D81" s="12" t="s">
        <v>1344</v>
      </c>
      <c r="E81" s="12" t="s">
        <v>266</v>
      </c>
      <c r="F81" s="12" t="s">
        <v>1344</v>
      </c>
      <c r="G81" s="12" t="s">
        <v>266</v>
      </c>
      <c r="H81" s="12" t="s">
        <v>266</v>
      </c>
      <c r="I81" s="13" t="s">
        <v>266</v>
      </c>
    </row>
    <row r="82" spans="1:9" ht="12">
      <c r="A82" s="33" t="s">
        <v>949</v>
      </c>
      <c r="B82" s="12" t="s">
        <v>670</v>
      </c>
      <c r="C82" s="12" t="s">
        <v>266</v>
      </c>
      <c r="D82" s="12" t="s">
        <v>266</v>
      </c>
      <c r="E82" s="12" t="s">
        <v>266</v>
      </c>
      <c r="F82" s="12" t="s">
        <v>266</v>
      </c>
      <c r="G82" s="12" t="s">
        <v>266</v>
      </c>
      <c r="H82" s="12" t="s">
        <v>266</v>
      </c>
      <c r="I82" s="13" t="s">
        <v>266</v>
      </c>
    </row>
    <row r="83" spans="1:9" s="16" customFormat="1" ht="12">
      <c r="A83" s="33" t="s">
        <v>951</v>
      </c>
      <c r="B83" s="12" t="s">
        <v>670</v>
      </c>
      <c r="C83" s="12" t="s">
        <v>266</v>
      </c>
      <c r="D83" s="12" t="s">
        <v>266</v>
      </c>
      <c r="E83" s="12" t="s">
        <v>266</v>
      </c>
      <c r="F83" s="12" t="s">
        <v>266</v>
      </c>
      <c r="G83" s="12" t="s">
        <v>266</v>
      </c>
      <c r="H83" s="12" t="s">
        <v>266</v>
      </c>
      <c r="I83" s="13" t="s">
        <v>266</v>
      </c>
    </row>
    <row r="84" spans="1:9" ht="12">
      <c r="A84" s="33" t="s">
        <v>952</v>
      </c>
      <c r="B84" s="12" t="s">
        <v>266</v>
      </c>
      <c r="C84" s="12" t="s">
        <v>266</v>
      </c>
      <c r="D84" s="12" t="s">
        <v>266</v>
      </c>
      <c r="E84" s="12" t="s">
        <v>266</v>
      </c>
      <c r="F84" s="12" t="s">
        <v>266</v>
      </c>
      <c r="G84" s="12" t="s">
        <v>266</v>
      </c>
      <c r="H84" s="12" t="s">
        <v>266</v>
      </c>
      <c r="I84" s="13" t="s">
        <v>266</v>
      </c>
    </row>
    <row r="85" spans="1:9" ht="12">
      <c r="A85" s="33" t="s">
        <v>658</v>
      </c>
      <c r="B85" s="12" t="s">
        <v>658</v>
      </c>
      <c r="C85" s="12" t="s">
        <v>658</v>
      </c>
      <c r="D85" s="12" t="s">
        <v>1365</v>
      </c>
      <c r="E85" s="12" t="s">
        <v>658</v>
      </c>
      <c r="F85" s="12" t="s">
        <v>658</v>
      </c>
      <c r="G85" s="12" t="s">
        <v>658</v>
      </c>
      <c r="H85" s="12" t="s">
        <v>658</v>
      </c>
      <c r="I85" s="13" t="s">
        <v>266</v>
      </c>
    </row>
    <row r="86" spans="1:9" ht="12">
      <c r="A86" s="33" t="s">
        <v>660</v>
      </c>
      <c r="B86" s="12" t="s">
        <v>660</v>
      </c>
      <c r="C86" s="12" t="s">
        <v>660</v>
      </c>
      <c r="D86" s="12" t="s">
        <v>1366</v>
      </c>
      <c r="E86" s="12" t="s">
        <v>660</v>
      </c>
      <c r="F86" s="12" t="s">
        <v>660</v>
      </c>
      <c r="G86" s="12" t="s">
        <v>660</v>
      </c>
      <c r="H86" s="12" t="s">
        <v>660</v>
      </c>
      <c r="I86" s="13" t="s">
        <v>266</v>
      </c>
    </row>
    <row r="87" spans="1:9" ht="12">
      <c r="A87" s="33" t="s">
        <v>1411</v>
      </c>
      <c r="B87" s="12" t="s">
        <v>1347</v>
      </c>
      <c r="C87" s="12" t="s">
        <v>1347</v>
      </c>
      <c r="D87" s="12" t="s">
        <v>1347</v>
      </c>
      <c r="E87" s="12" t="s">
        <v>1347</v>
      </c>
      <c r="F87" s="12" t="s">
        <v>1347</v>
      </c>
      <c r="G87" s="12" t="s">
        <v>1347</v>
      </c>
      <c r="H87" s="12" t="s">
        <v>1347</v>
      </c>
      <c r="I87" s="13" t="s">
        <v>266</v>
      </c>
    </row>
    <row r="88" spans="1:9" ht="12">
      <c r="A88" s="33" t="s">
        <v>1412</v>
      </c>
      <c r="B88" s="12" t="s">
        <v>1348</v>
      </c>
      <c r="C88" s="12" t="s">
        <v>1348</v>
      </c>
      <c r="D88" s="12" t="s">
        <v>1348</v>
      </c>
      <c r="E88" s="12" t="s">
        <v>1348</v>
      </c>
      <c r="F88" s="12" t="s">
        <v>1348</v>
      </c>
      <c r="G88" s="12" t="s">
        <v>1348</v>
      </c>
      <c r="H88" s="12" t="s">
        <v>1348</v>
      </c>
      <c r="I88" s="13" t="s">
        <v>266</v>
      </c>
    </row>
    <row r="89" spans="1:9" ht="12">
      <c r="A89" s="33" t="s">
        <v>1410</v>
      </c>
      <c r="B89" s="12" t="s">
        <v>1344</v>
      </c>
      <c r="C89" s="12" t="s">
        <v>1344</v>
      </c>
      <c r="D89" s="12" t="s">
        <v>1344</v>
      </c>
      <c r="E89" s="12" t="s">
        <v>1344</v>
      </c>
      <c r="F89" s="12" t="s">
        <v>1344</v>
      </c>
      <c r="G89" s="12" t="s">
        <v>1344</v>
      </c>
      <c r="H89" s="12" t="s">
        <v>1344</v>
      </c>
      <c r="I89" s="13" t="s">
        <v>266</v>
      </c>
    </row>
    <row r="90" spans="1:9" ht="12">
      <c r="A90" s="33" t="s">
        <v>1441</v>
      </c>
      <c r="B90" s="12" t="s">
        <v>729</v>
      </c>
      <c r="C90" s="12" t="s">
        <v>729</v>
      </c>
      <c r="D90" s="12" t="s">
        <v>729</v>
      </c>
      <c r="E90" s="12" t="s">
        <v>729</v>
      </c>
      <c r="F90" s="12" t="s">
        <v>729</v>
      </c>
      <c r="G90" s="12" t="s">
        <v>729</v>
      </c>
      <c r="H90" s="12" t="s">
        <v>729</v>
      </c>
      <c r="I90" s="13" t="s">
        <v>266</v>
      </c>
    </row>
    <row r="91" spans="1:9" ht="12">
      <c r="A91" s="33" t="s">
        <v>1413</v>
      </c>
      <c r="B91" s="12" t="s">
        <v>1345</v>
      </c>
      <c r="C91" s="12" t="s">
        <v>266</v>
      </c>
      <c r="D91" s="12" t="s">
        <v>266</v>
      </c>
      <c r="E91" s="12" t="s">
        <v>266</v>
      </c>
      <c r="F91" s="12" t="s">
        <v>266</v>
      </c>
      <c r="G91" s="12" t="s">
        <v>266</v>
      </c>
      <c r="H91" s="12" t="s">
        <v>266</v>
      </c>
      <c r="I91" s="13" t="s">
        <v>266</v>
      </c>
    </row>
    <row r="96" spans="1:9">
      <c r="B96" s="15"/>
      <c r="C96" s="15"/>
      <c r="D96" s="15"/>
      <c r="E96" s="15"/>
      <c r="F96" s="15"/>
      <c r="G96" s="15"/>
      <c r="H96" s="15"/>
      <c r="I96" s="15"/>
    </row>
    <row r="97" spans="2:9">
      <c r="B97" s="15"/>
      <c r="C97" s="15"/>
      <c r="D97" s="15"/>
      <c r="E97" s="15"/>
      <c r="F97" s="15"/>
      <c r="G97" s="15"/>
      <c r="H97" s="15"/>
      <c r="I97" s="15"/>
    </row>
    <row r="98" spans="2:9">
      <c r="B98" s="15"/>
      <c r="C98" s="15"/>
      <c r="D98" s="15"/>
      <c r="E98" s="15"/>
      <c r="F98" s="15"/>
      <c r="G98" s="15"/>
      <c r="H98" s="15"/>
      <c r="I98" s="15"/>
    </row>
  </sheetData>
  <autoFilter ref="A1:I86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FD9C-9508-432A-9D16-8FA7741DDA77}">
  <sheetPr codeName="Sheet23">
    <tabColor theme="8" tint="0.79998168889431442"/>
  </sheetPr>
  <dimension ref="A1:H77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8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8" ht="1.9" customHeight="1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|:---|:---|:---|:---|:---|</v>
      </c>
    </row>
    <row r="3" spans="1:8" ht="11.25" customHeight="1">
      <c r="A3" s="1" t="s">
        <v>0</v>
      </c>
      <c r="D3" s="2" t="s">
        <v>1252</v>
      </c>
      <c r="E3" s="2" t="s">
        <v>1253</v>
      </c>
      <c r="F3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|Ctrl|||ドラッグ|矩形選択|</v>
      </c>
      <c r="H3" s="3" t="s">
        <v>1553</v>
      </c>
    </row>
    <row r="4" spans="1:8" ht="11.25" customHeight="1">
      <c r="B4" s="1" t="s">
        <v>1</v>
      </c>
      <c r="D4" s="2" t="s">
        <v>1252</v>
      </c>
      <c r="E4" s="2" t="s">
        <v>1059</v>
      </c>
      <c r="F4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||Shift||ドラッグ|行選択|</v>
      </c>
    </row>
    <row r="5" spans="1:8" ht="11.25" customHeight="1">
      <c r="A5" s="50" t="s">
        <v>0</v>
      </c>
      <c r="B5" s="50"/>
      <c r="C5" s="50" t="s">
        <v>2</v>
      </c>
      <c r="D5" s="49" t="s">
        <v>75</v>
      </c>
      <c r="E5" s="49" t="s">
        <v>1316</v>
      </c>
      <c r="F5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|Ctrl||Alt|f|検索($SEARCH\_REG)|</v>
      </c>
    </row>
    <row r="6" spans="1:8" ht="11.25" customHeight="1">
      <c r="A6" s="50" t="s">
        <v>1570</v>
      </c>
      <c r="B6" s="50" t="s">
        <v>1571</v>
      </c>
      <c r="C6" s="50" t="s">
        <v>2</v>
      </c>
      <c r="D6" s="49" t="s">
        <v>1569</v>
      </c>
      <c r="E6" s="49" t="s">
        <v>1572</v>
      </c>
      <c r="F6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|Ctrl/|/Shift|Alt|F3|次/前の検索結果($SEARCH_NEXT/$SEARCH_BACK)|</v>
      </c>
    </row>
    <row r="7" spans="1:8" ht="11.25" customHeight="1">
      <c r="A7" s="50" t="s">
        <v>0</v>
      </c>
      <c r="B7" s="50"/>
      <c r="C7" s="50" t="s">
        <v>2</v>
      </c>
      <c r="D7" s="49" t="s">
        <v>1255</v>
      </c>
      <c r="E7" s="49" t="s">
        <v>1317</v>
      </c>
      <c r="F7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|Ctrl||Alt|F10|SFTPダイアログを開く($VIEW\_SFTP)|</v>
      </c>
    </row>
    <row r="8" spans="1:8" ht="11.25" customHeight="1">
      <c r="A8" s="50" t="s">
        <v>0</v>
      </c>
      <c r="B8" s="50"/>
      <c r="C8" s="50" t="s">
        <v>2</v>
      </c>
      <c r="D8" s="49" t="s">
        <v>1272</v>
      </c>
      <c r="E8" s="49" t="s">
        <v>1322</v>
      </c>
      <c r="F8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|Ctrl||Alt|F11|ウィンドウ整理(並べて表示($PANE\_TILEHORZ))|</v>
      </c>
    </row>
    <row r="9" spans="1:8" ht="11.25" customHeight="1">
      <c r="A9" s="50" t="s">
        <v>0</v>
      </c>
      <c r="B9" s="50"/>
      <c r="C9" s="50" t="s">
        <v>2</v>
      </c>
      <c r="D9" s="49" t="s">
        <v>1273</v>
      </c>
      <c r="E9" s="49" t="s">
        <v>1323</v>
      </c>
      <c r="F9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|Ctrl||Alt|F12|ウィンドウ整理(重ねて表示($PANE\_CASCADE)|</v>
      </c>
    </row>
    <row r="10" spans="1:8" ht="11.25" customHeight="1">
      <c r="A10" s="50"/>
      <c r="B10" s="50" t="s">
        <v>1</v>
      </c>
      <c r="C10" s="50" t="s">
        <v>2</v>
      </c>
      <c r="D10" s="49" t="s">
        <v>205</v>
      </c>
      <c r="E10" s="49" t="s">
        <v>1318</v>
      </c>
      <c r="F10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||Shift|Alt|a|接続追加(複製)＋同ペイン($SPLIT\_OVER)|</v>
      </c>
    </row>
    <row r="11" spans="1:8" ht="11.25" customHeight="1">
      <c r="A11" s="50" t="s">
        <v>0</v>
      </c>
      <c r="B11" s="50"/>
      <c r="C11" s="50" t="s">
        <v>2</v>
      </c>
      <c r="D11" s="49" t="s">
        <v>352</v>
      </c>
      <c r="E11" s="49" t="s">
        <v>1321</v>
      </c>
      <c r="F11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|Ctrl||Alt|p|ペイン移動($PANE\_ROTATION)|</v>
      </c>
    </row>
    <row r="12" spans="1:8" ht="11.25" customHeight="1">
      <c r="A12" s="50" t="s">
        <v>0</v>
      </c>
      <c r="B12" s="50"/>
      <c r="C12" s="50" t="s">
        <v>2</v>
      </c>
      <c r="D12" s="49" t="s">
        <v>1559</v>
      </c>
      <c r="E12" s="49" t="s">
        <v>1555</v>
      </c>
      <c r="F12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|Ctrl||Alt|h/v|縦分割($PANE_HSPLIT)/横分割($PANE_WSPLIT)|</v>
      </c>
    </row>
    <row r="13" spans="1:8" ht="11.25" customHeight="1">
      <c r="A13" s="50"/>
      <c r="B13" s="50" t="s">
        <v>1</v>
      </c>
      <c r="C13" s="50" t="s">
        <v>2</v>
      </c>
      <c r="D13" s="49" t="s">
        <v>1560</v>
      </c>
      <c r="E13" s="49" t="s">
        <v>1319</v>
      </c>
      <c r="F13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||Shift|Alt|d/r|接続追加(複製)＋縦($SPLIT\_HEIGHT)/横分割($SPLIT\_WIDTH)|</v>
      </c>
    </row>
    <row r="14" spans="1:8" ht="11.25" customHeight="1">
      <c r="A14" s="50" t="s">
        <v>0</v>
      </c>
      <c r="B14" s="50"/>
      <c r="C14" s="50" t="s">
        <v>2</v>
      </c>
      <c r="D14" s="49" t="s">
        <v>1560</v>
      </c>
      <c r="E14" s="49" t="s">
        <v>1320</v>
      </c>
      <c r="F14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|Ctrl||Alt|d/r|接続追加(新規)＋縦($SPLIT\_HEIGHTNEW)/横分割($SPLIT\_WIDTHNEW)|</v>
      </c>
    </row>
    <row r="15" spans="1:8" ht="11.25" customHeight="1">
      <c r="C15" s="1" t="s">
        <v>2</v>
      </c>
      <c r="D15" s="2" t="s">
        <v>1562</v>
      </c>
      <c r="E15" s="2" t="s">
        <v>1563</v>
      </c>
      <c r="F15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|||Alt|方向キー|ウィンドウ切り替え|</v>
      </c>
    </row>
    <row r="16" spans="1:8" ht="11.25" customHeight="1">
      <c r="A16" s="1" t="s">
        <v>0</v>
      </c>
      <c r="B16" s="1" t="s">
        <v>65</v>
      </c>
      <c r="D16" s="2" t="s">
        <v>1198</v>
      </c>
      <c r="E16" s="2" t="s">
        <v>1561</v>
      </c>
      <c r="F16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|Ctrl|/Shift||tab|ウィンドウ切り替え(次/前)|</v>
      </c>
    </row>
    <row r="17" spans="1:6" ht="11.25" customHeight="1">
      <c r="A17" s="50" t="s">
        <v>0</v>
      </c>
      <c r="B17" s="50"/>
      <c r="C17" s="50" t="s">
        <v>2</v>
      </c>
      <c r="D17" s="49" t="s">
        <v>1187</v>
      </c>
      <c r="E17" s="49" t="s">
        <v>1324</v>
      </c>
      <c r="F17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|Ctrl||Alt|w|分割を閉じる($PANE\_DELETE)|</v>
      </c>
    </row>
    <row r="18" spans="1:6" ht="11.25" customHeight="1">
      <c r="A18" s="50"/>
      <c r="B18" s="50"/>
      <c r="C18" s="50" t="s">
        <v>2</v>
      </c>
      <c r="D18" s="49" t="s">
        <v>1274</v>
      </c>
      <c r="E18" s="49" t="s">
        <v>1325</v>
      </c>
      <c r="F18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|||Alt|n/w|接続開く($FILE\_NEW)/閉じる($FILE\_CLOSE)|</v>
      </c>
    </row>
    <row r="19" spans="1:6" ht="11.25" customHeight="1">
      <c r="A19" s="50" t="s">
        <v>0</v>
      </c>
      <c r="B19" s="50"/>
      <c r="C19" s="50"/>
      <c r="D19" s="49" t="s">
        <v>1307</v>
      </c>
      <c r="E19" s="49" t="s">
        <v>1314</v>
      </c>
      <c r="F19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|Ctrl|||,/.|カーソル移動(一文字) 左(\033\[D)/右(\033\[C)|</v>
      </c>
    </row>
    <row r="20" spans="1:6" ht="11.25" customHeight="1">
      <c r="A20" s="50" t="s">
        <v>0</v>
      </c>
      <c r="B20" s="50" t="s">
        <v>1</v>
      </c>
      <c r="C20" s="50"/>
      <c r="D20" s="49" t="s">
        <v>1307</v>
      </c>
      <c r="E20" s="49" t="s">
        <v>1311</v>
      </c>
      <c r="F20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|Ctrl|Shift||,/.|カーソル移動(単語) 左(\033b)/右(\033f)|</v>
      </c>
    </row>
    <row r="21" spans="1:6" ht="11.25" customHeight="1">
      <c r="A21" s="50" t="s">
        <v>0</v>
      </c>
      <c r="B21" s="50"/>
      <c r="C21" s="50" t="s">
        <v>2</v>
      </c>
      <c r="D21" s="49" t="s">
        <v>1307</v>
      </c>
      <c r="E21" s="49" t="s">
        <v>1306</v>
      </c>
      <c r="F21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|Ctrl||Alt|,/.|カーソル移動 行頭(\001)/行末(\005)|</v>
      </c>
    </row>
    <row r="22" spans="1:6" ht="11.25" customHeight="1">
      <c r="A22" s="50" t="s">
        <v>0</v>
      </c>
      <c r="B22" s="50"/>
      <c r="C22" s="50" t="s">
        <v>2</v>
      </c>
      <c r="D22" s="49" t="s">
        <v>1263</v>
      </c>
      <c r="E22" s="49" t="s">
        <v>1315</v>
      </c>
      <c r="F22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|Ctrl||Alt|o|オプション設定($OPTION\_SET)|</v>
      </c>
    </row>
    <row r="23" spans="1:6" ht="11.25" customHeight="1">
      <c r="A23" s="1" t="s">
        <v>0</v>
      </c>
      <c r="D23" s="2" t="s">
        <v>1308</v>
      </c>
      <c r="E23" s="2" t="s">
        <v>1309</v>
      </c>
      <c r="F23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|Ctrl|||h/d|文字削除 カーソル左/右|</v>
      </c>
    </row>
    <row r="24" spans="1:6" ht="11.25" customHeight="1">
      <c r="A24" s="50" t="s">
        <v>0</v>
      </c>
      <c r="B24" s="50" t="s">
        <v>1</v>
      </c>
      <c r="C24" s="50"/>
      <c r="D24" s="49" t="s">
        <v>1308</v>
      </c>
      <c r="E24" s="49" t="s">
        <v>1310</v>
      </c>
      <c r="F24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|Ctrl|Shift||h/d|文字削除 単語左(\027)/単語右(\033d)|</v>
      </c>
    </row>
    <row r="25" spans="1:6" ht="11.25" customHeight="1">
      <c r="A25" s="50"/>
      <c r="B25" s="50"/>
      <c r="C25" s="50" t="s">
        <v>2</v>
      </c>
      <c r="D25" s="49" t="s">
        <v>1554</v>
      </c>
      <c r="E25" s="49" t="s">
        <v>1254</v>
      </c>
      <c r="F25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|||Alt|v|貼り付け($CLIPBOARD)|</v>
      </c>
    </row>
    <row r="26" spans="1:6" ht="11.25" customHeight="1">
      <c r="A26" s="50" t="s">
        <v>0</v>
      </c>
      <c r="B26" s="50"/>
      <c r="C26" s="50" t="s">
        <v>2</v>
      </c>
      <c r="D26" s="49" t="s">
        <v>1558</v>
      </c>
      <c r="E26" s="49" t="s">
        <v>1556</v>
      </c>
      <c r="F26" s="51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|Ctrl||Alt|b|ブロードキャスト送信($BROADCAST)|</v>
      </c>
    </row>
    <row r="27" spans="1:6" ht="11.25" customHeight="1">
      <c r="A27" s="1" t="s">
        <v>0</v>
      </c>
      <c r="D27" s="2" t="s">
        <v>1564</v>
      </c>
      <c r="E27" s="2" t="s">
        <v>1565</v>
      </c>
      <c r="F27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>|Ctrl|||u/k|文字削除(行頭まで/行末まで)|</v>
      </c>
    </row>
    <row r="28" spans="1:6" ht="11.25" customHeight="1">
      <c r="F28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29" spans="1:6" ht="11.25" customHeight="1">
      <c r="F29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0" spans="1:6" ht="11.25" customHeight="1">
      <c r="F30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1" spans="1:6" ht="11.25" customHeight="1">
      <c r="F31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2" spans="1:6" ht="11.25" customHeight="1">
      <c r="F32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3" spans="6:6" ht="11.25" customHeight="1">
      <c r="F33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4" spans="6:6" ht="11.25" customHeight="1">
      <c r="F34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5" spans="6:6" ht="11.25" customHeight="1">
      <c r="F35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6" spans="6:6" ht="11.25" customHeight="1">
      <c r="F36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7" spans="6:6" ht="11.25" customHeight="1">
      <c r="F37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8" spans="6:6" ht="11.25" customHeight="1">
      <c r="F38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39" spans="6:6" ht="11.25" customHeight="1">
      <c r="F39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0" spans="6:6" ht="11.25" customHeight="1">
      <c r="F40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1" spans="6:6" ht="11.25" customHeight="1">
      <c r="F41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2" spans="6:6" ht="11.25" customHeight="1">
      <c r="F42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3" spans="6:6" ht="11.25" customHeight="1">
      <c r="F43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4" spans="6:6" ht="11.25" customHeight="1">
      <c r="F44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5" spans="6:6" ht="11.25" customHeight="1">
      <c r="F45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6" spans="6:6" ht="11.25" customHeight="1">
      <c r="F46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7" spans="6:6" ht="11.25" customHeight="1">
      <c r="F47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8" spans="6:6" ht="11.25" customHeight="1">
      <c r="F48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49" spans="6:6" ht="11.25" customHeight="1">
      <c r="F49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0" spans="6:6" ht="11.25" customHeight="1">
      <c r="F50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1" spans="6:6" ht="11.25" customHeight="1">
      <c r="F51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2" spans="6:6" ht="11.25" customHeight="1">
      <c r="F52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3" spans="6:6" ht="11.25" customHeight="1">
      <c r="F53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4" spans="6:6" ht="11.25" customHeight="1">
      <c r="F54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5" spans="6:6" ht="11.25" customHeight="1">
      <c r="F55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6" spans="6:6" ht="11.25" customHeight="1">
      <c r="F56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7" spans="6:6" ht="11.25" customHeight="1">
      <c r="F57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8" spans="6:6" ht="11.25" customHeight="1">
      <c r="F58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59" spans="6:6" ht="11.25" customHeight="1">
      <c r="F59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0" spans="6:6" ht="11.25" customHeight="1">
      <c r="F60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1" spans="6:6" ht="11.25" customHeight="1">
      <c r="F61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2" spans="6:6" ht="11.25" customHeight="1">
      <c r="F62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3" spans="6:6" ht="11.25" customHeight="1">
      <c r="F63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4" spans="6:6" ht="11.25" customHeight="1">
      <c r="F64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5" spans="6:6" ht="11.25" customHeight="1">
      <c r="F65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6" spans="6:6" ht="11.25" customHeight="1">
      <c r="F66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7" spans="6:6" ht="11.25" customHeight="1">
      <c r="F67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8" spans="6:6" ht="11.25" customHeight="1">
      <c r="F68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69" spans="6:6" ht="11.25" customHeight="1">
      <c r="F69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0" spans="6:6" ht="11.25" customHeight="1">
      <c r="F70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1" spans="6:6" ht="11.25" customHeight="1">
      <c r="F71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2" spans="6:6" ht="11.25" customHeight="1">
      <c r="F72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3" spans="6:6" ht="11.25" customHeight="1">
      <c r="F73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4" spans="6:6" ht="11.25" customHeight="1">
      <c r="F74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5" spans="6:6" ht="11.25" customHeight="1">
      <c r="F75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6" spans="6:6" ht="11.25" customHeight="1">
      <c r="F76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  <row r="77" spans="6:6" ht="11.25" customHeight="1">
      <c r="F77" s="3" t="str">
        <f>IF(ISBLANK(テーブル178101117[[#This Row],[機能]]),"","|"&amp;テーブル178101117[[#This Row],[Ctrl]]&amp;"|"&amp;テーブル178101117[[#This Row],[Shift]]&amp;"|"&amp;テーブル178101117[[#This Row],[Alt]]&amp;"|"&amp;テーブル178101117[[#This Row],[Key]]&amp;"|"&amp;テーブル178101117[[#This Row],[機能]]&amp;"|")</f>
        <v/>
      </c>
    </row>
  </sheetData>
  <phoneticPr fontId="4"/>
  <dataValidations disablePrompts="1" count="3">
    <dataValidation type="list" allowBlank="1" showInputMessage="1" sqref="A3:A77" xr:uid="{116FEBE6-4FAB-42F5-BE87-0D3EF9DA0D8E}">
      <formula1>"Ctrl"</formula1>
    </dataValidation>
    <dataValidation type="list" allowBlank="1" showInputMessage="1" sqref="B3:B77" xr:uid="{AC90D523-C0BE-4B6C-8BA1-5D36EDEB16D2}">
      <formula1>"Shift"</formula1>
    </dataValidation>
    <dataValidation type="list" allowBlank="1" showInputMessage="1" sqref="C3:C77" xr:uid="{BB0A3E2E-59EE-4DE5-A0D1-12733582344C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A4BB-8195-47B9-96EC-28B9FF2054E0}">
  <sheetPr codeName="Sheet24">
    <tabColor theme="8" tint="0.79998168889431442"/>
  </sheetPr>
  <dimension ref="A1:I102"/>
  <sheetViews>
    <sheetView showGridLines="0"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9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9" s="14" customFormat="1" ht="12">
      <c r="A2" s="31" t="s">
        <v>215</v>
      </c>
      <c r="B2" s="12" t="s">
        <v>670</v>
      </c>
      <c r="C2" s="12" t="s">
        <v>670</v>
      </c>
      <c r="D2" s="12" t="s">
        <v>670</v>
      </c>
      <c r="E2" s="12" t="s">
        <v>670</v>
      </c>
      <c r="F2" s="12" t="s">
        <v>670</v>
      </c>
      <c r="G2" s="12" t="s">
        <v>670</v>
      </c>
      <c r="H2" s="12" t="s">
        <v>670</v>
      </c>
      <c r="I2" s="55" t="s">
        <v>266</v>
      </c>
    </row>
    <row r="3" spans="1:9" s="14" customFormat="1" ht="12">
      <c r="A3" s="31" t="s">
        <v>154</v>
      </c>
      <c r="B3" s="12" t="s">
        <v>670</v>
      </c>
      <c r="C3" s="12" t="s">
        <v>670</v>
      </c>
      <c r="D3" s="12" t="s">
        <v>670</v>
      </c>
      <c r="E3" s="12" t="s">
        <v>670</v>
      </c>
      <c r="F3" s="12" t="s">
        <v>670</v>
      </c>
      <c r="G3" s="12" t="s">
        <v>670</v>
      </c>
      <c r="H3" s="12" t="s">
        <v>670</v>
      </c>
      <c r="I3" s="55" t="s">
        <v>266</v>
      </c>
    </row>
    <row r="4" spans="1:9" s="14" customFormat="1" ht="12">
      <c r="A4" s="31" t="s">
        <v>156</v>
      </c>
      <c r="B4" s="12" t="s">
        <v>670</v>
      </c>
      <c r="C4" s="12" t="s">
        <v>670</v>
      </c>
      <c r="D4" s="12" t="s">
        <v>670</v>
      </c>
      <c r="E4" s="12" t="s">
        <v>670</v>
      </c>
      <c r="F4" s="12" t="s">
        <v>670</v>
      </c>
      <c r="G4" s="54" t="s">
        <v>1567</v>
      </c>
      <c r="H4" s="54" t="s">
        <v>1568</v>
      </c>
      <c r="I4" s="55" t="s">
        <v>266</v>
      </c>
    </row>
    <row r="5" spans="1:9" s="14" customFormat="1" ht="12">
      <c r="A5" s="31" t="s">
        <v>150</v>
      </c>
      <c r="B5" s="12" t="s">
        <v>670</v>
      </c>
      <c r="C5" s="12" t="s">
        <v>670</v>
      </c>
      <c r="D5" s="12" t="s">
        <v>670</v>
      </c>
      <c r="E5" s="12" t="s">
        <v>1582</v>
      </c>
      <c r="F5" s="12" t="s">
        <v>670</v>
      </c>
      <c r="G5" s="12" t="s">
        <v>670</v>
      </c>
      <c r="H5" s="12" t="s">
        <v>670</v>
      </c>
      <c r="I5" s="55" t="s">
        <v>266</v>
      </c>
    </row>
    <row r="6" spans="1:9" s="14" customFormat="1" ht="12">
      <c r="A6" s="31" t="s">
        <v>159</v>
      </c>
      <c r="B6" s="12" t="s">
        <v>670</v>
      </c>
      <c r="C6" s="12" t="s">
        <v>670</v>
      </c>
      <c r="D6" s="12" t="s">
        <v>670</v>
      </c>
      <c r="E6" s="12" t="s">
        <v>670</v>
      </c>
      <c r="F6" s="12" t="s">
        <v>670</v>
      </c>
      <c r="G6" s="12" t="s">
        <v>670</v>
      </c>
      <c r="H6" s="12" t="s">
        <v>670</v>
      </c>
      <c r="I6" s="55" t="s">
        <v>266</v>
      </c>
    </row>
    <row r="7" spans="1:9" s="14" customFormat="1" ht="12">
      <c r="A7" s="31" t="s">
        <v>53</v>
      </c>
      <c r="B7" s="12" t="s">
        <v>670</v>
      </c>
      <c r="C7" s="12" t="s">
        <v>670</v>
      </c>
      <c r="D7" s="12" t="s">
        <v>670</v>
      </c>
      <c r="E7" s="12" t="s">
        <v>670</v>
      </c>
      <c r="F7" s="12" t="s">
        <v>670</v>
      </c>
      <c r="G7" s="12" t="s">
        <v>670</v>
      </c>
      <c r="H7" s="12" t="s">
        <v>670</v>
      </c>
      <c r="I7" s="55" t="s">
        <v>266</v>
      </c>
    </row>
    <row r="8" spans="1:9" s="14" customFormat="1" ht="12">
      <c r="A8" s="31" t="s">
        <v>224</v>
      </c>
      <c r="B8" s="12" t="s">
        <v>670</v>
      </c>
      <c r="C8" s="12" t="s">
        <v>670</v>
      </c>
      <c r="D8" s="12" t="s">
        <v>670</v>
      </c>
      <c r="E8" s="12" t="s">
        <v>670</v>
      </c>
      <c r="F8" s="12" t="s">
        <v>670</v>
      </c>
      <c r="G8" s="12" t="s">
        <v>670</v>
      </c>
      <c r="H8" s="12" t="s">
        <v>670</v>
      </c>
      <c r="I8" s="55" t="s">
        <v>266</v>
      </c>
    </row>
    <row r="9" spans="1:9" s="14" customFormat="1" ht="12">
      <c r="A9" s="31" t="s">
        <v>238</v>
      </c>
      <c r="B9" s="12" t="s">
        <v>670</v>
      </c>
      <c r="C9" s="12" t="s">
        <v>670</v>
      </c>
      <c r="D9" s="12" t="s">
        <v>670</v>
      </c>
      <c r="E9" s="12" t="s">
        <v>670</v>
      </c>
      <c r="F9" s="12" t="s">
        <v>670</v>
      </c>
      <c r="G9" s="12" t="s">
        <v>670</v>
      </c>
      <c r="H9" s="12" t="s">
        <v>670</v>
      </c>
      <c r="I9" s="55" t="s">
        <v>266</v>
      </c>
    </row>
    <row r="10" spans="1:9" s="14" customFormat="1" ht="12">
      <c r="A10" s="31" t="s">
        <v>235</v>
      </c>
      <c r="B10" s="12" t="s">
        <v>670</v>
      </c>
      <c r="C10" s="12" t="s">
        <v>670</v>
      </c>
      <c r="D10" s="12" t="s">
        <v>670</v>
      </c>
      <c r="E10" s="12" t="s">
        <v>670</v>
      </c>
      <c r="F10" s="12" t="s">
        <v>670</v>
      </c>
      <c r="G10" s="12" t="s">
        <v>670</v>
      </c>
      <c r="H10" s="12" t="s">
        <v>670</v>
      </c>
      <c r="I10" s="55" t="s">
        <v>266</v>
      </c>
    </row>
    <row r="11" spans="1:9" s="14" customFormat="1" ht="12">
      <c r="A11" s="31" t="s">
        <v>141</v>
      </c>
      <c r="B11" s="12" t="s">
        <v>670</v>
      </c>
      <c r="C11" s="12" t="s">
        <v>670</v>
      </c>
      <c r="D11" s="12" t="s">
        <v>670</v>
      </c>
      <c r="E11" s="12" t="s">
        <v>670</v>
      </c>
      <c r="F11" s="12" t="s">
        <v>670</v>
      </c>
      <c r="G11" s="54" t="s">
        <v>1566</v>
      </c>
      <c r="H11" s="12" t="s">
        <v>670</v>
      </c>
      <c r="I11" s="55" t="s">
        <v>266</v>
      </c>
    </row>
    <row r="12" spans="1:9" s="14" customFormat="1" ht="12">
      <c r="A12" s="31" t="s">
        <v>221</v>
      </c>
      <c r="B12" s="12" t="s">
        <v>670</v>
      </c>
      <c r="C12" s="12" t="s">
        <v>670</v>
      </c>
      <c r="D12" s="12" t="s">
        <v>670</v>
      </c>
      <c r="E12" s="12" t="s">
        <v>670</v>
      </c>
      <c r="F12" s="12" t="s">
        <v>670</v>
      </c>
      <c r="G12" s="54" t="s">
        <v>1270</v>
      </c>
      <c r="H12" s="12" t="s">
        <v>670</v>
      </c>
      <c r="I12" s="55" t="s">
        <v>266</v>
      </c>
    </row>
    <row r="13" spans="1:9" s="14" customFormat="1" ht="12">
      <c r="A13" s="31" t="s">
        <v>225</v>
      </c>
      <c r="B13" s="12" t="s">
        <v>670</v>
      </c>
      <c r="C13" s="12" t="s">
        <v>670</v>
      </c>
      <c r="D13" s="12" t="s">
        <v>670</v>
      </c>
      <c r="E13" s="12" t="s">
        <v>670</v>
      </c>
      <c r="F13" s="12" t="s">
        <v>670</v>
      </c>
      <c r="G13" s="54" t="s">
        <v>1271</v>
      </c>
      <c r="H13" s="12" t="s">
        <v>670</v>
      </c>
      <c r="I13" s="55" t="s">
        <v>266</v>
      </c>
    </row>
    <row r="14" spans="1:9" ht="12">
      <c r="A14" s="32">
        <v>1</v>
      </c>
      <c r="B14" s="55" t="s">
        <v>563</v>
      </c>
      <c r="C14" s="55" t="s">
        <v>563</v>
      </c>
      <c r="D14" s="12" t="s">
        <v>670</v>
      </c>
      <c r="E14" s="12" t="s">
        <v>670</v>
      </c>
      <c r="F14" s="12" t="s">
        <v>670</v>
      </c>
      <c r="G14" s="12" t="s">
        <v>670</v>
      </c>
      <c r="H14" s="12" t="s">
        <v>670</v>
      </c>
      <c r="I14" s="55" t="s">
        <v>266</v>
      </c>
    </row>
    <row r="15" spans="1:9" ht="12">
      <c r="A15" s="32">
        <v>2</v>
      </c>
      <c r="B15" s="55" t="s">
        <v>563</v>
      </c>
      <c r="C15" s="55" t="s">
        <v>563</v>
      </c>
      <c r="D15" s="12" t="s">
        <v>670</v>
      </c>
      <c r="E15" s="12" t="s">
        <v>670</v>
      </c>
      <c r="F15" s="12" t="s">
        <v>670</v>
      </c>
      <c r="G15" s="12" t="s">
        <v>670</v>
      </c>
      <c r="H15" s="12" t="s">
        <v>670</v>
      </c>
      <c r="I15" s="55" t="s">
        <v>266</v>
      </c>
    </row>
    <row r="16" spans="1:9" ht="12">
      <c r="A16" s="32">
        <v>3</v>
      </c>
      <c r="B16" s="55" t="s">
        <v>563</v>
      </c>
      <c r="C16" s="55" t="s">
        <v>563</v>
      </c>
      <c r="D16" s="12" t="s">
        <v>670</v>
      </c>
      <c r="E16" s="12" t="s">
        <v>670</v>
      </c>
      <c r="F16" s="12" t="s">
        <v>670</v>
      </c>
      <c r="G16" s="12" t="s">
        <v>670</v>
      </c>
      <c r="H16" s="12" t="s">
        <v>670</v>
      </c>
      <c r="I16" s="55" t="s">
        <v>266</v>
      </c>
    </row>
    <row r="17" spans="1:9" ht="12">
      <c r="A17" s="32">
        <v>4</v>
      </c>
      <c r="B17" s="55" t="s">
        <v>563</v>
      </c>
      <c r="C17" s="55" t="s">
        <v>563</v>
      </c>
      <c r="D17" s="12" t="s">
        <v>670</v>
      </c>
      <c r="E17" s="12" t="s">
        <v>670</v>
      </c>
      <c r="F17" s="12" t="s">
        <v>670</v>
      </c>
      <c r="G17" s="12" t="s">
        <v>670</v>
      </c>
      <c r="H17" s="12" t="s">
        <v>670</v>
      </c>
      <c r="I17" s="55" t="s">
        <v>266</v>
      </c>
    </row>
    <row r="18" spans="1:9" ht="12">
      <c r="A18" s="32">
        <v>5</v>
      </c>
      <c r="B18" s="55" t="s">
        <v>563</v>
      </c>
      <c r="C18" s="55" t="s">
        <v>563</v>
      </c>
      <c r="D18" s="12" t="s">
        <v>670</v>
      </c>
      <c r="E18" s="12" t="s">
        <v>670</v>
      </c>
      <c r="F18" s="12" t="s">
        <v>670</v>
      </c>
      <c r="G18" s="12" t="s">
        <v>670</v>
      </c>
      <c r="H18" s="12" t="s">
        <v>670</v>
      </c>
      <c r="I18" s="55" t="s">
        <v>266</v>
      </c>
    </row>
    <row r="19" spans="1:9" ht="12">
      <c r="A19" s="32">
        <v>6</v>
      </c>
      <c r="B19" s="55" t="s">
        <v>563</v>
      </c>
      <c r="C19" s="55" t="s">
        <v>563</v>
      </c>
      <c r="D19" s="12" t="s">
        <v>670</v>
      </c>
      <c r="E19" s="12" t="s">
        <v>670</v>
      </c>
      <c r="F19" s="12" t="s">
        <v>670</v>
      </c>
      <c r="G19" s="12" t="s">
        <v>670</v>
      </c>
      <c r="H19" s="12" t="s">
        <v>670</v>
      </c>
      <c r="I19" s="55" t="s">
        <v>266</v>
      </c>
    </row>
    <row r="20" spans="1:9" ht="12">
      <c r="A20" s="32">
        <v>7</v>
      </c>
      <c r="B20" s="55" t="s">
        <v>563</v>
      </c>
      <c r="C20" s="55" t="s">
        <v>563</v>
      </c>
      <c r="D20" s="12" t="s">
        <v>670</v>
      </c>
      <c r="E20" s="12" t="s">
        <v>670</v>
      </c>
      <c r="F20" s="12" t="s">
        <v>670</v>
      </c>
      <c r="G20" s="12" t="s">
        <v>670</v>
      </c>
      <c r="H20" s="12" t="s">
        <v>670</v>
      </c>
      <c r="I20" s="55" t="s">
        <v>266</v>
      </c>
    </row>
    <row r="21" spans="1:9" ht="12">
      <c r="A21" s="32">
        <v>8</v>
      </c>
      <c r="B21" s="55" t="s">
        <v>563</v>
      </c>
      <c r="C21" s="55" t="s">
        <v>563</v>
      </c>
      <c r="D21" s="12" t="s">
        <v>670</v>
      </c>
      <c r="E21" s="12" t="s">
        <v>670</v>
      </c>
      <c r="F21" s="12" t="s">
        <v>670</v>
      </c>
      <c r="G21" s="12" t="s">
        <v>670</v>
      </c>
      <c r="H21" s="12" t="s">
        <v>670</v>
      </c>
      <c r="I21" s="55" t="s">
        <v>266</v>
      </c>
    </row>
    <row r="22" spans="1:9" ht="12">
      <c r="A22" s="32">
        <v>9</v>
      </c>
      <c r="B22" s="55" t="s">
        <v>563</v>
      </c>
      <c r="C22" s="55" t="s">
        <v>563</v>
      </c>
      <c r="D22" s="12" t="s">
        <v>670</v>
      </c>
      <c r="E22" s="12" t="s">
        <v>670</v>
      </c>
      <c r="F22" s="12" t="s">
        <v>670</v>
      </c>
      <c r="G22" s="12" t="s">
        <v>670</v>
      </c>
      <c r="H22" s="12" t="s">
        <v>670</v>
      </c>
      <c r="I22" s="55" t="s">
        <v>266</v>
      </c>
    </row>
    <row r="23" spans="1:9" ht="12">
      <c r="A23" s="32">
        <v>0</v>
      </c>
      <c r="B23" s="55" t="s">
        <v>563</v>
      </c>
      <c r="C23" s="55" t="s">
        <v>563</v>
      </c>
      <c r="D23" s="12" t="s">
        <v>670</v>
      </c>
      <c r="E23" s="12" t="s">
        <v>670</v>
      </c>
      <c r="F23" s="12" t="s">
        <v>670</v>
      </c>
      <c r="G23" s="12" t="s">
        <v>670</v>
      </c>
      <c r="H23" s="12" t="s">
        <v>670</v>
      </c>
      <c r="I23" s="55" t="s">
        <v>266</v>
      </c>
    </row>
    <row r="24" spans="1:9" s="14" customFormat="1" ht="12">
      <c r="A24" s="31" t="s">
        <v>673</v>
      </c>
      <c r="B24" s="57" t="s">
        <v>574</v>
      </c>
      <c r="C24" s="57" t="s">
        <v>670</v>
      </c>
      <c r="D24" s="12" t="s">
        <v>670</v>
      </c>
      <c r="E24" s="12" t="s">
        <v>1444</v>
      </c>
      <c r="F24" s="12" t="s">
        <v>670</v>
      </c>
      <c r="G24" s="12" t="s">
        <v>670</v>
      </c>
      <c r="H24" s="12" t="s">
        <v>670</v>
      </c>
      <c r="I24" s="55" t="s">
        <v>266</v>
      </c>
    </row>
    <row r="25" spans="1:9" s="14" customFormat="1" ht="12">
      <c r="A25" s="31" t="s">
        <v>674</v>
      </c>
      <c r="B25" s="57" t="s">
        <v>574</v>
      </c>
      <c r="C25" s="57" t="s">
        <v>670</v>
      </c>
      <c r="D25" s="12" t="s">
        <v>670</v>
      </c>
      <c r="E25" s="12" t="s">
        <v>1445</v>
      </c>
      <c r="F25" s="12" t="s">
        <v>670</v>
      </c>
      <c r="G25" s="12" t="s">
        <v>670</v>
      </c>
      <c r="H25" s="12" t="s">
        <v>670</v>
      </c>
      <c r="I25" s="55" t="s">
        <v>266</v>
      </c>
    </row>
    <row r="26" spans="1:9" s="14" customFormat="1" ht="12">
      <c r="A26" s="31" t="s">
        <v>671</v>
      </c>
      <c r="B26" s="57" t="s">
        <v>574</v>
      </c>
      <c r="C26" s="57" t="s">
        <v>670</v>
      </c>
      <c r="D26" s="12" t="s">
        <v>670</v>
      </c>
      <c r="E26" s="12" t="s">
        <v>1446</v>
      </c>
      <c r="F26" s="12" t="s">
        <v>670</v>
      </c>
      <c r="G26" s="12" t="s">
        <v>670</v>
      </c>
      <c r="H26" s="12" t="s">
        <v>670</v>
      </c>
      <c r="I26" s="55" t="s">
        <v>266</v>
      </c>
    </row>
    <row r="27" spans="1:9" s="14" customFormat="1" ht="12">
      <c r="A27" s="31" t="s">
        <v>672</v>
      </c>
      <c r="B27" s="57" t="s">
        <v>574</v>
      </c>
      <c r="C27" s="57" t="s">
        <v>670</v>
      </c>
      <c r="D27" s="12" t="s">
        <v>670</v>
      </c>
      <c r="E27" s="12" t="s">
        <v>1447</v>
      </c>
      <c r="F27" s="12" t="s">
        <v>670</v>
      </c>
      <c r="G27" s="12" t="s">
        <v>670</v>
      </c>
      <c r="H27" s="12" t="s">
        <v>670</v>
      </c>
      <c r="I27" s="55" t="s">
        <v>266</v>
      </c>
    </row>
    <row r="28" spans="1:9" ht="12">
      <c r="A28" s="33" t="s">
        <v>599</v>
      </c>
      <c r="B28" s="57" t="s">
        <v>574</v>
      </c>
      <c r="C28" s="57" t="s">
        <v>670</v>
      </c>
      <c r="D28" s="12" t="s">
        <v>670</v>
      </c>
      <c r="E28" s="12" t="s">
        <v>670</v>
      </c>
      <c r="F28" s="12" t="s">
        <v>670</v>
      </c>
      <c r="G28" s="12" t="s">
        <v>670</v>
      </c>
      <c r="H28" s="12" t="s">
        <v>670</v>
      </c>
      <c r="I28" s="55" t="s">
        <v>266</v>
      </c>
    </row>
    <row r="29" spans="1:9" ht="12">
      <c r="A29" s="33" t="s">
        <v>600</v>
      </c>
      <c r="B29" s="57" t="s">
        <v>574</v>
      </c>
      <c r="C29" s="57" t="s">
        <v>670</v>
      </c>
      <c r="D29" s="12" t="s">
        <v>670</v>
      </c>
      <c r="E29" s="12" t="s">
        <v>670</v>
      </c>
      <c r="F29" s="12" t="s">
        <v>670</v>
      </c>
      <c r="G29" s="12" t="s">
        <v>670</v>
      </c>
      <c r="H29" s="12" t="s">
        <v>670</v>
      </c>
      <c r="I29" s="55" t="s">
        <v>266</v>
      </c>
    </row>
    <row r="30" spans="1:9" ht="12">
      <c r="A30" s="33" t="s">
        <v>587</v>
      </c>
      <c r="B30" s="57" t="s">
        <v>563</v>
      </c>
      <c r="C30" s="57" t="s">
        <v>266</v>
      </c>
      <c r="D30" s="12" t="s">
        <v>1448</v>
      </c>
      <c r="E30" s="55" t="s">
        <v>665</v>
      </c>
      <c r="F30" s="12" t="s">
        <v>1449</v>
      </c>
      <c r="G30" s="55" t="s">
        <v>665</v>
      </c>
      <c r="H30" s="12" t="s">
        <v>266</v>
      </c>
      <c r="I30" s="55" t="s">
        <v>266</v>
      </c>
    </row>
    <row r="31" spans="1:9" ht="12">
      <c r="A31" s="33" t="s">
        <v>589</v>
      </c>
      <c r="B31" s="12" t="s">
        <v>266</v>
      </c>
      <c r="C31" s="12" t="s">
        <v>670</v>
      </c>
      <c r="D31" s="12" t="s">
        <v>670</v>
      </c>
      <c r="E31" s="12" t="s">
        <v>670</v>
      </c>
      <c r="F31" s="12" t="s">
        <v>670</v>
      </c>
      <c r="G31" s="12" t="s">
        <v>670</v>
      </c>
      <c r="H31" s="12" t="s">
        <v>670</v>
      </c>
      <c r="I31" s="55" t="s">
        <v>266</v>
      </c>
    </row>
    <row r="32" spans="1:9" ht="12">
      <c r="A32" s="33" t="s">
        <v>592</v>
      </c>
      <c r="B32" s="55" t="s">
        <v>593</v>
      </c>
      <c r="C32" s="12" t="s">
        <v>670</v>
      </c>
      <c r="D32" s="12" t="s">
        <v>670</v>
      </c>
      <c r="E32" s="12" t="s">
        <v>670</v>
      </c>
      <c r="F32" s="12" t="s">
        <v>670</v>
      </c>
      <c r="G32" s="12" t="s">
        <v>670</v>
      </c>
      <c r="H32" s="12" t="s">
        <v>670</v>
      </c>
      <c r="I32" s="55" t="s">
        <v>266</v>
      </c>
    </row>
    <row r="33" spans="1:9" ht="12">
      <c r="A33" s="33" t="s">
        <v>596</v>
      </c>
      <c r="B33" s="55" t="s">
        <v>593</v>
      </c>
      <c r="C33" s="12" t="s">
        <v>670</v>
      </c>
      <c r="D33" s="12" t="s">
        <v>670</v>
      </c>
      <c r="E33" s="12" t="s">
        <v>670</v>
      </c>
      <c r="F33" s="12" t="s">
        <v>670</v>
      </c>
      <c r="G33" s="12" t="s">
        <v>670</v>
      </c>
      <c r="H33" s="12" t="s">
        <v>670</v>
      </c>
      <c r="I33" s="55" t="s">
        <v>266</v>
      </c>
    </row>
    <row r="34" spans="1:9" ht="12">
      <c r="A34" s="33" t="s">
        <v>669</v>
      </c>
      <c r="B34" s="12" t="s">
        <v>266</v>
      </c>
      <c r="C34" s="12" t="s">
        <v>670</v>
      </c>
      <c r="D34" s="12" t="s">
        <v>670</v>
      </c>
      <c r="E34" s="12" t="s">
        <v>670</v>
      </c>
      <c r="F34" s="12" t="s">
        <v>670</v>
      </c>
      <c r="G34" s="12" t="s">
        <v>670</v>
      </c>
      <c r="H34" s="12" t="s">
        <v>670</v>
      </c>
      <c r="I34" s="55" t="s">
        <v>266</v>
      </c>
    </row>
    <row r="35" spans="1:9" ht="12">
      <c r="A35" s="33" t="s">
        <v>601</v>
      </c>
      <c r="B35" s="55" t="s">
        <v>602</v>
      </c>
      <c r="C35" s="12" t="s">
        <v>670</v>
      </c>
      <c r="D35" s="12" t="s">
        <v>670</v>
      </c>
      <c r="E35" s="12" t="s">
        <v>670</v>
      </c>
      <c r="F35" s="12" t="s">
        <v>670</v>
      </c>
      <c r="G35" s="12" t="s">
        <v>670</v>
      </c>
      <c r="H35" s="12" t="s">
        <v>670</v>
      </c>
      <c r="I35" s="55" t="s">
        <v>266</v>
      </c>
    </row>
    <row r="36" spans="1:9" ht="12">
      <c r="A36" s="34" t="s">
        <v>915</v>
      </c>
      <c r="B36" s="55" t="s">
        <v>563</v>
      </c>
      <c r="C36" s="55" t="s">
        <v>563</v>
      </c>
      <c r="D36" s="12" t="s">
        <v>670</v>
      </c>
      <c r="E36" s="12" t="s">
        <v>670</v>
      </c>
      <c r="F36" s="12" t="s">
        <v>670</v>
      </c>
      <c r="G36" s="12" t="s">
        <v>670</v>
      </c>
      <c r="H36" s="12" t="s">
        <v>670</v>
      </c>
      <c r="I36" s="55" t="s">
        <v>266</v>
      </c>
    </row>
    <row r="37" spans="1:9" ht="12">
      <c r="A37" s="33" t="s">
        <v>917</v>
      </c>
      <c r="B37" s="55" t="s">
        <v>563</v>
      </c>
      <c r="C37" s="55" t="s">
        <v>563</v>
      </c>
      <c r="D37" s="12" t="s">
        <v>670</v>
      </c>
      <c r="E37" s="12" t="s">
        <v>670</v>
      </c>
      <c r="F37" s="12" t="s">
        <v>670</v>
      </c>
      <c r="G37" s="12" t="s">
        <v>670</v>
      </c>
      <c r="H37" s="12" t="s">
        <v>670</v>
      </c>
      <c r="I37" s="55" t="s">
        <v>266</v>
      </c>
    </row>
    <row r="38" spans="1:9" ht="12">
      <c r="A38" s="33" t="s">
        <v>919</v>
      </c>
      <c r="B38" s="55" t="s">
        <v>563</v>
      </c>
      <c r="C38" s="55" t="s">
        <v>563</v>
      </c>
      <c r="D38" s="12" t="s">
        <v>670</v>
      </c>
      <c r="E38" s="12" t="s">
        <v>670</v>
      </c>
      <c r="F38" s="12" t="s">
        <v>670</v>
      </c>
      <c r="G38" s="12" t="s">
        <v>670</v>
      </c>
      <c r="H38" s="12" t="s">
        <v>670</v>
      </c>
      <c r="I38" s="55" t="s">
        <v>266</v>
      </c>
    </row>
    <row r="39" spans="1:9" ht="12">
      <c r="A39" s="34" t="s">
        <v>921</v>
      </c>
      <c r="B39" s="55" t="s">
        <v>563</v>
      </c>
      <c r="C39" s="55" t="s">
        <v>563</v>
      </c>
      <c r="D39" s="12" t="s">
        <v>670</v>
      </c>
      <c r="E39" s="12" t="s">
        <v>670</v>
      </c>
      <c r="F39" s="12" t="s">
        <v>670</v>
      </c>
      <c r="G39" s="12" t="s">
        <v>670</v>
      </c>
      <c r="H39" s="12" t="s">
        <v>670</v>
      </c>
      <c r="I39" s="55" t="s">
        <v>266</v>
      </c>
    </row>
    <row r="40" spans="1:9" ht="12">
      <c r="A40" s="33" t="s">
        <v>1621</v>
      </c>
      <c r="B40" s="55" t="s">
        <v>563</v>
      </c>
      <c r="C40" s="55" t="s">
        <v>563</v>
      </c>
      <c r="D40" s="12" t="s">
        <v>670</v>
      </c>
      <c r="E40" s="12" t="s">
        <v>670</v>
      </c>
      <c r="F40" s="12" t="s">
        <v>670</v>
      </c>
      <c r="G40" s="12" t="s">
        <v>670</v>
      </c>
      <c r="H40" s="12" t="s">
        <v>670</v>
      </c>
      <c r="I40" s="55" t="s">
        <v>266</v>
      </c>
    </row>
    <row r="41" spans="1:9" ht="12">
      <c r="A41" s="33" t="s">
        <v>1622</v>
      </c>
      <c r="B41" s="55" t="s">
        <v>563</v>
      </c>
      <c r="C41" s="55" t="s">
        <v>563</v>
      </c>
      <c r="D41" s="12" t="s">
        <v>670</v>
      </c>
      <c r="E41" s="12" t="s">
        <v>670</v>
      </c>
      <c r="F41" s="12" t="s">
        <v>670</v>
      </c>
      <c r="G41" s="12" t="s">
        <v>670</v>
      </c>
      <c r="H41" s="12" t="s">
        <v>670</v>
      </c>
      <c r="I41" s="55" t="s">
        <v>266</v>
      </c>
    </row>
    <row r="42" spans="1:9" ht="12">
      <c r="A42" s="33" t="s">
        <v>926</v>
      </c>
      <c r="B42" s="55" t="s">
        <v>563</v>
      </c>
      <c r="C42" s="55" t="s">
        <v>563</v>
      </c>
      <c r="D42" s="12" t="s">
        <v>670</v>
      </c>
      <c r="E42" s="12" t="s">
        <v>670</v>
      </c>
      <c r="F42" s="12" t="s">
        <v>670</v>
      </c>
      <c r="G42" s="12" t="s">
        <v>670</v>
      </c>
      <c r="H42" s="12" t="s">
        <v>670</v>
      </c>
      <c r="I42" s="55" t="s">
        <v>266</v>
      </c>
    </row>
    <row r="43" spans="1:9" ht="12">
      <c r="A43" s="33" t="s">
        <v>928</v>
      </c>
      <c r="B43" s="55" t="s">
        <v>563</v>
      </c>
      <c r="C43" s="55" t="s">
        <v>563</v>
      </c>
      <c r="D43" s="12" t="s">
        <v>670</v>
      </c>
      <c r="E43" s="12" t="s">
        <v>670</v>
      </c>
      <c r="F43" s="12" t="s">
        <v>670</v>
      </c>
      <c r="G43" s="12" t="s">
        <v>670</v>
      </c>
      <c r="H43" s="12" t="s">
        <v>670</v>
      </c>
      <c r="I43" s="55" t="s">
        <v>266</v>
      </c>
    </row>
    <row r="44" spans="1:9" ht="12">
      <c r="A44" s="33" t="s">
        <v>930</v>
      </c>
      <c r="B44" s="55" t="s">
        <v>563</v>
      </c>
      <c r="C44" s="55" t="s">
        <v>563</v>
      </c>
      <c r="D44" s="54" t="s">
        <v>1267</v>
      </c>
      <c r="E44" s="12" t="s">
        <v>670</v>
      </c>
      <c r="F44" s="54" t="s">
        <v>1299</v>
      </c>
      <c r="G44" s="12" t="s">
        <v>670</v>
      </c>
      <c r="H44" s="54" t="s">
        <v>1301</v>
      </c>
      <c r="I44" s="55" t="s">
        <v>266</v>
      </c>
    </row>
    <row r="45" spans="1:9" ht="12">
      <c r="A45" s="33" t="s">
        <v>1266</v>
      </c>
      <c r="B45" s="55" t="s">
        <v>563</v>
      </c>
      <c r="C45" s="55" t="s">
        <v>563</v>
      </c>
      <c r="D45" s="54" t="s">
        <v>1268</v>
      </c>
      <c r="E45" s="12" t="s">
        <v>670</v>
      </c>
      <c r="F45" s="54" t="s">
        <v>1300</v>
      </c>
      <c r="G45" s="12" t="s">
        <v>670</v>
      </c>
      <c r="H45" s="54" t="s">
        <v>1302</v>
      </c>
      <c r="I45" s="55" t="s">
        <v>266</v>
      </c>
    </row>
    <row r="46" spans="1:9" ht="12">
      <c r="A46" s="33" t="s">
        <v>934</v>
      </c>
      <c r="B46" s="55" t="s">
        <v>563</v>
      </c>
      <c r="C46" s="55" t="s">
        <v>563</v>
      </c>
      <c r="D46" s="12" t="s">
        <v>670</v>
      </c>
      <c r="E46" s="12" t="s">
        <v>670</v>
      </c>
      <c r="F46" s="12" t="s">
        <v>670</v>
      </c>
      <c r="G46" s="12" t="s">
        <v>670</v>
      </c>
      <c r="H46" s="12" t="s">
        <v>670</v>
      </c>
      <c r="I46" s="55" t="s">
        <v>266</v>
      </c>
    </row>
    <row r="47" spans="1:9" ht="12">
      <c r="A47" s="33" t="s">
        <v>936</v>
      </c>
      <c r="B47" s="55" t="s">
        <v>563</v>
      </c>
      <c r="C47" s="55" t="s">
        <v>563</v>
      </c>
      <c r="D47" s="12" t="s">
        <v>670</v>
      </c>
      <c r="E47" s="12" t="s">
        <v>670</v>
      </c>
      <c r="F47" s="12" t="s">
        <v>670</v>
      </c>
      <c r="G47" s="12" t="s">
        <v>670</v>
      </c>
      <c r="H47" s="12" t="s">
        <v>670</v>
      </c>
      <c r="I47" s="55" t="s">
        <v>266</v>
      </c>
    </row>
    <row r="48" spans="1:9" ht="12">
      <c r="A48" s="33" t="s">
        <v>667</v>
      </c>
      <c r="B48" s="12" t="s">
        <v>266</v>
      </c>
      <c r="C48" s="12" t="s">
        <v>266</v>
      </c>
      <c r="D48" s="12" t="s">
        <v>266</v>
      </c>
      <c r="E48" s="12" t="s">
        <v>266</v>
      </c>
      <c r="F48" s="12" t="s">
        <v>266</v>
      </c>
      <c r="G48" s="12" t="s">
        <v>266</v>
      </c>
      <c r="H48" s="12" t="s">
        <v>266</v>
      </c>
      <c r="I48" s="55" t="s">
        <v>266</v>
      </c>
    </row>
    <row r="49" spans="1:9" ht="12">
      <c r="A49" s="33" t="s">
        <v>607</v>
      </c>
      <c r="B49" s="55" t="s">
        <v>608</v>
      </c>
      <c r="C49" s="12" t="s">
        <v>266</v>
      </c>
      <c r="D49" s="12" t="s">
        <v>266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55" t="s">
        <v>266</v>
      </c>
    </row>
    <row r="50" spans="1:9" ht="12">
      <c r="A50" s="33" t="s">
        <v>609</v>
      </c>
      <c r="B50" s="55" t="s">
        <v>608</v>
      </c>
      <c r="C50" s="12" t="s">
        <v>266</v>
      </c>
      <c r="D50" s="12" t="s">
        <v>266</v>
      </c>
      <c r="E50" s="12" t="s">
        <v>266</v>
      </c>
      <c r="F50" s="12" t="s">
        <v>266</v>
      </c>
      <c r="G50" s="12" t="s">
        <v>266</v>
      </c>
      <c r="H50" s="12" t="s">
        <v>266</v>
      </c>
      <c r="I50" s="55" t="s">
        <v>266</v>
      </c>
    </row>
    <row r="51" spans="1:9" ht="12">
      <c r="A51" s="33" t="s">
        <v>610</v>
      </c>
      <c r="B51" s="12" t="s">
        <v>266</v>
      </c>
      <c r="C51" s="12" t="s">
        <v>266</v>
      </c>
      <c r="D51" s="12" t="s">
        <v>266</v>
      </c>
      <c r="E51" s="12" t="s">
        <v>266</v>
      </c>
      <c r="F51" s="12" t="s">
        <v>266</v>
      </c>
      <c r="G51" s="12" t="s">
        <v>266</v>
      </c>
      <c r="H51" s="12" t="s">
        <v>266</v>
      </c>
      <c r="I51" s="55" t="s">
        <v>266</v>
      </c>
    </row>
    <row r="52" spans="1:9" ht="12">
      <c r="A52" s="33" t="s">
        <v>611</v>
      </c>
      <c r="B52" s="12" t="s">
        <v>266</v>
      </c>
      <c r="C52" s="12" t="s">
        <v>266</v>
      </c>
      <c r="D52" s="12" t="s">
        <v>266</v>
      </c>
      <c r="E52" s="12" t="s">
        <v>266</v>
      </c>
      <c r="F52" s="12" t="s">
        <v>266</v>
      </c>
      <c r="G52" s="12" t="s">
        <v>266</v>
      </c>
      <c r="H52" s="12" t="s">
        <v>266</v>
      </c>
      <c r="I52" s="55" t="s">
        <v>266</v>
      </c>
    </row>
    <row r="53" spans="1:9" ht="12">
      <c r="A53" s="33" t="s">
        <v>946</v>
      </c>
      <c r="B53" s="12" t="s">
        <v>266</v>
      </c>
      <c r="C53" s="12" t="s">
        <v>266</v>
      </c>
      <c r="D53" s="12" t="s">
        <v>266</v>
      </c>
      <c r="E53" s="12" t="s">
        <v>266</v>
      </c>
      <c r="F53" s="12" t="s">
        <v>266</v>
      </c>
      <c r="G53" s="12" t="s">
        <v>266</v>
      </c>
      <c r="H53" s="12" t="s">
        <v>266</v>
      </c>
      <c r="I53" s="55" t="s">
        <v>266</v>
      </c>
    </row>
    <row r="54" spans="1:9" ht="12">
      <c r="A54" s="33" t="s">
        <v>612</v>
      </c>
      <c r="B54" s="12" t="s">
        <v>266</v>
      </c>
      <c r="C54" s="12" t="s">
        <v>266</v>
      </c>
      <c r="D54" s="12" t="s">
        <v>266</v>
      </c>
      <c r="E54" s="12" t="s">
        <v>266</v>
      </c>
      <c r="F54" s="12" t="s">
        <v>266</v>
      </c>
      <c r="G54" s="12" t="s">
        <v>266</v>
      </c>
      <c r="H54" s="12" t="s">
        <v>266</v>
      </c>
      <c r="I54" s="55" t="s">
        <v>266</v>
      </c>
    </row>
    <row r="55" spans="1:9" ht="12">
      <c r="A55" s="33" t="s">
        <v>613</v>
      </c>
      <c r="B55" s="55" t="s">
        <v>563</v>
      </c>
      <c r="C55" s="55" t="s">
        <v>563</v>
      </c>
      <c r="D55" s="12" t="s">
        <v>670</v>
      </c>
      <c r="E55" s="12" t="s">
        <v>670</v>
      </c>
      <c r="F55" s="12" t="s">
        <v>670</v>
      </c>
      <c r="G55" s="54" t="s">
        <v>1634</v>
      </c>
      <c r="H55" s="12" t="s">
        <v>266</v>
      </c>
      <c r="I55" s="55" t="s">
        <v>266</v>
      </c>
    </row>
    <row r="56" spans="1:9" ht="12">
      <c r="A56" s="33" t="s">
        <v>615</v>
      </c>
      <c r="B56" s="55" t="s">
        <v>563</v>
      </c>
      <c r="C56" s="55" t="s">
        <v>563</v>
      </c>
      <c r="D56" s="12" t="s">
        <v>670</v>
      </c>
      <c r="E56" s="12" t="s">
        <v>670</v>
      </c>
      <c r="F56" s="12" t="s">
        <v>670</v>
      </c>
      <c r="G56" s="12" t="s">
        <v>670</v>
      </c>
      <c r="H56" s="54" t="s">
        <v>1557</v>
      </c>
      <c r="I56" s="55" t="s">
        <v>266</v>
      </c>
    </row>
    <row r="57" spans="1:9" ht="12">
      <c r="A57" s="33" t="s">
        <v>616</v>
      </c>
      <c r="B57" s="55" t="s">
        <v>563</v>
      </c>
      <c r="C57" s="55" t="s">
        <v>563</v>
      </c>
      <c r="D57" s="12" t="s">
        <v>670</v>
      </c>
      <c r="E57" s="12" t="s">
        <v>670</v>
      </c>
      <c r="F57" s="12" t="s">
        <v>670</v>
      </c>
      <c r="G57" s="12" t="s">
        <v>670</v>
      </c>
      <c r="H57" s="12" t="s">
        <v>670</v>
      </c>
      <c r="I57" s="55" t="s">
        <v>266</v>
      </c>
    </row>
    <row r="58" spans="1:9" ht="12">
      <c r="A58" s="33" t="s">
        <v>168</v>
      </c>
      <c r="B58" s="55" t="s">
        <v>563</v>
      </c>
      <c r="C58" s="55" t="s">
        <v>563</v>
      </c>
      <c r="D58" s="12" t="s">
        <v>1303</v>
      </c>
      <c r="E58" s="12" t="s">
        <v>670</v>
      </c>
      <c r="F58" s="12" t="s">
        <v>670</v>
      </c>
      <c r="G58" s="12" t="s">
        <v>670</v>
      </c>
      <c r="H58" s="12" t="s">
        <v>670</v>
      </c>
      <c r="I58" s="55" t="s">
        <v>266</v>
      </c>
    </row>
    <row r="59" spans="1:9" ht="12">
      <c r="A59" s="33" t="s">
        <v>115</v>
      </c>
      <c r="B59" s="55" t="s">
        <v>563</v>
      </c>
      <c r="C59" s="55" t="s">
        <v>563</v>
      </c>
      <c r="D59" s="12" t="s">
        <v>670</v>
      </c>
      <c r="E59" s="12" t="s">
        <v>670</v>
      </c>
      <c r="F59" s="12" t="s">
        <v>670</v>
      </c>
      <c r="G59" s="12" t="s">
        <v>670</v>
      </c>
      <c r="H59" s="12" t="s">
        <v>670</v>
      </c>
      <c r="I59" s="55" t="s">
        <v>266</v>
      </c>
    </row>
    <row r="60" spans="1:9" ht="12">
      <c r="A60" s="33" t="s">
        <v>49</v>
      </c>
      <c r="B60" s="55" t="s">
        <v>563</v>
      </c>
      <c r="C60" s="55" t="s">
        <v>563</v>
      </c>
      <c r="D60" s="12" t="s">
        <v>670</v>
      </c>
      <c r="E60" s="12" t="s">
        <v>670</v>
      </c>
      <c r="F60" s="54" t="s">
        <v>1636</v>
      </c>
      <c r="G60" s="12" t="s">
        <v>670</v>
      </c>
      <c r="H60" s="54" t="s">
        <v>1633</v>
      </c>
      <c r="I60" s="55" t="s">
        <v>266</v>
      </c>
    </row>
    <row r="61" spans="1:9" ht="12">
      <c r="A61" s="33" t="s">
        <v>620</v>
      </c>
      <c r="B61" s="55" t="s">
        <v>563</v>
      </c>
      <c r="C61" s="55" t="s">
        <v>563</v>
      </c>
      <c r="D61" s="12" t="s">
        <v>670</v>
      </c>
      <c r="E61" s="12" t="s">
        <v>670</v>
      </c>
      <c r="F61" s="12" t="s">
        <v>670</v>
      </c>
      <c r="G61" s="12" t="s">
        <v>670</v>
      </c>
      <c r="H61" s="12" t="s">
        <v>670</v>
      </c>
      <c r="I61" s="55" t="s">
        <v>266</v>
      </c>
    </row>
    <row r="62" spans="1:9" ht="12">
      <c r="A62" s="33" t="s">
        <v>99</v>
      </c>
      <c r="B62" s="55" t="s">
        <v>563</v>
      </c>
      <c r="C62" s="55" t="s">
        <v>563</v>
      </c>
      <c r="D62" s="12" t="s">
        <v>1304</v>
      </c>
      <c r="E62" s="12" t="s">
        <v>670</v>
      </c>
      <c r="F62" s="54" t="s">
        <v>1305</v>
      </c>
      <c r="G62" s="54" t="s">
        <v>1640</v>
      </c>
      <c r="H62" s="54" t="s">
        <v>1447</v>
      </c>
      <c r="I62" s="55" t="s">
        <v>266</v>
      </c>
    </row>
    <row r="63" spans="1:9" ht="12">
      <c r="A63" s="33" t="s">
        <v>119</v>
      </c>
      <c r="B63" s="55" t="s">
        <v>563</v>
      </c>
      <c r="C63" s="55" t="s">
        <v>563</v>
      </c>
      <c r="D63" s="12" t="s">
        <v>670</v>
      </c>
      <c r="E63" s="12" t="s">
        <v>670</v>
      </c>
      <c r="F63" s="12" t="s">
        <v>670</v>
      </c>
      <c r="G63" s="12" t="s">
        <v>670</v>
      </c>
      <c r="H63" s="12" t="s">
        <v>670</v>
      </c>
      <c r="I63" s="55" t="s">
        <v>266</v>
      </c>
    </row>
    <row r="64" spans="1:9" ht="12">
      <c r="A64" s="33" t="s">
        <v>625</v>
      </c>
      <c r="B64" s="55" t="s">
        <v>563</v>
      </c>
      <c r="C64" s="55" t="s">
        <v>563</v>
      </c>
      <c r="D64" s="12" t="s">
        <v>670</v>
      </c>
      <c r="E64" s="12" t="s">
        <v>670</v>
      </c>
      <c r="F64" s="12" t="s">
        <v>670</v>
      </c>
      <c r="G64" s="12" t="s">
        <v>670</v>
      </c>
      <c r="H64" s="54" t="s">
        <v>1445</v>
      </c>
      <c r="I64" s="55" t="s">
        <v>266</v>
      </c>
    </row>
    <row r="65" spans="1:9" ht="12">
      <c r="A65" s="33" t="s">
        <v>626</v>
      </c>
      <c r="B65" s="55" t="s">
        <v>563</v>
      </c>
      <c r="C65" s="55" t="s">
        <v>563</v>
      </c>
      <c r="D65" s="12" t="s">
        <v>1312</v>
      </c>
      <c r="E65" s="12" t="s">
        <v>670</v>
      </c>
      <c r="F65" s="12" t="s">
        <v>670</v>
      </c>
      <c r="G65" s="12" t="s">
        <v>670</v>
      </c>
      <c r="H65" s="54" t="s">
        <v>1444</v>
      </c>
      <c r="I65" s="55" t="s">
        <v>266</v>
      </c>
    </row>
    <row r="66" spans="1:9" ht="12">
      <c r="A66" s="33" t="s">
        <v>121</v>
      </c>
      <c r="B66" s="55" t="s">
        <v>563</v>
      </c>
      <c r="C66" s="55" t="s">
        <v>563</v>
      </c>
      <c r="D66" s="12" t="s">
        <v>670</v>
      </c>
      <c r="E66" s="12" t="s">
        <v>670</v>
      </c>
      <c r="F66" s="12" t="s">
        <v>670</v>
      </c>
      <c r="G66" s="12" t="s">
        <v>670</v>
      </c>
      <c r="H66" s="54" t="s">
        <v>1446</v>
      </c>
      <c r="I66" s="55" t="s">
        <v>266</v>
      </c>
    </row>
    <row r="67" spans="1:9" ht="12">
      <c r="A67" s="33" t="s">
        <v>629</v>
      </c>
      <c r="B67" s="55" t="s">
        <v>563</v>
      </c>
      <c r="C67" s="55" t="s">
        <v>563</v>
      </c>
      <c r="D67" s="12" t="s">
        <v>670</v>
      </c>
      <c r="E67" s="12" t="s">
        <v>670</v>
      </c>
      <c r="F67" s="12" t="s">
        <v>670</v>
      </c>
      <c r="G67" s="12" t="s">
        <v>670</v>
      </c>
      <c r="H67" s="12" t="s">
        <v>670</v>
      </c>
      <c r="I67" s="55" t="s">
        <v>266</v>
      </c>
    </row>
    <row r="68" spans="1:9" s="15" customFormat="1" ht="12">
      <c r="A68" s="33" t="s">
        <v>50</v>
      </c>
      <c r="B68" s="55" t="s">
        <v>563</v>
      </c>
      <c r="C68" s="55" t="s">
        <v>563</v>
      </c>
      <c r="D68" s="12" t="s">
        <v>670</v>
      </c>
      <c r="E68" s="54" t="s">
        <v>1264</v>
      </c>
      <c r="F68" s="12" t="s">
        <v>670</v>
      </c>
      <c r="G68" s="12" t="s">
        <v>670</v>
      </c>
      <c r="H68" s="12" t="s">
        <v>670</v>
      </c>
      <c r="I68" s="55" t="s">
        <v>266</v>
      </c>
    </row>
    <row r="69" spans="1:9" s="15" customFormat="1" ht="12">
      <c r="A69" s="33" t="s">
        <v>124</v>
      </c>
      <c r="B69" s="55" t="s">
        <v>563</v>
      </c>
      <c r="C69" s="55" t="s">
        <v>563</v>
      </c>
      <c r="D69" s="12" t="s">
        <v>670</v>
      </c>
      <c r="E69" s="12" t="s">
        <v>670</v>
      </c>
      <c r="F69" s="12" t="s">
        <v>670</v>
      </c>
      <c r="G69" s="12" t="s">
        <v>670</v>
      </c>
      <c r="H69" s="54" t="s">
        <v>1269</v>
      </c>
      <c r="I69" s="55" t="s">
        <v>266</v>
      </c>
    </row>
    <row r="70" spans="1:9" ht="12">
      <c r="A70" s="33" t="s">
        <v>51</v>
      </c>
      <c r="B70" s="55" t="s">
        <v>563</v>
      </c>
      <c r="C70" s="55" t="s">
        <v>563</v>
      </c>
      <c r="D70" s="12" t="s">
        <v>670</v>
      </c>
      <c r="E70" s="12" t="s">
        <v>670</v>
      </c>
      <c r="F70" s="12" t="s">
        <v>670</v>
      </c>
      <c r="G70" s="54" t="s">
        <v>1637</v>
      </c>
      <c r="H70" s="12" t="s">
        <v>670</v>
      </c>
      <c r="I70" s="55" t="s">
        <v>266</v>
      </c>
    </row>
    <row r="71" spans="1:9" ht="12">
      <c r="A71" s="33" t="s">
        <v>636</v>
      </c>
      <c r="B71" s="55" t="s">
        <v>563</v>
      </c>
      <c r="C71" s="55" t="s">
        <v>563</v>
      </c>
      <c r="D71" s="12" t="s">
        <v>670</v>
      </c>
      <c r="E71" s="12" t="s">
        <v>670</v>
      </c>
      <c r="F71" s="12" t="s">
        <v>670</v>
      </c>
      <c r="G71" s="12" t="s">
        <v>670</v>
      </c>
      <c r="H71" s="12" t="s">
        <v>670</v>
      </c>
      <c r="I71" s="55" t="s">
        <v>266</v>
      </c>
    </row>
    <row r="72" spans="1:9" ht="12">
      <c r="A72" s="33" t="s">
        <v>48</v>
      </c>
      <c r="B72" s="55" t="s">
        <v>563</v>
      </c>
      <c r="C72" s="55" t="s">
        <v>563</v>
      </c>
      <c r="D72" s="12" t="s">
        <v>670</v>
      </c>
      <c r="E72" s="12" t="s">
        <v>670</v>
      </c>
      <c r="F72" s="12" t="s">
        <v>670</v>
      </c>
      <c r="G72" s="12" t="s">
        <v>670</v>
      </c>
      <c r="H72" s="12" t="s">
        <v>670</v>
      </c>
      <c r="I72" s="55" t="s">
        <v>266</v>
      </c>
    </row>
    <row r="73" spans="1:9" ht="12">
      <c r="A73" s="33" t="s">
        <v>638</v>
      </c>
      <c r="B73" s="55" t="s">
        <v>563</v>
      </c>
      <c r="C73" s="55" t="s">
        <v>563</v>
      </c>
      <c r="D73" s="12" t="s">
        <v>670</v>
      </c>
      <c r="E73" s="12" t="s">
        <v>670</v>
      </c>
      <c r="F73" s="12" t="s">
        <v>670</v>
      </c>
      <c r="G73" s="12" t="s">
        <v>670</v>
      </c>
      <c r="H73" s="12" t="s">
        <v>670</v>
      </c>
      <c r="I73" s="55" t="s">
        <v>266</v>
      </c>
    </row>
    <row r="74" spans="1:9" ht="12">
      <c r="A74" s="33" t="s">
        <v>640</v>
      </c>
      <c r="B74" s="55" t="s">
        <v>563</v>
      </c>
      <c r="C74" s="55" t="s">
        <v>563</v>
      </c>
      <c r="D74" s="12" t="s">
        <v>670</v>
      </c>
      <c r="E74" s="12" t="s">
        <v>670</v>
      </c>
      <c r="F74" s="12" t="s">
        <v>670</v>
      </c>
      <c r="G74" s="12" t="s">
        <v>670</v>
      </c>
      <c r="H74" s="12" t="s">
        <v>670</v>
      </c>
      <c r="I74" s="55" t="s">
        <v>266</v>
      </c>
    </row>
    <row r="75" spans="1:9" ht="12">
      <c r="A75" s="33" t="s">
        <v>641</v>
      </c>
      <c r="B75" s="55" t="s">
        <v>563</v>
      </c>
      <c r="C75" s="55" t="s">
        <v>563</v>
      </c>
      <c r="D75" s="12" t="s">
        <v>1313</v>
      </c>
      <c r="E75" s="12" t="s">
        <v>670</v>
      </c>
      <c r="F75" s="12" t="s">
        <v>670</v>
      </c>
      <c r="G75" s="12" t="s">
        <v>670</v>
      </c>
      <c r="H75" s="12" t="s">
        <v>670</v>
      </c>
      <c r="I75" s="55" t="s">
        <v>266</v>
      </c>
    </row>
    <row r="76" spans="1:9" ht="12">
      <c r="A76" s="33" t="s">
        <v>642</v>
      </c>
      <c r="B76" s="55" t="s">
        <v>563</v>
      </c>
      <c r="C76" s="55" t="s">
        <v>563</v>
      </c>
      <c r="D76" s="12" t="s">
        <v>670</v>
      </c>
      <c r="E76" s="54" t="s">
        <v>1638</v>
      </c>
      <c r="F76" s="12" t="s">
        <v>670</v>
      </c>
      <c r="G76" s="54" t="s">
        <v>1639</v>
      </c>
      <c r="H76" s="12" t="s">
        <v>670</v>
      </c>
      <c r="I76" s="55" t="s">
        <v>266</v>
      </c>
    </row>
    <row r="77" spans="1:9" ht="12">
      <c r="A77" s="33" t="s">
        <v>128</v>
      </c>
      <c r="B77" s="55" t="s">
        <v>563</v>
      </c>
      <c r="C77" s="55" t="s">
        <v>563</v>
      </c>
      <c r="D77" s="12" t="s">
        <v>670</v>
      </c>
      <c r="E77" s="54" t="s">
        <v>1265</v>
      </c>
      <c r="F77" s="12" t="s">
        <v>670</v>
      </c>
      <c r="G77" s="54" t="s">
        <v>1262</v>
      </c>
      <c r="H77" s="12" t="s">
        <v>670</v>
      </c>
      <c r="I77" s="55" t="s">
        <v>266</v>
      </c>
    </row>
    <row r="78" spans="1:9" ht="12">
      <c r="A78" s="33" t="s">
        <v>645</v>
      </c>
      <c r="B78" s="55" t="s">
        <v>563</v>
      </c>
      <c r="C78" s="55" t="s">
        <v>563</v>
      </c>
      <c r="D78" s="12" t="s">
        <v>670</v>
      </c>
      <c r="E78" s="12" t="s">
        <v>670</v>
      </c>
      <c r="F78" s="12" t="s">
        <v>670</v>
      </c>
      <c r="G78" s="12" t="s">
        <v>670</v>
      </c>
      <c r="H78" s="12" t="s">
        <v>670</v>
      </c>
      <c r="I78" s="55" t="s">
        <v>266</v>
      </c>
    </row>
    <row r="79" spans="1:9" ht="12">
      <c r="A79" s="33" t="s">
        <v>648</v>
      </c>
      <c r="B79" s="55" t="s">
        <v>563</v>
      </c>
      <c r="C79" s="55" t="s">
        <v>563</v>
      </c>
      <c r="D79" s="12" t="s">
        <v>670</v>
      </c>
      <c r="E79" s="12" t="s">
        <v>670</v>
      </c>
      <c r="F79" s="12" t="s">
        <v>670</v>
      </c>
      <c r="G79" s="12" t="s">
        <v>670</v>
      </c>
      <c r="H79" s="12" t="s">
        <v>670</v>
      </c>
      <c r="I79" s="55" t="s">
        <v>266</v>
      </c>
    </row>
    <row r="80" spans="1:9" ht="12">
      <c r="A80" s="33" t="s">
        <v>650</v>
      </c>
      <c r="B80" s="55" t="s">
        <v>563</v>
      </c>
      <c r="C80" s="55" t="s">
        <v>563</v>
      </c>
      <c r="D80" s="12" t="s">
        <v>670</v>
      </c>
      <c r="E80" s="12" t="s">
        <v>670</v>
      </c>
      <c r="F80" s="12" t="s">
        <v>670</v>
      </c>
      <c r="G80" s="12" t="s">
        <v>670</v>
      </c>
      <c r="H80" s="12" t="s">
        <v>670</v>
      </c>
      <c r="I80" s="55" t="s">
        <v>266</v>
      </c>
    </row>
    <row r="81" spans="1:9" ht="12">
      <c r="A81" s="33" t="s">
        <v>668</v>
      </c>
      <c r="B81" s="55" t="s">
        <v>995</v>
      </c>
      <c r="C81" s="12" t="s">
        <v>670</v>
      </c>
      <c r="D81" s="12" t="s">
        <v>670</v>
      </c>
      <c r="E81" s="12" t="s">
        <v>670</v>
      </c>
      <c r="F81" s="12" t="s">
        <v>670</v>
      </c>
      <c r="G81" s="12" t="s">
        <v>670</v>
      </c>
      <c r="H81" s="12" t="s">
        <v>670</v>
      </c>
      <c r="I81" s="55" t="s">
        <v>266</v>
      </c>
    </row>
    <row r="82" spans="1:9" ht="12">
      <c r="A82" s="33" t="s">
        <v>947</v>
      </c>
      <c r="B82" s="12" t="s">
        <v>670</v>
      </c>
      <c r="C82" s="12" t="s">
        <v>670</v>
      </c>
      <c r="D82" s="12" t="s">
        <v>670</v>
      </c>
      <c r="E82" s="12" t="s">
        <v>670</v>
      </c>
      <c r="F82" s="12" t="s">
        <v>670</v>
      </c>
      <c r="G82" s="12" t="s">
        <v>670</v>
      </c>
      <c r="H82" s="12" t="s">
        <v>670</v>
      </c>
      <c r="I82" s="55" t="s">
        <v>266</v>
      </c>
    </row>
    <row r="83" spans="1:9" ht="12">
      <c r="A83" s="33" t="s">
        <v>948</v>
      </c>
      <c r="B83" s="12" t="s">
        <v>670</v>
      </c>
      <c r="C83" s="12" t="s">
        <v>670</v>
      </c>
      <c r="D83" s="12" t="s">
        <v>670</v>
      </c>
      <c r="E83" s="12" t="s">
        <v>670</v>
      </c>
      <c r="F83" s="12" t="s">
        <v>670</v>
      </c>
      <c r="G83" s="12" t="s">
        <v>670</v>
      </c>
      <c r="H83" s="12" t="s">
        <v>670</v>
      </c>
      <c r="I83" s="55" t="s">
        <v>266</v>
      </c>
    </row>
    <row r="84" spans="1:9" ht="12">
      <c r="A84" s="33" t="s">
        <v>950</v>
      </c>
      <c r="B84" s="12" t="s">
        <v>670</v>
      </c>
      <c r="C84" s="12" t="s">
        <v>670</v>
      </c>
      <c r="D84" s="12" t="s">
        <v>670</v>
      </c>
      <c r="E84" s="12" t="s">
        <v>670</v>
      </c>
      <c r="F84" s="12" t="s">
        <v>670</v>
      </c>
      <c r="G84" s="12" t="s">
        <v>670</v>
      </c>
      <c r="H84" s="12" t="s">
        <v>670</v>
      </c>
      <c r="I84" s="55" t="s">
        <v>266</v>
      </c>
    </row>
    <row r="85" spans="1:9" ht="12">
      <c r="A85" s="33" t="s">
        <v>656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55" t="s">
        <v>266</v>
      </c>
    </row>
    <row r="86" spans="1:9" ht="12">
      <c r="A86" s="33" t="s">
        <v>949</v>
      </c>
      <c r="B86" s="12" t="s">
        <v>670</v>
      </c>
      <c r="C86" s="12" t="s">
        <v>670</v>
      </c>
      <c r="D86" s="12" t="s">
        <v>670</v>
      </c>
      <c r="E86" s="12" t="s">
        <v>670</v>
      </c>
      <c r="F86" s="12" t="s">
        <v>670</v>
      </c>
      <c r="G86" s="12" t="s">
        <v>670</v>
      </c>
      <c r="H86" s="12" t="s">
        <v>670</v>
      </c>
      <c r="I86" s="55" t="s">
        <v>266</v>
      </c>
    </row>
    <row r="87" spans="1:9" s="16" customFormat="1" ht="12">
      <c r="A87" s="33" t="s">
        <v>951</v>
      </c>
      <c r="B87" s="12" t="s">
        <v>670</v>
      </c>
      <c r="C87" s="12" t="s">
        <v>670</v>
      </c>
      <c r="D87" s="12" t="s">
        <v>670</v>
      </c>
      <c r="E87" s="12" t="s">
        <v>670</v>
      </c>
      <c r="F87" s="12" t="s">
        <v>670</v>
      </c>
      <c r="G87" s="12" t="s">
        <v>670</v>
      </c>
      <c r="H87" s="12" t="s">
        <v>670</v>
      </c>
      <c r="I87" s="55" t="s">
        <v>266</v>
      </c>
    </row>
    <row r="88" spans="1:9" ht="12">
      <c r="A88" s="33" t="s">
        <v>952</v>
      </c>
      <c r="B88" s="12" t="s">
        <v>670</v>
      </c>
      <c r="C88" s="12" t="s">
        <v>670</v>
      </c>
      <c r="D88" s="12" t="s">
        <v>670</v>
      </c>
      <c r="E88" s="12" t="s">
        <v>670</v>
      </c>
      <c r="F88" s="12" t="s">
        <v>670</v>
      </c>
      <c r="G88" s="12" t="s">
        <v>670</v>
      </c>
      <c r="H88" s="12" t="s">
        <v>670</v>
      </c>
      <c r="I88" s="55" t="s">
        <v>266</v>
      </c>
    </row>
    <row r="89" spans="1:9" ht="12">
      <c r="A89" s="33" t="s">
        <v>658</v>
      </c>
      <c r="B89" s="12" t="s">
        <v>670</v>
      </c>
      <c r="C89" s="12" t="s">
        <v>670</v>
      </c>
      <c r="D89" s="12" t="s">
        <v>670</v>
      </c>
      <c r="E89" s="12" t="s">
        <v>670</v>
      </c>
      <c r="F89" s="12" t="s">
        <v>670</v>
      </c>
      <c r="G89" s="12" t="s">
        <v>670</v>
      </c>
      <c r="H89" s="12" t="s">
        <v>670</v>
      </c>
      <c r="I89" s="55" t="s">
        <v>266</v>
      </c>
    </row>
    <row r="90" spans="1:9" ht="12">
      <c r="A90" s="33" t="s">
        <v>660</v>
      </c>
      <c r="B90" s="12" t="s">
        <v>670</v>
      </c>
      <c r="C90" s="12" t="s">
        <v>670</v>
      </c>
      <c r="D90" s="12" t="s">
        <v>670</v>
      </c>
      <c r="E90" s="12" t="s">
        <v>670</v>
      </c>
      <c r="F90" s="12" t="s">
        <v>670</v>
      </c>
      <c r="G90" s="12" t="s">
        <v>670</v>
      </c>
      <c r="H90" s="12" t="s">
        <v>670</v>
      </c>
      <c r="I90" s="55" t="s">
        <v>266</v>
      </c>
    </row>
    <row r="93" spans="1:9" s="15" customFormat="1">
      <c r="A93" s="11"/>
      <c r="B93" s="16"/>
      <c r="C93" s="16"/>
      <c r="D93" s="16"/>
      <c r="E93" s="16"/>
      <c r="F93" s="16"/>
      <c r="G93" s="16"/>
      <c r="H93" s="16"/>
      <c r="I93" s="16"/>
    </row>
    <row r="94" spans="1:9" s="15" customFormat="1">
      <c r="A94" s="11"/>
      <c r="B94" s="11"/>
      <c r="C94" s="11"/>
      <c r="D94" s="11"/>
      <c r="E94" s="11"/>
      <c r="F94" s="11"/>
      <c r="G94" s="11"/>
      <c r="H94" s="11"/>
      <c r="I94" s="11"/>
    </row>
    <row r="95" spans="1:9" s="15" customFormat="1">
      <c r="A95" s="11"/>
      <c r="B95" s="11"/>
      <c r="C95" s="11"/>
      <c r="D95" s="11"/>
      <c r="E95" s="11"/>
      <c r="F95" s="11"/>
      <c r="G95" s="11"/>
      <c r="H95" s="11"/>
      <c r="I95" s="11"/>
    </row>
    <row r="100" spans="2:9">
      <c r="B100" s="15"/>
      <c r="C100" s="15"/>
      <c r="D100" s="15"/>
      <c r="E100" s="15"/>
      <c r="F100" s="15"/>
      <c r="G100" s="15"/>
      <c r="H100" s="15"/>
      <c r="I100" s="15"/>
    </row>
    <row r="101" spans="2:9">
      <c r="B101" s="15"/>
      <c r="C101" s="15"/>
      <c r="D101" s="15"/>
      <c r="E101" s="15"/>
      <c r="F101" s="15"/>
      <c r="G101" s="15"/>
      <c r="H101" s="15"/>
      <c r="I101" s="15"/>
    </row>
    <row r="102" spans="2:9">
      <c r="B102" s="15"/>
      <c r="C102" s="15"/>
      <c r="D102" s="15"/>
      <c r="E102" s="15"/>
      <c r="F102" s="15"/>
      <c r="G102" s="15"/>
      <c r="H102" s="15"/>
      <c r="I102" s="15"/>
    </row>
  </sheetData>
  <autoFilter ref="A1:I90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38B5-F08C-41CB-ABFE-76280E5E87F4}">
  <sheetPr codeName="Sheet25">
    <tabColor theme="8" tint="0.79998168889431442"/>
  </sheetPr>
  <dimension ref="A1:K101"/>
  <sheetViews>
    <sheetView showGridLines="0" zoomScaleNormal="100"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10" width="19.25" style="11" customWidth="1"/>
    <col min="11" max="16384" width="9" style="11"/>
  </cols>
  <sheetData>
    <row r="1" spans="1:11" ht="24">
      <c r="A1" s="20" t="s">
        <v>540</v>
      </c>
      <c r="B1" s="25" t="s">
        <v>670</v>
      </c>
      <c r="C1" s="25" t="s">
        <v>542</v>
      </c>
      <c r="D1" s="25" t="s">
        <v>541</v>
      </c>
      <c r="E1" s="25" t="s">
        <v>543</v>
      </c>
      <c r="F1" s="25" t="s">
        <v>544</v>
      </c>
      <c r="G1" s="25" t="s">
        <v>545</v>
      </c>
      <c r="H1" s="25" t="s">
        <v>546</v>
      </c>
      <c r="I1" s="26" t="s">
        <v>861</v>
      </c>
      <c r="J1" s="26" t="s">
        <v>98</v>
      </c>
    </row>
    <row r="2" spans="1:11" s="14" customFormat="1" ht="12">
      <c r="A2" s="21" t="s">
        <v>215</v>
      </c>
      <c r="B2" s="12" t="s">
        <v>670</v>
      </c>
      <c r="C2" s="12" t="s">
        <v>670</v>
      </c>
      <c r="D2" s="12" t="s">
        <v>670</v>
      </c>
      <c r="E2" s="12" t="s">
        <v>670</v>
      </c>
      <c r="F2" s="12" t="s">
        <v>670</v>
      </c>
      <c r="G2" s="12" t="s">
        <v>670</v>
      </c>
      <c r="H2" s="12" t="s">
        <v>670</v>
      </c>
      <c r="I2" s="19" t="s">
        <v>670</v>
      </c>
      <c r="J2" s="19" t="s">
        <v>670</v>
      </c>
    </row>
    <row r="3" spans="1:11" s="14" customFormat="1" ht="12">
      <c r="A3" s="21" t="s">
        <v>154</v>
      </c>
      <c r="B3" s="12" t="s">
        <v>670</v>
      </c>
      <c r="C3" s="12" t="s">
        <v>670</v>
      </c>
      <c r="D3" s="41" t="s">
        <v>670</v>
      </c>
      <c r="E3" s="12" t="s">
        <v>670</v>
      </c>
      <c r="F3" s="12" t="s">
        <v>670</v>
      </c>
      <c r="G3" s="12" t="s">
        <v>670</v>
      </c>
      <c r="H3" s="12" t="s">
        <v>670</v>
      </c>
      <c r="I3" s="19" t="s">
        <v>670</v>
      </c>
      <c r="J3" s="19" t="s">
        <v>670</v>
      </c>
    </row>
    <row r="4" spans="1:11" s="14" customFormat="1" ht="12">
      <c r="A4" s="21" t="s">
        <v>156</v>
      </c>
      <c r="B4" s="12" t="s">
        <v>670</v>
      </c>
      <c r="C4" s="12" t="s">
        <v>670</v>
      </c>
      <c r="D4" s="12" t="s">
        <v>670</v>
      </c>
      <c r="E4" s="12" t="s">
        <v>670</v>
      </c>
      <c r="F4" s="12" t="s">
        <v>670</v>
      </c>
      <c r="G4" s="12" t="s">
        <v>670</v>
      </c>
      <c r="H4" s="12" t="s">
        <v>670</v>
      </c>
      <c r="I4" s="19" t="s">
        <v>670</v>
      </c>
      <c r="J4" s="19" t="s">
        <v>670</v>
      </c>
    </row>
    <row r="5" spans="1:11" s="14" customFormat="1" ht="12">
      <c r="A5" s="21" t="s">
        <v>150</v>
      </c>
      <c r="B5" s="12" t="s">
        <v>670</v>
      </c>
      <c r="C5" s="12" t="s">
        <v>670</v>
      </c>
      <c r="D5" s="12" t="s">
        <v>670</v>
      </c>
      <c r="E5" s="12" t="s">
        <v>1582</v>
      </c>
      <c r="F5" s="12" t="s">
        <v>670</v>
      </c>
      <c r="G5" s="12" t="s">
        <v>670</v>
      </c>
      <c r="H5" s="12" t="s">
        <v>670</v>
      </c>
      <c r="I5" s="19" t="s">
        <v>670</v>
      </c>
      <c r="J5" s="19" t="s">
        <v>670</v>
      </c>
    </row>
    <row r="6" spans="1:11" s="14" customFormat="1" ht="12">
      <c r="A6" s="21" t="s">
        <v>159</v>
      </c>
      <c r="B6" s="12" t="s">
        <v>670</v>
      </c>
      <c r="C6" s="42" t="s">
        <v>1615</v>
      </c>
      <c r="D6" s="12" t="s">
        <v>670</v>
      </c>
      <c r="E6" s="12" t="s">
        <v>670</v>
      </c>
      <c r="F6" s="12" t="s">
        <v>670</v>
      </c>
      <c r="G6" s="12" t="s">
        <v>670</v>
      </c>
      <c r="H6" s="12" t="s">
        <v>670</v>
      </c>
      <c r="I6" s="19" t="s">
        <v>670</v>
      </c>
      <c r="J6" s="19" t="s">
        <v>670</v>
      </c>
    </row>
    <row r="7" spans="1:11" s="14" customFormat="1" ht="12">
      <c r="A7" s="21" t="s">
        <v>53</v>
      </c>
      <c r="B7" s="12" t="s">
        <v>670</v>
      </c>
      <c r="C7" s="12" t="s">
        <v>670</v>
      </c>
      <c r="D7" s="12" t="s">
        <v>670</v>
      </c>
      <c r="E7" s="12" t="s">
        <v>670</v>
      </c>
      <c r="F7" s="12" t="s">
        <v>670</v>
      </c>
      <c r="G7" s="12" t="s">
        <v>670</v>
      </c>
      <c r="H7" s="12" t="s">
        <v>670</v>
      </c>
      <c r="I7" s="19" t="s">
        <v>670</v>
      </c>
      <c r="J7" s="19" t="s">
        <v>670</v>
      </c>
    </row>
    <row r="8" spans="1:11" s="14" customFormat="1" ht="12">
      <c r="A8" s="21" t="s">
        <v>224</v>
      </c>
      <c r="B8" s="12" t="s">
        <v>670</v>
      </c>
      <c r="C8" s="12" t="s">
        <v>670</v>
      </c>
      <c r="D8" s="12" t="s">
        <v>670</v>
      </c>
      <c r="E8" s="12" t="s">
        <v>670</v>
      </c>
      <c r="F8" s="12" t="s">
        <v>670</v>
      </c>
      <c r="G8" s="12" t="s">
        <v>670</v>
      </c>
      <c r="H8" s="12" t="s">
        <v>670</v>
      </c>
      <c r="I8" s="19" t="s">
        <v>670</v>
      </c>
      <c r="J8" s="19" t="s">
        <v>670</v>
      </c>
    </row>
    <row r="9" spans="1:11" s="14" customFormat="1" ht="12">
      <c r="A9" s="21" t="s">
        <v>238</v>
      </c>
      <c r="B9" s="12" t="s">
        <v>670</v>
      </c>
      <c r="C9" s="12" t="s">
        <v>670</v>
      </c>
      <c r="D9" s="12" t="s">
        <v>670</v>
      </c>
      <c r="E9" s="12" t="s">
        <v>670</v>
      </c>
      <c r="F9" s="12" t="s">
        <v>670</v>
      </c>
      <c r="G9" s="12" t="s">
        <v>670</v>
      </c>
      <c r="H9" s="12" t="s">
        <v>670</v>
      </c>
      <c r="I9" s="19" t="s">
        <v>670</v>
      </c>
      <c r="J9" s="19" t="s">
        <v>670</v>
      </c>
    </row>
    <row r="10" spans="1:11" s="14" customFormat="1" ht="12">
      <c r="A10" s="21" t="s">
        <v>235</v>
      </c>
      <c r="B10" s="12" t="s">
        <v>670</v>
      </c>
      <c r="C10" s="12" t="s">
        <v>670</v>
      </c>
      <c r="D10" s="12" t="s">
        <v>670</v>
      </c>
      <c r="E10" s="12" t="s">
        <v>670</v>
      </c>
      <c r="F10" s="12" t="s">
        <v>670</v>
      </c>
      <c r="G10" s="12" t="s">
        <v>670</v>
      </c>
      <c r="H10" s="12" t="s">
        <v>670</v>
      </c>
      <c r="I10" s="19" t="s">
        <v>670</v>
      </c>
      <c r="J10" s="19" t="s">
        <v>670</v>
      </c>
    </row>
    <row r="11" spans="1:11" s="14" customFormat="1" ht="12">
      <c r="A11" s="21" t="s">
        <v>141</v>
      </c>
      <c r="B11" s="12" t="s">
        <v>670</v>
      </c>
      <c r="C11" s="12" t="s">
        <v>670</v>
      </c>
      <c r="D11" s="12" t="s">
        <v>670</v>
      </c>
      <c r="E11" s="12" t="s">
        <v>670</v>
      </c>
      <c r="F11" s="12" t="s">
        <v>670</v>
      </c>
      <c r="G11" s="12" t="s">
        <v>670</v>
      </c>
      <c r="H11" s="12" t="s">
        <v>670</v>
      </c>
      <c r="I11" s="19" t="s">
        <v>670</v>
      </c>
      <c r="J11" s="19" t="s">
        <v>670</v>
      </c>
    </row>
    <row r="12" spans="1:11" s="14" customFormat="1" ht="12">
      <c r="A12" s="21" t="s">
        <v>221</v>
      </c>
      <c r="B12" s="12" t="s">
        <v>1604</v>
      </c>
      <c r="C12" s="12" t="s">
        <v>670</v>
      </c>
      <c r="D12" s="12" t="s">
        <v>670</v>
      </c>
      <c r="E12" s="12" t="s">
        <v>670</v>
      </c>
      <c r="F12" s="12" t="s">
        <v>670</v>
      </c>
      <c r="G12" s="12" t="s">
        <v>670</v>
      </c>
      <c r="H12" s="12" t="s">
        <v>670</v>
      </c>
      <c r="I12" s="19" t="s">
        <v>670</v>
      </c>
      <c r="J12" s="19" t="s">
        <v>670</v>
      </c>
    </row>
    <row r="13" spans="1:11" s="14" customFormat="1" ht="12">
      <c r="A13" s="21" t="s">
        <v>225</v>
      </c>
      <c r="B13" s="12" t="s">
        <v>670</v>
      </c>
      <c r="C13" s="42" t="s">
        <v>1615</v>
      </c>
      <c r="D13" s="42" t="s">
        <v>1615</v>
      </c>
      <c r="E13" s="12" t="s">
        <v>670</v>
      </c>
      <c r="F13" s="42" t="s">
        <v>1615</v>
      </c>
      <c r="G13" s="12" t="s">
        <v>670</v>
      </c>
      <c r="H13" s="12" t="s">
        <v>670</v>
      </c>
      <c r="I13" s="19" t="s">
        <v>670</v>
      </c>
      <c r="J13" s="19" t="s">
        <v>670</v>
      </c>
    </row>
    <row r="14" spans="1:11" ht="12">
      <c r="A14" s="22">
        <v>1</v>
      </c>
      <c r="B14" s="55" t="s">
        <v>995</v>
      </c>
      <c r="C14" s="55" t="s">
        <v>995</v>
      </c>
      <c r="D14" s="12" t="s">
        <v>670</v>
      </c>
      <c r="E14" s="12" t="s">
        <v>670</v>
      </c>
      <c r="F14" s="12" t="s">
        <v>1606</v>
      </c>
      <c r="G14" s="12" t="s">
        <v>670</v>
      </c>
      <c r="H14" s="12" t="s">
        <v>1584</v>
      </c>
      <c r="I14" s="19" t="s">
        <v>670</v>
      </c>
      <c r="J14" s="19" t="s">
        <v>670</v>
      </c>
    </row>
    <row r="15" spans="1:11" ht="12">
      <c r="A15" s="22">
        <v>2</v>
      </c>
      <c r="B15" s="55" t="s">
        <v>995</v>
      </c>
      <c r="C15" s="55" t="s">
        <v>995</v>
      </c>
      <c r="D15" s="12" t="s">
        <v>670</v>
      </c>
      <c r="E15" s="12" t="s">
        <v>670</v>
      </c>
      <c r="F15" s="12" t="s">
        <v>1607</v>
      </c>
      <c r="G15" s="12" t="s">
        <v>670</v>
      </c>
      <c r="H15" s="12" t="s">
        <v>1585</v>
      </c>
      <c r="I15" s="19" t="s">
        <v>670</v>
      </c>
      <c r="J15" s="19" t="s">
        <v>670</v>
      </c>
    </row>
    <row r="16" spans="1:11" ht="12">
      <c r="A16" s="22">
        <v>3</v>
      </c>
      <c r="B16" s="55" t="s">
        <v>995</v>
      </c>
      <c r="C16" s="55" t="s">
        <v>995</v>
      </c>
      <c r="D16" s="12" t="s">
        <v>670</v>
      </c>
      <c r="E16" s="12" t="s">
        <v>670</v>
      </c>
      <c r="F16" s="12" t="s">
        <v>1608</v>
      </c>
      <c r="G16" s="12" t="s">
        <v>670</v>
      </c>
      <c r="H16" s="12" t="s">
        <v>1586</v>
      </c>
      <c r="I16" s="19" t="s">
        <v>670</v>
      </c>
      <c r="J16" s="19" t="s">
        <v>670</v>
      </c>
      <c r="K16" s="40"/>
    </row>
    <row r="17" spans="1:10" ht="12">
      <c r="A17" s="22">
        <v>4</v>
      </c>
      <c r="B17" s="55" t="s">
        <v>995</v>
      </c>
      <c r="C17" s="55" t="s">
        <v>995</v>
      </c>
      <c r="D17" s="12" t="s">
        <v>670</v>
      </c>
      <c r="E17" s="12" t="s">
        <v>670</v>
      </c>
      <c r="F17" s="12" t="s">
        <v>1609</v>
      </c>
      <c r="G17" s="12" t="s">
        <v>670</v>
      </c>
      <c r="H17" s="12" t="s">
        <v>1587</v>
      </c>
      <c r="I17" s="19" t="s">
        <v>670</v>
      </c>
      <c r="J17" s="19" t="s">
        <v>670</v>
      </c>
    </row>
    <row r="18" spans="1:10" ht="12">
      <c r="A18" s="22">
        <v>5</v>
      </c>
      <c r="B18" s="55" t="s">
        <v>995</v>
      </c>
      <c r="C18" s="55" t="s">
        <v>995</v>
      </c>
      <c r="D18" s="12" t="s">
        <v>670</v>
      </c>
      <c r="E18" s="12" t="s">
        <v>670</v>
      </c>
      <c r="F18" s="12" t="s">
        <v>1610</v>
      </c>
      <c r="G18" s="12" t="s">
        <v>670</v>
      </c>
      <c r="H18" s="12" t="s">
        <v>1588</v>
      </c>
      <c r="I18" s="19" t="s">
        <v>670</v>
      </c>
      <c r="J18" s="19" t="s">
        <v>670</v>
      </c>
    </row>
    <row r="19" spans="1:10" ht="12">
      <c r="A19" s="22">
        <v>6</v>
      </c>
      <c r="B19" s="55" t="s">
        <v>995</v>
      </c>
      <c r="C19" s="55" t="s">
        <v>995</v>
      </c>
      <c r="D19" s="12" t="s">
        <v>670</v>
      </c>
      <c r="E19" s="12" t="s">
        <v>670</v>
      </c>
      <c r="F19" s="12" t="s">
        <v>1611</v>
      </c>
      <c r="G19" s="12" t="s">
        <v>670</v>
      </c>
      <c r="H19" s="12" t="s">
        <v>1589</v>
      </c>
      <c r="I19" s="19" t="s">
        <v>670</v>
      </c>
      <c r="J19" s="19" t="s">
        <v>670</v>
      </c>
    </row>
    <row r="20" spans="1:10" ht="12">
      <c r="A20" s="22">
        <v>7</v>
      </c>
      <c r="B20" s="55" t="s">
        <v>995</v>
      </c>
      <c r="C20" s="55" t="s">
        <v>995</v>
      </c>
      <c r="D20" s="12" t="s">
        <v>670</v>
      </c>
      <c r="E20" s="12" t="s">
        <v>670</v>
      </c>
      <c r="F20" s="12" t="s">
        <v>1612</v>
      </c>
      <c r="G20" s="12" t="s">
        <v>670</v>
      </c>
      <c r="H20" s="12" t="s">
        <v>1590</v>
      </c>
      <c r="I20" s="19" t="s">
        <v>670</v>
      </c>
      <c r="J20" s="19" t="s">
        <v>670</v>
      </c>
    </row>
    <row r="21" spans="1:10" ht="12">
      <c r="A21" s="22">
        <v>8</v>
      </c>
      <c r="B21" s="55" t="s">
        <v>995</v>
      </c>
      <c r="C21" s="55" t="s">
        <v>995</v>
      </c>
      <c r="D21" s="12" t="s">
        <v>670</v>
      </c>
      <c r="E21" s="12" t="s">
        <v>670</v>
      </c>
      <c r="F21" s="12" t="s">
        <v>1613</v>
      </c>
      <c r="G21" s="12" t="s">
        <v>670</v>
      </c>
      <c r="H21" s="12" t="s">
        <v>1591</v>
      </c>
      <c r="I21" s="19" t="s">
        <v>670</v>
      </c>
      <c r="J21" s="19" t="s">
        <v>670</v>
      </c>
    </row>
    <row r="22" spans="1:10" ht="12">
      <c r="A22" s="22">
        <v>9</v>
      </c>
      <c r="B22" s="55" t="s">
        <v>995</v>
      </c>
      <c r="C22" s="55" t="s">
        <v>995</v>
      </c>
      <c r="D22" s="12" t="s">
        <v>670</v>
      </c>
      <c r="E22" s="12" t="s">
        <v>670</v>
      </c>
      <c r="F22" s="12" t="s">
        <v>1614</v>
      </c>
      <c r="G22" s="12" t="s">
        <v>670</v>
      </c>
      <c r="H22" s="12" t="s">
        <v>1618</v>
      </c>
      <c r="I22" s="19" t="s">
        <v>670</v>
      </c>
      <c r="J22" s="19" t="s">
        <v>670</v>
      </c>
    </row>
    <row r="23" spans="1:10" ht="12">
      <c r="A23" s="22">
        <v>0</v>
      </c>
      <c r="B23" s="55" t="s">
        <v>995</v>
      </c>
      <c r="C23" s="55" t="s">
        <v>995</v>
      </c>
      <c r="D23" s="12" t="s">
        <v>670</v>
      </c>
      <c r="E23" s="12" t="s">
        <v>670</v>
      </c>
      <c r="F23" s="12" t="s">
        <v>670</v>
      </c>
      <c r="G23" s="12" t="s">
        <v>1599</v>
      </c>
      <c r="H23" s="12" t="s">
        <v>670</v>
      </c>
      <c r="I23" s="19" t="s">
        <v>670</v>
      </c>
      <c r="J23" s="19" t="s">
        <v>670</v>
      </c>
    </row>
    <row r="24" spans="1:10" s="14" customFormat="1" ht="12">
      <c r="A24" s="21" t="s">
        <v>673</v>
      </c>
      <c r="B24" s="57" t="s">
        <v>574</v>
      </c>
      <c r="C24" s="57" t="s">
        <v>1060</v>
      </c>
      <c r="D24" s="38" t="s">
        <v>670</v>
      </c>
      <c r="E24" s="12" t="s">
        <v>1624</v>
      </c>
      <c r="F24" s="12" t="s">
        <v>1602</v>
      </c>
      <c r="G24" s="12" t="s">
        <v>1576</v>
      </c>
      <c r="H24" s="12" t="s">
        <v>670</v>
      </c>
      <c r="I24" s="19" t="s">
        <v>670</v>
      </c>
      <c r="J24" s="19" t="s">
        <v>670</v>
      </c>
    </row>
    <row r="25" spans="1:10" s="14" customFormat="1" ht="12">
      <c r="A25" s="21" t="s">
        <v>674</v>
      </c>
      <c r="B25" s="57" t="s">
        <v>574</v>
      </c>
      <c r="C25" s="57" t="s">
        <v>1060</v>
      </c>
      <c r="D25" s="12" t="s">
        <v>670</v>
      </c>
      <c r="E25" s="12" t="s">
        <v>1625</v>
      </c>
      <c r="F25" s="12" t="s">
        <v>1603</v>
      </c>
      <c r="G25" s="12" t="s">
        <v>1577</v>
      </c>
      <c r="H25" s="41" t="s">
        <v>670</v>
      </c>
      <c r="I25" s="19" t="s">
        <v>670</v>
      </c>
      <c r="J25" s="19" t="s">
        <v>670</v>
      </c>
    </row>
    <row r="26" spans="1:10" ht="12">
      <c r="A26" s="21" t="s">
        <v>671</v>
      </c>
      <c r="B26" s="57" t="s">
        <v>574</v>
      </c>
      <c r="C26" s="57" t="s">
        <v>1060</v>
      </c>
      <c r="D26" s="12" t="s">
        <v>1596</v>
      </c>
      <c r="E26" s="12" t="s">
        <v>1626</v>
      </c>
      <c r="F26" s="12" t="s">
        <v>670</v>
      </c>
      <c r="G26" s="12" t="s">
        <v>1579</v>
      </c>
      <c r="H26" s="12" t="s">
        <v>670</v>
      </c>
      <c r="I26" s="19" t="s">
        <v>670</v>
      </c>
      <c r="J26" s="19" t="s">
        <v>670</v>
      </c>
    </row>
    <row r="27" spans="1:10" ht="12">
      <c r="A27" s="21" t="s">
        <v>672</v>
      </c>
      <c r="B27" s="57" t="s">
        <v>574</v>
      </c>
      <c r="C27" s="57" t="s">
        <v>1060</v>
      </c>
      <c r="D27" s="12" t="s">
        <v>1595</v>
      </c>
      <c r="E27" s="12" t="s">
        <v>1627</v>
      </c>
      <c r="F27" s="12" t="s">
        <v>670</v>
      </c>
      <c r="G27" s="12" t="s">
        <v>1578</v>
      </c>
      <c r="H27" s="12" t="s">
        <v>1628</v>
      </c>
      <c r="I27" s="19" t="s">
        <v>670</v>
      </c>
      <c r="J27" s="19" t="s">
        <v>670</v>
      </c>
    </row>
    <row r="28" spans="1:10" ht="12">
      <c r="A28" s="23" t="s">
        <v>599</v>
      </c>
      <c r="B28" s="57" t="s">
        <v>574</v>
      </c>
      <c r="C28" s="57" t="s">
        <v>1060</v>
      </c>
      <c r="D28" s="12" t="s">
        <v>670</v>
      </c>
      <c r="E28" s="12" t="s">
        <v>670</v>
      </c>
      <c r="F28" s="12" t="s">
        <v>1619</v>
      </c>
      <c r="G28" s="12" t="s">
        <v>670</v>
      </c>
      <c r="H28" s="12" t="s">
        <v>670</v>
      </c>
      <c r="I28" s="19" t="s">
        <v>670</v>
      </c>
      <c r="J28" s="19" t="s">
        <v>670</v>
      </c>
    </row>
    <row r="29" spans="1:10" ht="12">
      <c r="A29" s="23" t="s">
        <v>600</v>
      </c>
      <c r="B29" s="57" t="s">
        <v>574</v>
      </c>
      <c r="C29" s="57" t="s">
        <v>1060</v>
      </c>
      <c r="D29" s="12" t="s">
        <v>670</v>
      </c>
      <c r="E29" s="12" t="s">
        <v>670</v>
      </c>
      <c r="F29" s="12" t="s">
        <v>1620</v>
      </c>
      <c r="G29" s="12" t="s">
        <v>670</v>
      </c>
      <c r="H29" s="12" t="s">
        <v>670</v>
      </c>
      <c r="I29" s="19" t="s">
        <v>670</v>
      </c>
      <c r="J29" s="19" t="s">
        <v>670</v>
      </c>
    </row>
    <row r="30" spans="1:10" ht="12">
      <c r="A30" s="23" t="s">
        <v>587</v>
      </c>
      <c r="B30" s="57" t="s">
        <v>670</v>
      </c>
      <c r="C30" s="57" t="s">
        <v>670</v>
      </c>
      <c r="D30" s="12" t="s">
        <v>1631</v>
      </c>
      <c r="E30" s="55" t="s">
        <v>665</v>
      </c>
      <c r="F30" s="12" t="s">
        <v>1630</v>
      </c>
      <c r="G30" s="55" t="s">
        <v>665</v>
      </c>
      <c r="H30" s="12" t="s">
        <v>670</v>
      </c>
      <c r="I30" s="19" t="s">
        <v>670</v>
      </c>
      <c r="J30" s="19" t="s">
        <v>670</v>
      </c>
    </row>
    <row r="31" spans="1:10" ht="12">
      <c r="A31" s="23" t="s">
        <v>589</v>
      </c>
      <c r="B31" s="12" t="s">
        <v>670</v>
      </c>
      <c r="C31" s="12" t="s">
        <v>670</v>
      </c>
      <c r="D31" s="12" t="s">
        <v>670</v>
      </c>
      <c r="E31" s="12" t="s">
        <v>670</v>
      </c>
      <c r="F31" s="12" t="s">
        <v>670</v>
      </c>
      <c r="G31" s="12" t="s">
        <v>670</v>
      </c>
      <c r="H31" s="12" t="s">
        <v>670</v>
      </c>
      <c r="I31" s="19" t="s">
        <v>670</v>
      </c>
      <c r="J31" s="19" t="s">
        <v>670</v>
      </c>
    </row>
    <row r="32" spans="1:10" ht="12">
      <c r="A32" s="23" t="s">
        <v>592</v>
      </c>
      <c r="B32" s="55" t="s">
        <v>593</v>
      </c>
      <c r="C32" s="12" t="s">
        <v>670</v>
      </c>
      <c r="D32" s="12" t="s">
        <v>670</v>
      </c>
      <c r="E32" s="12" t="s">
        <v>670</v>
      </c>
      <c r="F32" s="12" t="s">
        <v>670</v>
      </c>
      <c r="G32" s="12" t="s">
        <v>670</v>
      </c>
      <c r="H32" s="12" t="s">
        <v>670</v>
      </c>
      <c r="I32" s="19" t="s">
        <v>670</v>
      </c>
      <c r="J32" s="19" t="s">
        <v>670</v>
      </c>
    </row>
    <row r="33" spans="1:10" ht="12">
      <c r="A33" s="23" t="s">
        <v>596</v>
      </c>
      <c r="B33" s="55" t="s">
        <v>593</v>
      </c>
      <c r="C33" s="12" t="s">
        <v>670</v>
      </c>
      <c r="D33" s="12" t="s">
        <v>670</v>
      </c>
      <c r="E33" s="12" t="s">
        <v>670</v>
      </c>
      <c r="F33" s="12" t="s">
        <v>670</v>
      </c>
      <c r="G33" s="12" t="s">
        <v>670</v>
      </c>
      <c r="H33" s="12" t="s">
        <v>670</v>
      </c>
      <c r="I33" s="19" t="s">
        <v>670</v>
      </c>
      <c r="J33" s="19" t="s">
        <v>670</v>
      </c>
    </row>
    <row r="34" spans="1:10" ht="12">
      <c r="A34" s="23" t="s">
        <v>669</v>
      </c>
      <c r="B34" s="12" t="s">
        <v>670</v>
      </c>
      <c r="C34" s="12" t="s">
        <v>670</v>
      </c>
      <c r="D34" s="12" t="s">
        <v>670</v>
      </c>
      <c r="E34" s="12" t="s">
        <v>670</v>
      </c>
      <c r="F34" s="12" t="s">
        <v>670</v>
      </c>
      <c r="G34" s="12" t="s">
        <v>670</v>
      </c>
      <c r="H34" s="12" t="s">
        <v>670</v>
      </c>
      <c r="I34" s="19" t="s">
        <v>670</v>
      </c>
      <c r="J34" s="19" t="s">
        <v>670</v>
      </c>
    </row>
    <row r="35" spans="1:10" ht="12">
      <c r="A35" s="23" t="s">
        <v>601</v>
      </c>
      <c r="B35" s="55" t="s">
        <v>602</v>
      </c>
      <c r="C35" s="12" t="s">
        <v>670</v>
      </c>
      <c r="D35" s="12" t="s">
        <v>670</v>
      </c>
      <c r="E35" s="12" t="s">
        <v>670</v>
      </c>
      <c r="F35" s="12" t="s">
        <v>670</v>
      </c>
      <c r="G35" s="12" t="s">
        <v>670</v>
      </c>
      <c r="H35" s="12" t="s">
        <v>670</v>
      </c>
      <c r="I35" s="19" t="s">
        <v>670</v>
      </c>
      <c r="J35" s="19" t="s">
        <v>670</v>
      </c>
    </row>
    <row r="36" spans="1:10" ht="12">
      <c r="A36" s="23" t="s">
        <v>914</v>
      </c>
      <c r="B36" s="55" t="s">
        <v>995</v>
      </c>
      <c r="C36" s="55" t="s">
        <v>995</v>
      </c>
      <c r="D36" s="12" t="s">
        <v>670</v>
      </c>
      <c r="E36" s="12" t="s">
        <v>670</v>
      </c>
      <c r="F36" s="12" t="s">
        <v>670</v>
      </c>
      <c r="G36" s="12" t="s">
        <v>1601</v>
      </c>
      <c r="H36" s="12" t="s">
        <v>670</v>
      </c>
      <c r="I36" s="19" t="s">
        <v>670</v>
      </c>
      <c r="J36" s="19" t="s">
        <v>670</v>
      </c>
    </row>
    <row r="37" spans="1:10" ht="12">
      <c r="A37" s="23" t="s">
        <v>916</v>
      </c>
      <c r="B37" s="55" t="s">
        <v>995</v>
      </c>
      <c r="C37" s="55" t="s">
        <v>995</v>
      </c>
      <c r="D37" s="44" t="s">
        <v>670</v>
      </c>
      <c r="E37" s="12" t="s">
        <v>670</v>
      </c>
      <c r="F37" s="12" t="s">
        <v>670</v>
      </c>
      <c r="G37" s="12" t="s">
        <v>670</v>
      </c>
      <c r="H37" s="12" t="s">
        <v>670</v>
      </c>
      <c r="I37" s="19" t="s">
        <v>670</v>
      </c>
      <c r="J37" s="19" t="s">
        <v>670</v>
      </c>
    </row>
    <row r="38" spans="1:10" ht="12">
      <c r="A38" s="23" t="s">
        <v>918</v>
      </c>
      <c r="B38" s="55" t="s">
        <v>995</v>
      </c>
      <c r="C38" s="55" t="s">
        <v>995</v>
      </c>
      <c r="D38" s="12" t="s">
        <v>670</v>
      </c>
      <c r="E38" s="12" t="s">
        <v>670</v>
      </c>
      <c r="F38" s="12" t="s">
        <v>670</v>
      </c>
      <c r="G38" s="12" t="s">
        <v>670</v>
      </c>
      <c r="H38" s="12" t="s">
        <v>670</v>
      </c>
      <c r="I38" s="19" t="s">
        <v>670</v>
      </c>
      <c r="J38" s="19" t="s">
        <v>670</v>
      </c>
    </row>
    <row r="39" spans="1:10" ht="12">
      <c r="A39" s="23" t="s">
        <v>920</v>
      </c>
      <c r="B39" s="55" t="s">
        <v>995</v>
      </c>
      <c r="C39" s="55" t="s">
        <v>995</v>
      </c>
      <c r="D39" s="12" t="s">
        <v>670</v>
      </c>
      <c r="E39" s="12" t="s">
        <v>670</v>
      </c>
      <c r="F39" s="12" t="s">
        <v>670</v>
      </c>
      <c r="G39" s="12" t="s">
        <v>670</v>
      </c>
      <c r="H39" s="12" t="s">
        <v>670</v>
      </c>
      <c r="I39" s="19" t="s">
        <v>670</v>
      </c>
      <c r="J39" s="12" t="s">
        <v>1643</v>
      </c>
    </row>
    <row r="40" spans="1:10" ht="12">
      <c r="A40" s="23" t="s">
        <v>922</v>
      </c>
      <c r="B40" s="55" t="s">
        <v>995</v>
      </c>
      <c r="C40" s="55" t="s">
        <v>995</v>
      </c>
      <c r="D40" s="12" t="s">
        <v>670</v>
      </c>
      <c r="E40" s="12" t="s">
        <v>670</v>
      </c>
      <c r="F40" s="12" t="s">
        <v>670</v>
      </c>
      <c r="G40" s="12" t="s">
        <v>670</v>
      </c>
      <c r="H40" s="12" t="s">
        <v>670</v>
      </c>
      <c r="I40" s="19" t="s">
        <v>670</v>
      </c>
      <c r="J40" s="19" t="s">
        <v>670</v>
      </c>
    </row>
    <row r="41" spans="1:10" ht="12">
      <c r="A41" s="23" t="s">
        <v>924</v>
      </c>
      <c r="B41" s="55" t="s">
        <v>995</v>
      </c>
      <c r="C41" s="55" t="s">
        <v>995</v>
      </c>
      <c r="D41" s="12" t="s">
        <v>670</v>
      </c>
      <c r="E41" s="12" t="s">
        <v>670</v>
      </c>
      <c r="F41" s="12" t="s">
        <v>670</v>
      </c>
      <c r="G41" s="12" t="s">
        <v>670</v>
      </c>
      <c r="H41" s="12" t="s">
        <v>670</v>
      </c>
      <c r="I41" s="19" t="s">
        <v>670</v>
      </c>
      <c r="J41" s="19" t="s">
        <v>670</v>
      </c>
    </row>
    <row r="42" spans="1:10" ht="12">
      <c r="A42" s="23" t="s">
        <v>926</v>
      </c>
      <c r="B42" s="55" t="s">
        <v>995</v>
      </c>
      <c r="C42" s="55" t="s">
        <v>995</v>
      </c>
      <c r="D42" s="12" t="s">
        <v>670</v>
      </c>
      <c r="E42" s="12" t="s">
        <v>670</v>
      </c>
      <c r="F42" s="12" t="s">
        <v>670</v>
      </c>
      <c r="G42" s="12" t="s">
        <v>1600</v>
      </c>
      <c r="H42" s="12" t="s">
        <v>670</v>
      </c>
      <c r="I42" s="19" t="s">
        <v>670</v>
      </c>
      <c r="J42" s="19" t="s">
        <v>670</v>
      </c>
    </row>
    <row r="43" spans="1:10" ht="12">
      <c r="A43" s="23" t="s">
        <v>928</v>
      </c>
      <c r="B43" s="55" t="s">
        <v>995</v>
      </c>
      <c r="C43" s="55" t="s">
        <v>995</v>
      </c>
      <c r="D43" s="12" t="s">
        <v>670</v>
      </c>
      <c r="E43" s="12" t="s">
        <v>670</v>
      </c>
      <c r="F43" s="12" t="s">
        <v>670</v>
      </c>
      <c r="G43" s="12" t="s">
        <v>670</v>
      </c>
      <c r="H43" s="12" t="s">
        <v>670</v>
      </c>
      <c r="I43" s="19" t="s">
        <v>670</v>
      </c>
      <c r="J43" s="19" t="s">
        <v>670</v>
      </c>
    </row>
    <row r="44" spans="1:10" ht="12">
      <c r="A44" s="23" t="s">
        <v>930</v>
      </c>
      <c r="B44" s="55" t="s">
        <v>995</v>
      </c>
      <c r="C44" s="55" t="s">
        <v>995</v>
      </c>
      <c r="D44" s="12" t="s">
        <v>1593</v>
      </c>
      <c r="E44" s="12" t="s">
        <v>670</v>
      </c>
      <c r="F44" s="12" t="s">
        <v>1595</v>
      </c>
      <c r="G44" s="12" t="s">
        <v>670</v>
      </c>
      <c r="H44" s="12" t="s">
        <v>1597</v>
      </c>
      <c r="I44" s="19" t="s">
        <v>670</v>
      </c>
      <c r="J44" s="19" t="s">
        <v>670</v>
      </c>
    </row>
    <row r="45" spans="1:10" ht="12">
      <c r="A45" s="23" t="s">
        <v>932</v>
      </c>
      <c r="B45" s="55" t="s">
        <v>995</v>
      </c>
      <c r="C45" s="55" t="s">
        <v>995</v>
      </c>
      <c r="D45" s="12" t="s">
        <v>1594</v>
      </c>
      <c r="E45" s="12" t="s">
        <v>670</v>
      </c>
      <c r="F45" s="12" t="s">
        <v>1596</v>
      </c>
      <c r="G45" s="12" t="s">
        <v>670</v>
      </c>
      <c r="H45" s="12" t="s">
        <v>1598</v>
      </c>
      <c r="I45" s="19" t="s">
        <v>670</v>
      </c>
      <c r="J45" s="19" t="s">
        <v>670</v>
      </c>
    </row>
    <row r="46" spans="1:10" ht="12">
      <c r="A46" s="23" t="s">
        <v>934</v>
      </c>
      <c r="B46" s="55" t="s">
        <v>995</v>
      </c>
      <c r="C46" s="55" t="s">
        <v>995</v>
      </c>
      <c r="D46" s="12" t="s">
        <v>670</v>
      </c>
      <c r="E46" s="12" t="s">
        <v>670</v>
      </c>
      <c r="F46" s="12" t="s">
        <v>670</v>
      </c>
      <c r="G46" s="12" t="s">
        <v>670</v>
      </c>
      <c r="H46" s="12" t="s">
        <v>670</v>
      </c>
      <c r="I46" s="19" t="s">
        <v>670</v>
      </c>
      <c r="J46" s="19" t="s">
        <v>670</v>
      </c>
    </row>
    <row r="47" spans="1:10" ht="12">
      <c r="A47" s="23" t="s">
        <v>936</v>
      </c>
      <c r="B47" s="55" t="s">
        <v>995</v>
      </c>
      <c r="C47" s="55" t="s">
        <v>995</v>
      </c>
      <c r="D47" s="12" t="s">
        <v>670</v>
      </c>
      <c r="E47" s="12" t="s">
        <v>670</v>
      </c>
      <c r="F47" s="12" t="s">
        <v>670</v>
      </c>
      <c r="G47" s="12" t="s">
        <v>670</v>
      </c>
      <c r="H47" s="12" t="s">
        <v>670</v>
      </c>
      <c r="I47" s="19" t="s">
        <v>670</v>
      </c>
      <c r="J47" s="19" t="s">
        <v>670</v>
      </c>
    </row>
    <row r="48" spans="1:10" ht="12">
      <c r="A48" s="23" t="s">
        <v>667</v>
      </c>
      <c r="B48" s="12" t="s">
        <v>670</v>
      </c>
      <c r="C48" s="12" t="s">
        <v>670</v>
      </c>
      <c r="D48" s="12" t="s">
        <v>670</v>
      </c>
      <c r="E48" s="12" t="s">
        <v>670</v>
      </c>
      <c r="F48" s="12" t="s">
        <v>670</v>
      </c>
      <c r="G48" s="12" t="s">
        <v>670</v>
      </c>
      <c r="H48" s="12" t="s">
        <v>670</v>
      </c>
      <c r="I48" s="19" t="s">
        <v>670</v>
      </c>
      <c r="J48" s="19" t="s">
        <v>670</v>
      </c>
    </row>
    <row r="49" spans="1:10" ht="12">
      <c r="A49" s="23" t="s">
        <v>607</v>
      </c>
      <c r="B49" s="55" t="s">
        <v>608</v>
      </c>
      <c r="C49" s="12" t="s">
        <v>670</v>
      </c>
      <c r="D49" s="12" t="s">
        <v>670</v>
      </c>
      <c r="E49" s="12" t="s">
        <v>670</v>
      </c>
      <c r="F49" s="12" t="s">
        <v>670</v>
      </c>
      <c r="G49" s="12" t="s">
        <v>670</v>
      </c>
      <c r="H49" s="12" t="s">
        <v>670</v>
      </c>
      <c r="I49" s="19" t="s">
        <v>670</v>
      </c>
      <c r="J49" s="19" t="s">
        <v>670</v>
      </c>
    </row>
    <row r="50" spans="1:10" ht="12">
      <c r="A50" s="23" t="s">
        <v>609</v>
      </c>
      <c r="B50" s="55" t="s">
        <v>608</v>
      </c>
      <c r="C50" s="12" t="s">
        <v>670</v>
      </c>
      <c r="D50" s="12" t="s">
        <v>670</v>
      </c>
      <c r="E50" s="12" t="s">
        <v>670</v>
      </c>
      <c r="F50" s="12" t="s">
        <v>670</v>
      </c>
      <c r="G50" s="12" t="s">
        <v>670</v>
      </c>
      <c r="H50" s="12" t="s">
        <v>670</v>
      </c>
      <c r="I50" s="19" t="s">
        <v>670</v>
      </c>
      <c r="J50" s="19" t="s">
        <v>670</v>
      </c>
    </row>
    <row r="51" spans="1:10" ht="12">
      <c r="A51" s="23" t="s">
        <v>610</v>
      </c>
      <c r="B51" s="12" t="s">
        <v>670</v>
      </c>
      <c r="C51" s="12" t="s">
        <v>670</v>
      </c>
      <c r="D51" s="12" t="s">
        <v>670</v>
      </c>
      <c r="E51" s="12" t="s">
        <v>670</v>
      </c>
      <c r="F51" s="12" t="s">
        <v>670</v>
      </c>
      <c r="G51" s="12" t="s">
        <v>670</v>
      </c>
      <c r="H51" s="12" t="s">
        <v>670</v>
      </c>
      <c r="I51" s="19" t="s">
        <v>670</v>
      </c>
      <c r="J51" s="19" t="s">
        <v>670</v>
      </c>
    </row>
    <row r="52" spans="1:10" ht="12">
      <c r="A52" s="23" t="s">
        <v>611</v>
      </c>
      <c r="B52" s="12" t="s">
        <v>670</v>
      </c>
      <c r="C52" s="12" t="s">
        <v>670</v>
      </c>
      <c r="D52" s="12" t="s">
        <v>670</v>
      </c>
      <c r="E52" s="12" t="s">
        <v>670</v>
      </c>
      <c r="F52" s="12" t="s">
        <v>670</v>
      </c>
      <c r="G52" s="12" t="s">
        <v>670</v>
      </c>
      <c r="H52" s="12" t="s">
        <v>670</v>
      </c>
      <c r="I52" s="19" t="s">
        <v>670</v>
      </c>
      <c r="J52" s="19" t="s">
        <v>670</v>
      </c>
    </row>
    <row r="53" spans="1:10" ht="12">
      <c r="A53" s="23" t="s">
        <v>946</v>
      </c>
      <c r="B53" s="12" t="s">
        <v>670</v>
      </c>
      <c r="C53" s="12" t="s">
        <v>670</v>
      </c>
      <c r="D53" s="12" t="s">
        <v>670</v>
      </c>
      <c r="E53" s="12" t="s">
        <v>670</v>
      </c>
      <c r="F53" s="12" t="s">
        <v>670</v>
      </c>
      <c r="G53" s="12" t="s">
        <v>670</v>
      </c>
      <c r="H53" s="12" t="s">
        <v>670</v>
      </c>
      <c r="I53" s="19" t="s">
        <v>670</v>
      </c>
      <c r="J53" s="19" t="s">
        <v>670</v>
      </c>
    </row>
    <row r="54" spans="1:10" ht="12">
      <c r="A54" s="23" t="s">
        <v>612</v>
      </c>
      <c r="B54" s="12" t="s">
        <v>670</v>
      </c>
      <c r="C54" s="12" t="s">
        <v>670</v>
      </c>
      <c r="D54" s="12" t="s">
        <v>670</v>
      </c>
      <c r="E54" s="12" t="s">
        <v>670</v>
      </c>
      <c r="F54" s="12" t="s">
        <v>670</v>
      </c>
      <c r="G54" s="12" t="s">
        <v>670</v>
      </c>
      <c r="H54" s="12" t="s">
        <v>670</v>
      </c>
      <c r="I54" s="19" t="s">
        <v>670</v>
      </c>
      <c r="J54" s="19" t="s">
        <v>670</v>
      </c>
    </row>
    <row r="55" spans="1:10" ht="12">
      <c r="A55" s="23" t="s">
        <v>613</v>
      </c>
      <c r="B55" s="55" t="s">
        <v>995</v>
      </c>
      <c r="C55" s="55" t="s">
        <v>995</v>
      </c>
      <c r="D55" s="12" t="s">
        <v>670</v>
      </c>
      <c r="E55" s="12" t="s">
        <v>670</v>
      </c>
      <c r="F55" s="12" t="s">
        <v>670</v>
      </c>
      <c r="G55" s="12" t="s">
        <v>670</v>
      </c>
      <c r="H55" s="12" t="s">
        <v>670</v>
      </c>
      <c r="I55" s="19" t="s">
        <v>670</v>
      </c>
      <c r="J55" s="19" t="s">
        <v>670</v>
      </c>
    </row>
    <row r="56" spans="1:10" ht="12">
      <c r="A56" s="23" t="s">
        <v>615</v>
      </c>
      <c r="B56" s="55" t="s">
        <v>995</v>
      </c>
      <c r="C56" s="55" t="s">
        <v>995</v>
      </c>
      <c r="D56" s="12" t="s">
        <v>670</v>
      </c>
      <c r="E56" s="12" t="s">
        <v>670</v>
      </c>
      <c r="F56" s="12" t="s">
        <v>670</v>
      </c>
      <c r="G56" s="12" t="s">
        <v>670</v>
      </c>
      <c r="H56" s="12" t="s">
        <v>670</v>
      </c>
      <c r="I56" s="19" t="s">
        <v>670</v>
      </c>
      <c r="J56" s="19" t="s">
        <v>670</v>
      </c>
    </row>
    <row r="57" spans="1:10" ht="12">
      <c r="A57" s="23" t="s">
        <v>616</v>
      </c>
      <c r="B57" s="55" t="s">
        <v>995</v>
      </c>
      <c r="C57" s="55" t="s">
        <v>995</v>
      </c>
      <c r="D57" s="12" t="s">
        <v>670</v>
      </c>
      <c r="E57" s="12" t="s">
        <v>670</v>
      </c>
      <c r="F57" s="12" t="s">
        <v>670</v>
      </c>
      <c r="G57" s="12" t="s">
        <v>670</v>
      </c>
      <c r="H57" s="12" t="s">
        <v>670</v>
      </c>
      <c r="I57" s="19" t="s">
        <v>670</v>
      </c>
      <c r="J57" s="19" t="s">
        <v>670</v>
      </c>
    </row>
    <row r="58" spans="1:10" ht="12">
      <c r="A58" s="23" t="s">
        <v>168</v>
      </c>
      <c r="B58" s="55" t="s">
        <v>995</v>
      </c>
      <c r="C58" s="55" t="s">
        <v>995</v>
      </c>
      <c r="D58" s="12" t="s">
        <v>1303</v>
      </c>
      <c r="E58" s="12" t="s">
        <v>670</v>
      </c>
      <c r="F58" s="12" t="s">
        <v>1592</v>
      </c>
      <c r="G58" s="12" t="s">
        <v>1641</v>
      </c>
      <c r="H58" s="12" t="s">
        <v>670</v>
      </c>
      <c r="I58" s="19" t="s">
        <v>670</v>
      </c>
      <c r="J58" s="19" t="s">
        <v>670</v>
      </c>
    </row>
    <row r="59" spans="1:10" ht="12">
      <c r="A59" s="23" t="s">
        <v>115</v>
      </c>
      <c r="B59" s="55" t="s">
        <v>995</v>
      </c>
      <c r="C59" s="55" t="s">
        <v>995</v>
      </c>
      <c r="D59" s="12" t="s">
        <v>670</v>
      </c>
      <c r="E59" s="12" t="s">
        <v>670</v>
      </c>
      <c r="F59" s="12" t="s">
        <v>670</v>
      </c>
      <c r="G59" s="12" t="s">
        <v>670</v>
      </c>
      <c r="H59" s="12" t="s">
        <v>670</v>
      </c>
      <c r="I59" s="19" t="s">
        <v>670</v>
      </c>
      <c r="J59" s="19" t="s">
        <v>670</v>
      </c>
    </row>
    <row r="60" spans="1:10" ht="12">
      <c r="A60" s="23" t="s">
        <v>49</v>
      </c>
      <c r="B60" s="55" t="s">
        <v>995</v>
      </c>
      <c r="C60" s="55" t="s">
        <v>995</v>
      </c>
      <c r="D60" s="12" t="s">
        <v>670</v>
      </c>
      <c r="E60" s="12" t="s">
        <v>670</v>
      </c>
      <c r="F60" s="12" t="s">
        <v>1044</v>
      </c>
      <c r="G60" s="12" t="s">
        <v>670</v>
      </c>
      <c r="H60" s="12" t="s">
        <v>670</v>
      </c>
      <c r="I60" s="19" t="s">
        <v>670</v>
      </c>
      <c r="J60" s="19" t="s">
        <v>670</v>
      </c>
    </row>
    <row r="61" spans="1:10" ht="12">
      <c r="A61" s="23" t="s">
        <v>620</v>
      </c>
      <c r="B61" s="55" t="s">
        <v>995</v>
      </c>
      <c r="C61" s="55" t="s">
        <v>995</v>
      </c>
      <c r="D61" s="12" t="s">
        <v>670</v>
      </c>
      <c r="E61" s="12" t="s">
        <v>670</v>
      </c>
      <c r="F61" s="12" t="s">
        <v>670</v>
      </c>
      <c r="G61" s="12" t="s">
        <v>670</v>
      </c>
      <c r="H61" s="12" t="s">
        <v>670</v>
      </c>
      <c r="I61" s="19" t="s">
        <v>670</v>
      </c>
      <c r="J61" s="19" t="s">
        <v>670</v>
      </c>
    </row>
    <row r="62" spans="1:10" s="15" customFormat="1" ht="12">
      <c r="A62" s="23" t="s">
        <v>99</v>
      </c>
      <c r="B62" s="55" t="s">
        <v>995</v>
      </c>
      <c r="C62" s="55" t="s">
        <v>995</v>
      </c>
      <c r="D62" s="12" t="s">
        <v>1304</v>
      </c>
      <c r="E62" s="12" t="s">
        <v>670</v>
      </c>
      <c r="F62" s="12" t="s">
        <v>1623</v>
      </c>
      <c r="G62" s="12" t="s">
        <v>1580</v>
      </c>
      <c r="H62" s="12" t="s">
        <v>1627</v>
      </c>
      <c r="I62" s="19" t="s">
        <v>670</v>
      </c>
      <c r="J62" s="19" t="s">
        <v>670</v>
      </c>
    </row>
    <row r="63" spans="1:10" s="15" customFormat="1" ht="12">
      <c r="A63" s="23" t="s">
        <v>119</v>
      </c>
      <c r="B63" s="55" t="s">
        <v>995</v>
      </c>
      <c r="C63" s="55" t="s">
        <v>995</v>
      </c>
      <c r="D63" s="12" t="s">
        <v>670</v>
      </c>
      <c r="E63" s="12" t="s">
        <v>670</v>
      </c>
      <c r="F63" s="12" t="s">
        <v>670</v>
      </c>
      <c r="G63" s="12" t="s">
        <v>670</v>
      </c>
      <c r="H63" s="12" t="s">
        <v>670</v>
      </c>
      <c r="I63" s="19" t="s">
        <v>670</v>
      </c>
      <c r="J63" s="19" t="s">
        <v>670</v>
      </c>
    </row>
    <row r="64" spans="1:10" ht="12">
      <c r="A64" s="23" t="s">
        <v>625</v>
      </c>
      <c r="B64" s="55" t="s">
        <v>995</v>
      </c>
      <c r="C64" s="55" t="s">
        <v>995</v>
      </c>
      <c r="D64" s="12" t="s">
        <v>670</v>
      </c>
      <c r="E64" s="12" t="s">
        <v>670</v>
      </c>
      <c r="F64" s="12" t="s">
        <v>670</v>
      </c>
      <c r="G64" s="12" t="s">
        <v>670</v>
      </c>
      <c r="H64" s="12" t="s">
        <v>1625</v>
      </c>
      <c r="I64" s="19" t="s">
        <v>670</v>
      </c>
      <c r="J64" s="19" t="s">
        <v>670</v>
      </c>
    </row>
    <row r="65" spans="1:10" ht="12">
      <c r="A65" s="23" t="s">
        <v>626</v>
      </c>
      <c r="B65" s="55" t="s">
        <v>995</v>
      </c>
      <c r="C65" s="55" t="s">
        <v>995</v>
      </c>
      <c r="D65" s="12" t="s">
        <v>1312</v>
      </c>
      <c r="E65" s="12" t="s">
        <v>670</v>
      </c>
      <c r="F65" s="12" t="s">
        <v>670</v>
      </c>
      <c r="G65" s="12" t="s">
        <v>670</v>
      </c>
      <c r="H65" s="12" t="s">
        <v>1624</v>
      </c>
      <c r="I65" s="19" t="s">
        <v>670</v>
      </c>
      <c r="J65" s="19" t="s">
        <v>670</v>
      </c>
    </row>
    <row r="66" spans="1:10" ht="12">
      <c r="A66" s="23" t="s">
        <v>121</v>
      </c>
      <c r="B66" s="55" t="s">
        <v>995</v>
      </c>
      <c r="C66" s="55" t="s">
        <v>995</v>
      </c>
      <c r="D66" s="12" t="s">
        <v>670</v>
      </c>
      <c r="E66" s="12" t="s">
        <v>670</v>
      </c>
      <c r="F66" s="12" t="s">
        <v>670</v>
      </c>
      <c r="G66" s="12" t="s">
        <v>670</v>
      </c>
      <c r="H66" s="12" t="s">
        <v>1626</v>
      </c>
      <c r="I66" s="19" t="s">
        <v>670</v>
      </c>
      <c r="J66" s="19" t="s">
        <v>670</v>
      </c>
    </row>
    <row r="67" spans="1:10" ht="12">
      <c r="A67" s="23" t="s">
        <v>629</v>
      </c>
      <c r="B67" s="55" t="s">
        <v>995</v>
      </c>
      <c r="C67" s="55" t="s">
        <v>995</v>
      </c>
      <c r="D67" s="12" t="s">
        <v>670</v>
      </c>
      <c r="E67" s="12" t="s">
        <v>670</v>
      </c>
      <c r="F67" s="12" t="s">
        <v>670</v>
      </c>
      <c r="G67" s="12" t="s">
        <v>670</v>
      </c>
      <c r="H67" s="12" t="s">
        <v>670</v>
      </c>
      <c r="I67" s="19" t="s">
        <v>670</v>
      </c>
      <c r="J67" s="19" t="s">
        <v>670</v>
      </c>
    </row>
    <row r="68" spans="1:10" ht="12">
      <c r="A68" s="23" t="s">
        <v>50</v>
      </c>
      <c r="B68" s="55" t="s">
        <v>995</v>
      </c>
      <c r="C68" s="55" t="s">
        <v>995</v>
      </c>
      <c r="D68" s="12" t="s">
        <v>670</v>
      </c>
      <c r="E68" s="12" t="s">
        <v>670</v>
      </c>
      <c r="F68" s="12" t="s">
        <v>1616</v>
      </c>
      <c r="G68" s="12" t="s">
        <v>670</v>
      </c>
      <c r="H68" s="12" t="s">
        <v>670</v>
      </c>
      <c r="I68" s="19" t="s">
        <v>670</v>
      </c>
      <c r="J68" s="19" t="s">
        <v>670</v>
      </c>
    </row>
    <row r="69" spans="1:10" ht="12">
      <c r="A69" s="23" t="s">
        <v>124</v>
      </c>
      <c r="B69" s="55" t="s">
        <v>995</v>
      </c>
      <c r="C69" s="55" t="s">
        <v>995</v>
      </c>
      <c r="D69" s="12" t="s">
        <v>670</v>
      </c>
      <c r="E69" s="12" t="s">
        <v>670</v>
      </c>
      <c r="F69" s="12" t="s">
        <v>670</v>
      </c>
      <c r="G69" s="12" t="s">
        <v>1632</v>
      </c>
      <c r="H69" s="12" t="s">
        <v>1635</v>
      </c>
      <c r="I69" s="19" t="s">
        <v>670</v>
      </c>
      <c r="J69" s="19" t="s">
        <v>670</v>
      </c>
    </row>
    <row r="70" spans="1:10" ht="12">
      <c r="A70" s="23" t="s">
        <v>51</v>
      </c>
      <c r="B70" s="55" t="s">
        <v>995</v>
      </c>
      <c r="C70" s="55" t="s">
        <v>995</v>
      </c>
      <c r="D70" s="12" t="s">
        <v>670</v>
      </c>
      <c r="E70" s="12" t="s">
        <v>670</v>
      </c>
      <c r="F70" s="12" t="s">
        <v>1583</v>
      </c>
      <c r="G70" s="12" t="s">
        <v>670</v>
      </c>
      <c r="H70" s="12" t="s">
        <v>670</v>
      </c>
      <c r="I70" s="19" t="s">
        <v>670</v>
      </c>
      <c r="J70" s="19" t="s">
        <v>670</v>
      </c>
    </row>
    <row r="71" spans="1:10" ht="12">
      <c r="A71" s="23" t="s">
        <v>636</v>
      </c>
      <c r="B71" s="55" t="s">
        <v>995</v>
      </c>
      <c r="C71" s="55" t="s">
        <v>995</v>
      </c>
      <c r="D71" s="12" t="s">
        <v>670</v>
      </c>
      <c r="E71" s="12" t="s">
        <v>670</v>
      </c>
      <c r="F71" s="12" t="s">
        <v>670</v>
      </c>
      <c r="G71" s="12" t="s">
        <v>670</v>
      </c>
      <c r="H71" s="12" t="s">
        <v>670</v>
      </c>
      <c r="I71" s="19" t="s">
        <v>670</v>
      </c>
      <c r="J71" s="19" t="s">
        <v>670</v>
      </c>
    </row>
    <row r="72" spans="1:10" ht="12">
      <c r="A72" s="23" t="s">
        <v>48</v>
      </c>
      <c r="B72" s="55" t="s">
        <v>995</v>
      </c>
      <c r="C72" s="55" t="s">
        <v>995</v>
      </c>
      <c r="D72" s="12" t="s">
        <v>670</v>
      </c>
      <c r="E72" s="12" t="s">
        <v>670</v>
      </c>
      <c r="F72" s="12" t="s">
        <v>670</v>
      </c>
      <c r="G72" s="12" t="s">
        <v>670</v>
      </c>
      <c r="H72" s="12" t="s">
        <v>670</v>
      </c>
      <c r="I72" s="19" t="s">
        <v>670</v>
      </c>
      <c r="J72" s="19" t="s">
        <v>670</v>
      </c>
    </row>
    <row r="73" spans="1:10" ht="12">
      <c r="A73" s="23" t="s">
        <v>638</v>
      </c>
      <c r="B73" s="55" t="s">
        <v>995</v>
      </c>
      <c r="C73" s="55" t="s">
        <v>995</v>
      </c>
      <c r="D73" s="12" t="s">
        <v>670</v>
      </c>
      <c r="E73" s="12" t="s">
        <v>670</v>
      </c>
      <c r="F73" s="12" t="s">
        <v>670</v>
      </c>
      <c r="G73" s="12" t="s">
        <v>670</v>
      </c>
      <c r="H73" s="12" t="s">
        <v>670</v>
      </c>
      <c r="I73" s="19" t="s">
        <v>670</v>
      </c>
      <c r="J73" s="19" t="s">
        <v>670</v>
      </c>
    </row>
    <row r="74" spans="1:10" ht="12">
      <c r="A74" s="23" t="s">
        <v>640</v>
      </c>
      <c r="B74" s="55" t="s">
        <v>995</v>
      </c>
      <c r="C74" s="55" t="s">
        <v>995</v>
      </c>
      <c r="D74" s="12" t="s">
        <v>670</v>
      </c>
      <c r="E74" s="12" t="s">
        <v>670</v>
      </c>
      <c r="F74" s="12" t="s">
        <v>1617</v>
      </c>
      <c r="G74" s="12" t="s">
        <v>670</v>
      </c>
      <c r="H74" s="12" t="s">
        <v>670</v>
      </c>
      <c r="I74" s="19" t="s">
        <v>670</v>
      </c>
      <c r="J74" s="19" t="s">
        <v>670</v>
      </c>
    </row>
    <row r="75" spans="1:10" ht="12">
      <c r="A75" s="23" t="s">
        <v>641</v>
      </c>
      <c r="B75" s="55" t="s">
        <v>995</v>
      </c>
      <c r="C75" s="55" t="s">
        <v>995</v>
      </c>
      <c r="D75" s="12" t="s">
        <v>1313</v>
      </c>
      <c r="E75" s="12" t="s">
        <v>670</v>
      </c>
      <c r="F75" s="12" t="s">
        <v>670</v>
      </c>
      <c r="G75" s="12" t="s">
        <v>670</v>
      </c>
      <c r="H75" s="12" t="s">
        <v>670</v>
      </c>
      <c r="I75" s="19" t="s">
        <v>670</v>
      </c>
      <c r="J75" s="19" t="s">
        <v>670</v>
      </c>
    </row>
    <row r="76" spans="1:10" ht="12">
      <c r="A76" s="23" t="s">
        <v>642</v>
      </c>
      <c r="B76" s="55" t="s">
        <v>995</v>
      </c>
      <c r="C76" s="55" t="s">
        <v>995</v>
      </c>
      <c r="D76" s="12" t="s">
        <v>670</v>
      </c>
      <c r="E76" s="12" t="s">
        <v>871</v>
      </c>
      <c r="F76" s="12" t="s">
        <v>871</v>
      </c>
      <c r="G76" s="12" t="s">
        <v>1581</v>
      </c>
      <c r="H76" s="12" t="s">
        <v>670</v>
      </c>
      <c r="I76" s="19" t="s">
        <v>670</v>
      </c>
      <c r="J76" s="19" t="s">
        <v>670</v>
      </c>
    </row>
    <row r="77" spans="1:10" ht="12">
      <c r="A77" s="23" t="s">
        <v>128</v>
      </c>
      <c r="B77" s="55" t="s">
        <v>995</v>
      </c>
      <c r="C77" s="55" t="s">
        <v>995</v>
      </c>
      <c r="D77" s="12" t="s">
        <v>670</v>
      </c>
      <c r="E77" s="12" t="s">
        <v>670</v>
      </c>
      <c r="F77" s="12" t="s">
        <v>670</v>
      </c>
      <c r="G77" s="12" t="s">
        <v>1582</v>
      </c>
      <c r="H77" s="12" t="s">
        <v>670</v>
      </c>
      <c r="I77" s="19" t="s">
        <v>670</v>
      </c>
      <c r="J77" s="19" t="s">
        <v>670</v>
      </c>
    </row>
    <row r="78" spans="1:10" ht="12">
      <c r="A78" s="23" t="s">
        <v>645</v>
      </c>
      <c r="B78" s="55" t="s">
        <v>995</v>
      </c>
      <c r="C78" s="55" t="s">
        <v>995</v>
      </c>
      <c r="D78" s="12" t="s">
        <v>670</v>
      </c>
      <c r="E78" s="12" t="s">
        <v>670</v>
      </c>
      <c r="F78" s="12" t="s">
        <v>670</v>
      </c>
      <c r="G78" s="12" t="s">
        <v>670</v>
      </c>
      <c r="H78" s="12" t="s">
        <v>670</v>
      </c>
      <c r="I78" s="19" t="s">
        <v>670</v>
      </c>
      <c r="J78" s="19" t="s">
        <v>670</v>
      </c>
    </row>
    <row r="79" spans="1:10" ht="12">
      <c r="A79" s="23" t="s">
        <v>648</v>
      </c>
      <c r="B79" s="55" t="s">
        <v>995</v>
      </c>
      <c r="C79" s="55" t="s">
        <v>995</v>
      </c>
      <c r="D79" s="12" t="s">
        <v>670</v>
      </c>
      <c r="E79" s="12" t="s">
        <v>670</v>
      </c>
      <c r="F79" s="12" t="s">
        <v>670</v>
      </c>
      <c r="G79" s="12" t="s">
        <v>670</v>
      </c>
      <c r="H79" s="12" t="s">
        <v>670</v>
      </c>
      <c r="I79" s="19" t="s">
        <v>670</v>
      </c>
      <c r="J79" s="19" t="s">
        <v>670</v>
      </c>
    </row>
    <row r="80" spans="1:10" ht="12">
      <c r="A80" s="23" t="s">
        <v>650</v>
      </c>
      <c r="B80" s="55" t="s">
        <v>995</v>
      </c>
      <c r="C80" s="55" t="s">
        <v>995</v>
      </c>
      <c r="D80" s="12" t="s">
        <v>670</v>
      </c>
      <c r="E80" s="12" t="s">
        <v>670</v>
      </c>
      <c r="F80" s="12" t="s">
        <v>670</v>
      </c>
      <c r="G80" s="12" t="s">
        <v>670</v>
      </c>
      <c r="H80" s="12" t="s">
        <v>670</v>
      </c>
      <c r="I80" s="19" t="s">
        <v>670</v>
      </c>
      <c r="J80" s="19" t="s">
        <v>670</v>
      </c>
    </row>
    <row r="81" spans="1:10" s="16" customFormat="1" ht="12">
      <c r="A81" s="23" t="s">
        <v>668</v>
      </c>
      <c r="B81" s="55" t="s">
        <v>995</v>
      </c>
      <c r="C81" s="12" t="s">
        <v>670</v>
      </c>
      <c r="D81" s="12" t="s">
        <v>670</v>
      </c>
      <c r="E81" s="12" t="s">
        <v>670</v>
      </c>
      <c r="F81" s="12" t="s">
        <v>1605</v>
      </c>
      <c r="G81" s="12" t="s">
        <v>670</v>
      </c>
      <c r="H81" s="12" t="s">
        <v>670</v>
      </c>
      <c r="I81" s="19" t="s">
        <v>670</v>
      </c>
      <c r="J81" s="19" t="s">
        <v>670</v>
      </c>
    </row>
    <row r="82" spans="1:10" ht="12">
      <c r="A82" s="23" t="s">
        <v>947</v>
      </c>
      <c r="B82" s="12" t="s">
        <v>670</v>
      </c>
      <c r="C82" s="12" t="s">
        <v>670</v>
      </c>
      <c r="D82" s="12" t="s">
        <v>670</v>
      </c>
      <c r="E82" s="12" t="s">
        <v>670</v>
      </c>
      <c r="F82" s="12" t="s">
        <v>670</v>
      </c>
      <c r="G82" s="12" t="s">
        <v>670</v>
      </c>
      <c r="H82" s="12" t="s">
        <v>670</v>
      </c>
      <c r="I82" s="29" t="s">
        <v>670</v>
      </c>
      <c r="J82" s="29" t="s">
        <v>670</v>
      </c>
    </row>
    <row r="83" spans="1:10" ht="12">
      <c r="A83" s="23" t="s">
        <v>652</v>
      </c>
      <c r="B83" s="12" t="s">
        <v>670</v>
      </c>
      <c r="C83" s="12" t="s">
        <v>670</v>
      </c>
      <c r="D83" s="12" t="s">
        <v>670</v>
      </c>
      <c r="E83" s="12" t="s">
        <v>670</v>
      </c>
      <c r="F83" s="12" t="s">
        <v>670</v>
      </c>
      <c r="G83" s="12" t="s">
        <v>670</v>
      </c>
      <c r="H83" s="12" t="s">
        <v>670</v>
      </c>
      <c r="I83" s="29" t="s">
        <v>670</v>
      </c>
      <c r="J83" s="29" t="s">
        <v>670</v>
      </c>
    </row>
    <row r="84" spans="1:10" ht="12">
      <c r="A84" s="23" t="s">
        <v>654</v>
      </c>
      <c r="B84" s="12" t="s">
        <v>670</v>
      </c>
      <c r="C84" s="12" t="s">
        <v>670</v>
      </c>
      <c r="D84" s="12" t="s">
        <v>670</v>
      </c>
      <c r="E84" s="12" t="s">
        <v>670</v>
      </c>
      <c r="F84" s="12" t="s">
        <v>670</v>
      </c>
      <c r="G84" s="12" t="s">
        <v>670</v>
      </c>
      <c r="H84" s="12" t="s">
        <v>670</v>
      </c>
      <c r="I84" s="29" t="s">
        <v>670</v>
      </c>
      <c r="J84" s="29" t="s">
        <v>670</v>
      </c>
    </row>
    <row r="85" spans="1:10" s="15" customFormat="1" ht="12">
      <c r="A85" s="23" t="s">
        <v>656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29" t="s">
        <v>670</v>
      </c>
      <c r="J85" s="29" t="s">
        <v>670</v>
      </c>
    </row>
    <row r="86" spans="1:10" s="15" customFormat="1" ht="12">
      <c r="A86" s="23" t="s">
        <v>949</v>
      </c>
      <c r="B86" s="12" t="s">
        <v>670</v>
      </c>
      <c r="C86" s="12" t="s">
        <v>670</v>
      </c>
      <c r="D86" s="12" t="s">
        <v>670</v>
      </c>
      <c r="E86" s="12" t="s">
        <v>670</v>
      </c>
      <c r="F86" s="12" t="s">
        <v>670</v>
      </c>
      <c r="G86" s="12" t="s">
        <v>670</v>
      </c>
      <c r="H86" s="12" t="s">
        <v>670</v>
      </c>
      <c r="I86" s="29" t="s">
        <v>670</v>
      </c>
      <c r="J86" s="29" t="s">
        <v>670</v>
      </c>
    </row>
    <row r="87" spans="1:10" s="15" customFormat="1" ht="12">
      <c r="A87" s="23" t="s">
        <v>951</v>
      </c>
      <c r="B87" s="12" t="s">
        <v>670</v>
      </c>
      <c r="C87" s="12" t="s">
        <v>670</v>
      </c>
      <c r="D87" s="12" t="s">
        <v>670</v>
      </c>
      <c r="E87" s="12" t="s">
        <v>670</v>
      </c>
      <c r="F87" s="12" t="s">
        <v>670</v>
      </c>
      <c r="G87" s="12" t="s">
        <v>670</v>
      </c>
      <c r="H87" s="12" t="s">
        <v>670</v>
      </c>
      <c r="I87" s="29" t="s">
        <v>670</v>
      </c>
      <c r="J87" s="29" t="s">
        <v>670</v>
      </c>
    </row>
    <row r="88" spans="1:10" ht="12">
      <c r="A88" s="23" t="s">
        <v>952</v>
      </c>
      <c r="B88" s="12" t="s">
        <v>670</v>
      </c>
      <c r="C88" s="12" t="s">
        <v>670</v>
      </c>
      <c r="D88" s="12" t="s">
        <v>670</v>
      </c>
      <c r="E88" s="12" t="s">
        <v>670</v>
      </c>
      <c r="F88" s="12" t="s">
        <v>670</v>
      </c>
      <c r="G88" s="12" t="s">
        <v>670</v>
      </c>
      <c r="H88" s="12" t="s">
        <v>670</v>
      </c>
      <c r="I88" s="29" t="s">
        <v>670</v>
      </c>
      <c r="J88" s="29" t="s">
        <v>670</v>
      </c>
    </row>
    <row r="89" spans="1:10" ht="12">
      <c r="A89" s="23" t="s">
        <v>658</v>
      </c>
      <c r="B89" s="12" t="s">
        <v>670</v>
      </c>
      <c r="C89" s="12" t="s">
        <v>670</v>
      </c>
      <c r="D89" s="12" t="s">
        <v>670</v>
      </c>
      <c r="E89" s="12" t="s">
        <v>670</v>
      </c>
      <c r="F89" s="12" t="s">
        <v>670</v>
      </c>
      <c r="G89" s="12" t="s">
        <v>670</v>
      </c>
      <c r="H89" s="12" t="s">
        <v>670</v>
      </c>
      <c r="I89" s="29" t="s">
        <v>670</v>
      </c>
      <c r="J89" s="29" t="s">
        <v>670</v>
      </c>
    </row>
    <row r="90" spans="1:10" ht="12">
      <c r="A90" s="24" t="s">
        <v>660</v>
      </c>
      <c r="B90" s="18" t="s">
        <v>670</v>
      </c>
      <c r="C90" s="18" t="s">
        <v>670</v>
      </c>
      <c r="D90" s="18" t="s">
        <v>670</v>
      </c>
      <c r="E90" s="18" t="s">
        <v>670</v>
      </c>
      <c r="F90" s="18" t="s">
        <v>670</v>
      </c>
      <c r="G90" s="18" t="s">
        <v>670</v>
      </c>
      <c r="H90" s="18" t="s">
        <v>670</v>
      </c>
      <c r="I90" s="30" t="s">
        <v>670</v>
      </c>
      <c r="J90" s="30" t="s">
        <v>670</v>
      </c>
    </row>
    <row r="92" spans="1:10">
      <c r="A92" s="56" t="s">
        <v>1642</v>
      </c>
      <c r="B92" s="16"/>
      <c r="C92" s="16"/>
      <c r="D92" s="16"/>
      <c r="E92" s="16"/>
      <c r="F92" s="16"/>
      <c r="G92" s="16"/>
      <c r="H92" s="16"/>
      <c r="I92" s="16"/>
      <c r="J92" s="16"/>
    </row>
    <row r="99" spans="2:10">
      <c r="B99" s="15"/>
      <c r="C99" s="15"/>
      <c r="D99" s="15"/>
      <c r="E99" s="15"/>
      <c r="F99" s="15"/>
      <c r="G99" s="15"/>
      <c r="H99" s="15"/>
      <c r="I99" s="15"/>
      <c r="J99" s="15"/>
    </row>
    <row r="100" spans="2:10"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2:10">
      <c r="B101" s="15"/>
      <c r="C101" s="15"/>
      <c r="D101" s="15"/>
      <c r="E101" s="15"/>
      <c r="F101" s="15"/>
      <c r="G101" s="15"/>
      <c r="H101" s="15"/>
      <c r="I101" s="15"/>
      <c r="J101" s="15"/>
    </row>
  </sheetData>
  <autoFilter ref="A1:I90" xr:uid="{279B3E32-A919-4505-A4D0-B1ADDF1DA672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9C31-064A-419C-875A-941041C44D8F}">
  <sheetPr codeName="Sheet27">
    <tabColor theme="8" tint="0.79998168889431442"/>
  </sheetPr>
  <dimension ref="A1:I126"/>
  <sheetViews>
    <sheetView showGridLines="0"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19.25" style="11" customWidth="1"/>
    <col min="10" max="16384" width="9" style="11"/>
  </cols>
  <sheetData>
    <row r="1" spans="1:9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9" s="14" customFormat="1" ht="12">
      <c r="A2" s="31" t="s">
        <v>215</v>
      </c>
      <c r="B2" s="12" t="s">
        <v>1673</v>
      </c>
      <c r="C2" s="12" t="s">
        <v>670</v>
      </c>
      <c r="D2" s="12" t="s">
        <v>670</v>
      </c>
      <c r="E2" s="12" t="s">
        <v>670</v>
      </c>
      <c r="F2" s="12" t="s">
        <v>670</v>
      </c>
      <c r="G2" s="12" t="s">
        <v>670</v>
      </c>
      <c r="H2" s="12" t="s">
        <v>670</v>
      </c>
      <c r="I2" s="55" t="s">
        <v>266</v>
      </c>
    </row>
    <row r="3" spans="1:9" s="14" customFormat="1" ht="12">
      <c r="A3" s="31" t="s">
        <v>154</v>
      </c>
      <c r="B3" s="12" t="s">
        <v>1674</v>
      </c>
      <c r="C3" s="12" t="s">
        <v>670</v>
      </c>
      <c r="D3" s="12" t="s">
        <v>670</v>
      </c>
      <c r="E3" s="12" t="s">
        <v>670</v>
      </c>
      <c r="F3" s="12" t="s">
        <v>670</v>
      </c>
      <c r="G3" s="12" t="s">
        <v>670</v>
      </c>
      <c r="H3" s="12" t="s">
        <v>670</v>
      </c>
      <c r="I3" s="55" t="s">
        <v>266</v>
      </c>
    </row>
    <row r="4" spans="1:9" s="14" customFormat="1" ht="12">
      <c r="A4" s="31" t="s">
        <v>156</v>
      </c>
      <c r="B4" s="12" t="s">
        <v>1675</v>
      </c>
      <c r="C4" s="12" t="s">
        <v>1669</v>
      </c>
      <c r="D4" s="12" t="s">
        <v>670</v>
      </c>
      <c r="E4" s="12" t="s">
        <v>670</v>
      </c>
      <c r="F4" s="12" t="s">
        <v>1669</v>
      </c>
      <c r="G4" s="12" t="s">
        <v>670</v>
      </c>
      <c r="H4" s="12" t="s">
        <v>670</v>
      </c>
      <c r="I4" s="55" t="s">
        <v>266</v>
      </c>
    </row>
    <row r="5" spans="1:9" s="14" customFormat="1" ht="12">
      <c r="A5" s="31" t="s">
        <v>150</v>
      </c>
      <c r="B5" s="12" t="s">
        <v>1676</v>
      </c>
      <c r="C5" s="12" t="s">
        <v>1669</v>
      </c>
      <c r="D5" s="12" t="s">
        <v>670</v>
      </c>
      <c r="E5" s="12" t="s">
        <v>1678</v>
      </c>
      <c r="F5" s="12" t="s">
        <v>1669</v>
      </c>
      <c r="G5" s="12" t="s">
        <v>670</v>
      </c>
      <c r="H5" s="12" t="s">
        <v>670</v>
      </c>
      <c r="I5" s="55" t="s">
        <v>266</v>
      </c>
    </row>
    <row r="6" spans="1:9" s="14" customFormat="1" ht="12">
      <c r="A6" s="31" t="s">
        <v>159</v>
      </c>
      <c r="B6" s="12" t="s">
        <v>1669</v>
      </c>
      <c r="C6" s="12" t="s">
        <v>1669</v>
      </c>
      <c r="D6" s="12" t="s">
        <v>670</v>
      </c>
      <c r="E6" s="12" t="s">
        <v>670</v>
      </c>
      <c r="F6" s="12" t="s">
        <v>1669</v>
      </c>
      <c r="G6" s="12" t="s">
        <v>670</v>
      </c>
      <c r="H6" s="12" t="s">
        <v>670</v>
      </c>
      <c r="I6" s="55" t="s">
        <v>266</v>
      </c>
    </row>
    <row r="7" spans="1:9" s="14" customFormat="1" ht="12">
      <c r="A7" s="31" t="s">
        <v>53</v>
      </c>
      <c r="B7" s="12" t="s">
        <v>1669</v>
      </c>
      <c r="C7" s="12" t="s">
        <v>1669</v>
      </c>
      <c r="D7" s="12" t="s">
        <v>1669</v>
      </c>
      <c r="E7" s="12" t="s">
        <v>670</v>
      </c>
      <c r="F7" s="12" t="s">
        <v>1669</v>
      </c>
      <c r="G7" s="12" t="s">
        <v>670</v>
      </c>
      <c r="H7" s="12" t="s">
        <v>670</v>
      </c>
      <c r="I7" s="55" t="s">
        <v>266</v>
      </c>
    </row>
    <row r="8" spans="1:9" s="14" customFormat="1" ht="12">
      <c r="A8" s="31" t="s">
        <v>224</v>
      </c>
      <c r="B8" s="12" t="s">
        <v>1669</v>
      </c>
      <c r="C8" s="12" t="s">
        <v>1669</v>
      </c>
      <c r="D8" s="12" t="s">
        <v>1669</v>
      </c>
      <c r="E8" s="12" t="s">
        <v>670</v>
      </c>
      <c r="F8" s="12" t="s">
        <v>1669</v>
      </c>
      <c r="G8" s="12" t="s">
        <v>670</v>
      </c>
      <c r="H8" s="12" t="s">
        <v>670</v>
      </c>
      <c r="I8" s="55" t="s">
        <v>266</v>
      </c>
    </row>
    <row r="9" spans="1:9" s="14" customFormat="1" ht="12">
      <c r="A9" s="31" t="s">
        <v>238</v>
      </c>
      <c r="B9" s="12" t="s">
        <v>1669</v>
      </c>
      <c r="C9" s="12" t="s">
        <v>1669</v>
      </c>
      <c r="D9" s="12" t="s">
        <v>1669</v>
      </c>
      <c r="E9" s="12" t="s">
        <v>670</v>
      </c>
      <c r="F9" s="12" t="s">
        <v>1669</v>
      </c>
      <c r="G9" s="12" t="s">
        <v>670</v>
      </c>
      <c r="H9" s="12" t="s">
        <v>670</v>
      </c>
      <c r="I9" s="55" t="s">
        <v>266</v>
      </c>
    </row>
    <row r="10" spans="1:9" s="14" customFormat="1" ht="12">
      <c r="A10" s="31" t="s">
        <v>235</v>
      </c>
      <c r="B10" s="12" t="s">
        <v>1669</v>
      </c>
      <c r="C10" s="12" t="s">
        <v>1669</v>
      </c>
      <c r="D10" s="12" t="s">
        <v>1669</v>
      </c>
      <c r="E10" s="12" t="s">
        <v>670</v>
      </c>
      <c r="F10" s="12" t="s">
        <v>1669</v>
      </c>
      <c r="G10" s="12" t="s">
        <v>670</v>
      </c>
      <c r="H10" s="12" t="s">
        <v>670</v>
      </c>
      <c r="I10" s="55" t="s">
        <v>266</v>
      </c>
    </row>
    <row r="11" spans="1:9" s="14" customFormat="1" ht="12">
      <c r="A11" s="31" t="s">
        <v>141</v>
      </c>
      <c r="B11" s="12" t="s">
        <v>1669</v>
      </c>
      <c r="C11" s="12" t="s">
        <v>1669</v>
      </c>
      <c r="D11" s="12" t="s">
        <v>1669</v>
      </c>
      <c r="E11" s="12" t="s">
        <v>670</v>
      </c>
      <c r="F11" s="12" t="s">
        <v>1669</v>
      </c>
      <c r="G11" s="12" t="s">
        <v>670</v>
      </c>
      <c r="H11" s="12" t="s">
        <v>670</v>
      </c>
      <c r="I11" s="55" t="s">
        <v>266</v>
      </c>
    </row>
    <row r="12" spans="1:9" s="14" customFormat="1" ht="12">
      <c r="A12" s="31" t="s">
        <v>221</v>
      </c>
      <c r="B12" s="12" t="s">
        <v>1669</v>
      </c>
      <c r="C12" s="12" t="s">
        <v>670</v>
      </c>
      <c r="D12" s="12" t="s">
        <v>1669</v>
      </c>
      <c r="E12" s="12" t="s">
        <v>670</v>
      </c>
      <c r="F12" s="12" t="s">
        <v>670</v>
      </c>
      <c r="G12" s="12" t="s">
        <v>670</v>
      </c>
      <c r="H12" s="12" t="s">
        <v>670</v>
      </c>
      <c r="I12" s="55" t="s">
        <v>266</v>
      </c>
    </row>
    <row r="13" spans="1:9" s="14" customFormat="1" ht="12">
      <c r="A13" s="31" t="s">
        <v>225</v>
      </c>
      <c r="B13" s="12" t="s">
        <v>1669</v>
      </c>
      <c r="C13" s="12" t="s">
        <v>670</v>
      </c>
      <c r="D13" s="12" t="s">
        <v>1669</v>
      </c>
      <c r="E13" s="12" t="s">
        <v>670</v>
      </c>
      <c r="F13" s="12" t="s">
        <v>670</v>
      </c>
      <c r="G13" s="12" t="s">
        <v>670</v>
      </c>
      <c r="H13" s="12" t="s">
        <v>670</v>
      </c>
      <c r="I13" s="55" t="s">
        <v>266</v>
      </c>
    </row>
    <row r="14" spans="1:9" ht="12">
      <c r="A14" s="32">
        <v>1</v>
      </c>
      <c r="B14" s="55" t="s">
        <v>563</v>
      </c>
      <c r="C14" s="55" t="s">
        <v>563</v>
      </c>
      <c r="D14" s="12" t="s">
        <v>670</v>
      </c>
      <c r="E14" s="12" t="s">
        <v>670</v>
      </c>
      <c r="F14" s="12" t="s">
        <v>670</v>
      </c>
      <c r="G14" s="12" t="s">
        <v>670</v>
      </c>
      <c r="H14" s="12" t="s">
        <v>670</v>
      </c>
      <c r="I14" s="55" t="s">
        <v>266</v>
      </c>
    </row>
    <row r="15" spans="1:9" ht="12">
      <c r="A15" s="32">
        <v>2</v>
      </c>
      <c r="B15" s="55" t="s">
        <v>563</v>
      </c>
      <c r="C15" s="55" t="s">
        <v>563</v>
      </c>
      <c r="D15" s="12" t="s">
        <v>670</v>
      </c>
      <c r="E15" s="12" t="s">
        <v>670</v>
      </c>
      <c r="F15" s="12" t="s">
        <v>670</v>
      </c>
      <c r="G15" s="12" t="s">
        <v>670</v>
      </c>
      <c r="H15" s="12" t="s">
        <v>670</v>
      </c>
      <c r="I15" s="55" t="s">
        <v>266</v>
      </c>
    </row>
    <row r="16" spans="1:9" ht="12">
      <c r="A16" s="32">
        <v>3</v>
      </c>
      <c r="B16" s="55" t="s">
        <v>563</v>
      </c>
      <c r="C16" s="55" t="s">
        <v>563</v>
      </c>
      <c r="D16" s="12" t="s">
        <v>670</v>
      </c>
      <c r="E16" s="12" t="s">
        <v>670</v>
      </c>
      <c r="F16" s="12" t="s">
        <v>670</v>
      </c>
      <c r="G16" s="12" t="s">
        <v>670</v>
      </c>
      <c r="H16" s="12" t="s">
        <v>670</v>
      </c>
      <c r="I16" s="55" t="s">
        <v>266</v>
      </c>
    </row>
    <row r="17" spans="1:9" ht="12">
      <c r="A17" s="32">
        <v>4</v>
      </c>
      <c r="B17" s="55" t="s">
        <v>563</v>
      </c>
      <c r="C17" s="55" t="s">
        <v>563</v>
      </c>
      <c r="D17" s="12" t="s">
        <v>670</v>
      </c>
      <c r="E17" s="12" t="s">
        <v>670</v>
      </c>
      <c r="F17" s="12" t="s">
        <v>670</v>
      </c>
      <c r="G17" s="12" t="s">
        <v>670</v>
      </c>
      <c r="H17" s="12" t="s">
        <v>670</v>
      </c>
      <c r="I17" s="55" t="s">
        <v>266</v>
      </c>
    </row>
    <row r="18" spans="1:9" ht="12">
      <c r="A18" s="32">
        <v>5</v>
      </c>
      <c r="B18" s="55" t="s">
        <v>563</v>
      </c>
      <c r="C18" s="55" t="s">
        <v>563</v>
      </c>
      <c r="D18" s="12" t="s">
        <v>670</v>
      </c>
      <c r="E18" s="12" t="s">
        <v>670</v>
      </c>
      <c r="F18" s="12" t="s">
        <v>670</v>
      </c>
      <c r="G18" s="12" t="s">
        <v>670</v>
      </c>
      <c r="H18" s="12" t="s">
        <v>670</v>
      </c>
      <c r="I18" s="55" t="s">
        <v>266</v>
      </c>
    </row>
    <row r="19" spans="1:9" ht="12">
      <c r="A19" s="32">
        <v>6</v>
      </c>
      <c r="B19" s="55" t="s">
        <v>563</v>
      </c>
      <c r="C19" s="55" t="s">
        <v>563</v>
      </c>
      <c r="D19" s="12" t="s">
        <v>670</v>
      </c>
      <c r="E19" s="12" t="s">
        <v>670</v>
      </c>
      <c r="F19" s="12" t="s">
        <v>670</v>
      </c>
      <c r="G19" s="12" t="s">
        <v>670</v>
      </c>
      <c r="H19" s="12" t="s">
        <v>670</v>
      </c>
      <c r="I19" s="55" t="s">
        <v>266</v>
      </c>
    </row>
    <row r="20" spans="1:9" ht="12">
      <c r="A20" s="32">
        <v>7</v>
      </c>
      <c r="B20" s="55" t="s">
        <v>563</v>
      </c>
      <c r="C20" s="55" t="s">
        <v>563</v>
      </c>
      <c r="D20" s="12" t="s">
        <v>670</v>
      </c>
      <c r="E20" s="12" t="s">
        <v>670</v>
      </c>
      <c r="F20" s="12" t="s">
        <v>670</v>
      </c>
      <c r="G20" s="12" t="s">
        <v>670</v>
      </c>
      <c r="H20" s="12" t="s">
        <v>670</v>
      </c>
      <c r="I20" s="55" t="s">
        <v>266</v>
      </c>
    </row>
    <row r="21" spans="1:9" ht="12">
      <c r="A21" s="32">
        <v>8</v>
      </c>
      <c r="B21" s="55" t="s">
        <v>563</v>
      </c>
      <c r="C21" s="55" t="s">
        <v>563</v>
      </c>
      <c r="D21" s="12" t="s">
        <v>670</v>
      </c>
      <c r="E21" s="12" t="s">
        <v>670</v>
      </c>
      <c r="F21" s="12" t="s">
        <v>670</v>
      </c>
      <c r="G21" s="12" t="s">
        <v>670</v>
      </c>
      <c r="H21" s="12" t="s">
        <v>670</v>
      </c>
      <c r="I21" s="55" t="s">
        <v>266</v>
      </c>
    </row>
    <row r="22" spans="1:9" ht="12">
      <c r="A22" s="32">
        <v>9</v>
      </c>
      <c r="B22" s="55" t="s">
        <v>563</v>
      </c>
      <c r="C22" s="55" t="s">
        <v>563</v>
      </c>
      <c r="D22" s="12" t="s">
        <v>670</v>
      </c>
      <c r="E22" s="12" t="s">
        <v>670</v>
      </c>
      <c r="F22" s="12" t="s">
        <v>670</v>
      </c>
      <c r="G22" s="12" t="s">
        <v>670</v>
      </c>
      <c r="H22" s="12" t="s">
        <v>670</v>
      </c>
      <c r="I22" s="55" t="s">
        <v>266</v>
      </c>
    </row>
    <row r="23" spans="1:9" ht="12">
      <c r="A23" s="32">
        <v>0</v>
      </c>
      <c r="B23" s="55" t="s">
        <v>563</v>
      </c>
      <c r="C23" s="55" t="s">
        <v>563</v>
      </c>
      <c r="D23" s="12" t="s">
        <v>670</v>
      </c>
      <c r="E23" s="12" t="s">
        <v>670</v>
      </c>
      <c r="F23" s="12" t="s">
        <v>670</v>
      </c>
      <c r="G23" s="12" t="s">
        <v>670</v>
      </c>
      <c r="H23" s="12" t="s">
        <v>670</v>
      </c>
      <c r="I23" s="55" t="s">
        <v>266</v>
      </c>
    </row>
    <row r="24" spans="1:9" s="14" customFormat="1" ht="12">
      <c r="A24" s="31" t="s">
        <v>673</v>
      </c>
      <c r="B24" s="57" t="s">
        <v>1669</v>
      </c>
      <c r="C24" s="57" t="s">
        <v>1669</v>
      </c>
      <c r="D24" s="12" t="s">
        <v>1691</v>
      </c>
      <c r="E24" s="12" t="s">
        <v>670</v>
      </c>
      <c r="F24" s="12" t="s">
        <v>670</v>
      </c>
      <c r="G24" s="12" t="s">
        <v>670</v>
      </c>
      <c r="H24" s="12" t="s">
        <v>670</v>
      </c>
      <c r="I24" s="55" t="s">
        <v>266</v>
      </c>
    </row>
    <row r="25" spans="1:9" s="14" customFormat="1" ht="12">
      <c r="A25" s="31" t="s">
        <v>674</v>
      </c>
      <c r="B25" s="57" t="s">
        <v>1669</v>
      </c>
      <c r="C25" s="57" t="s">
        <v>1669</v>
      </c>
      <c r="D25" s="12" t="s">
        <v>1690</v>
      </c>
      <c r="E25" s="12" t="s">
        <v>670</v>
      </c>
      <c r="F25" s="12" t="s">
        <v>670</v>
      </c>
      <c r="G25" s="12" t="s">
        <v>670</v>
      </c>
      <c r="H25" s="12" t="s">
        <v>670</v>
      </c>
      <c r="I25" s="55" t="s">
        <v>266</v>
      </c>
    </row>
    <row r="26" spans="1:9" s="14" customFormat="1" ht="12">
      <c r="A26" s="31" t="s">
        <v>671</v>
      </c>
      <c r="B26" s="57" t="s">
        <v>1669</v>
      </c>
      <c r="C26" s="57" t="s">
        <v>670</v>
      </c>
      <c r="D26" s="12" t="s">
        <v>670</v>
      </c>
      <c r="E26" s="12" t="s">
        <v>670</v>
      </c>
      <c r="F26" s="12" t="s">
        <v>670</v>
      </c>
      <c r="G26" s="12" t="s">
        <v>670</v>
      </c>
      <c r="H26" s="12" t="s">
        <v>670</v>
      </c>
      <c r="I26" s="55" t="s">
        <v>266</v>
      </c>
    </row>
    <row r="27" spans="1:9" s="14" customFormat="1" ht="12">
      <c r="A27" s="31" t="s">
        <v>672</v>
      </c>
      <c r="B27" s="57" t="s">
        <v>1669</v>
      </c>
      <c r="C27" s="57" t="s">
        <v>670</v>
      </c>
      <c r="D27" s="12" t="s">
        <v>670</v>
      </c>
      <c r="E27" s="12" t="s">
        <v>670</v>
      </c>
      <c r="F27" s="12" t="s">
        <v>670</v>
      </c>
      <c r="G27" s="12" t="s">
        <v>670</v>
      </c>
      <c r="H27" s="12" t="s">
        <v>670</v>
      </c>
      <c r="I27" s="55" t="s">
        <v>266</v>
      </c>
    </row>
    <row r="28" spans="1:9" ht="12">
      <c r="A28" s="33" t="s">
        <v>599</v>
      </c>
      <c r="B28" s="57" t="s">
        <v>1669</v>
      </c>
      <c r="C28" s="57" t="s">
        <v>1669</v>
      </c>
      <c r="D28" s="12" t="s">
        <v>1688</v>
      </c>
      <c r="E28" s="12" t="s">
        <v>670</v>
      </c>
      <c r="F28" s="12" t="s">
        <v>670</v>
      </c>
      <c r="G28" s="12" t="s">
        <v>670</v>
      </c>
      <c r="H28" s="12" t="s">
        <v>670</v>
      </c>
      <c r="I28" s="55" t="s">
        <v>266</v>
      </c>
    </row>
    <row r="29" spans="1:9" ht="12">
      <c r="A29" s="33" t="s">
        <v>600</v>
      </c>
      <c r="B29" s="57" t="s">
        <v>1669</v>
      </c>
      <c r="C29" s="57" t="s">
        <v>1669</v>
      </c>
      <c r="D29" s="12" t="s">
        <v>1689</v>
      </c>
      <c r="E29" s="12" t="s">
        <v>670</v>
      </c>
      <c r="F29" s="12" t="s">
        <v>670</v>
      </c>
      <c r="G29" s="12" t="s">
        <v>670</v>
      </c>
      <c r="H29" s="12" t="s">
        <v>670</v>
      </c>
      <c r="I29" s="55" t="s">
        <v>266</v>
      </c>
    </row>
    <row r="30" spans="1:9" ht="12">
      <c r="A30" s="33" t="s">
        <v>587</v>
      </c>
      <c r="B30" s="57" t="s">
        <v>670</v>
      </c>
      <c r="C30" s="57" t="s">
        <v>1686</v>
      </c>
      <c r="D30" s="12" t="s">
        <v>1687</v>
      </c>
      <c r="E30" s="55" t="s">
        <v>665</v>
      </c>
      <c r="F30" s="58" t="s">
        <v>1669</v>
      </c>
      <c r="G30" s="55" t="s">
        <v>665</v>
      </c>
      <c r="H30" s="12" t="s">
        <v>266</v>
      </c>
      <c r="I30" s="55" t="s">
        <v>266</v>
      </c>
    </row>
    <row r="31" spans="1:9" ht="12">
      <c r="A31" s="33" t="s">
        <v>589</v>
      </c>
      <c r="B31" s="12" t="s">
        <v>1669</v>
      </c>
      <c r="C31" s="12" t="s">
        <v>1684</v>
      </c>
      <c r="D31" s="12" t="s">
        <v>864</v>
      </c>
      <c r="E31" s="12" t="s">
        <v>670</v>
      </c>
      <c r="F31" s="12" t="s">
        <v>670</v>
      </c>
      <c r="G31" s="12" t="s">
        <v>670</v>
      </c>
      <c r="H31" s="12" t="s">
        <v>670</v>
      </c>
      <c r="I31" s="55" t="s">
        <v>266</v>
      </c>
    </row>
    <row r="32" spans="1:9" ht="12">
      <c r="A32" s="33" t="s">
        <v>592</v>
      </c>
      <c r="B32" s="55" t="s">
        <v>593</v>
      </c>
      <c r="C32" s="12" t="s">
        <v>670</v>
      </c>
      <c r="D32" s="12" t="s">
        <v>670</v>
      </c>
      <c r="E32" s="12" t="s">
        <v>670</v>
      </c>
      <c r="F32" s="12" t="s">
        <v>670</v>
      </c>
      <c r="G32" s="12" t="s">
        <v>670</v>
      </c>
      <c r="H32" s="12" t="s">
        <v>670</v>
      </c>
      <c r="I32" s="55" t="s">
        <v>266</v>
      </c>
    </row>
    <row r="33" spans="1:9" ht="12">
      <c r="A33" s="33" t="s">
        <v>596</v>
      </c>
      <c r="B33" s="55" t="s">
        <v>593</v>
      </c>
      <c r="C33" s="12" t="s">
        <v>670</v>
      </c>
      <c r="D33" s="12" t="s">
        <v>670</v>
      </c>
      <c r="E33" s="12" t="s">
        <v>670</v>
      </c>
      <c r="F33" s="12" t="s">
        <v>670</v>
      </c>
      <c r="G33" s="12" t="s">
        <v>670</v>
      </c>
      <c r="H33" s="12" t="s">
        <v>670</v>
      </c>
      <c r="I33" s="55" t="s">
        <v>266</v>
      </c>
    </row>
    <row r="34" spans="1:9" ht="12">
      <c r="A34" s="33" t="s">
        <v>669</v>
      </c>
      <c r="B34" s="12" t="s">
        <v>266</v>
      </c>
      <c r="C34" s="12" t="s">
        <v>670</v>
      </c>
      <c r="D34" s="12" t="s">
        <v>670</v>
      </c>
      <c r="E34" s="12" t="s">
        <v>670</v>
      </c>
      <c r="F34" s="12" t="s">
        <v>670</v>
      </c>
      <c r="G34" s="12" t="s">
        <v>670</v>
      </c>
      <c r="H34" s="12" t="s">
        <v>670</v>
      </c>
      <c r="I34" s="55" t="s">
        <v>266</v>
      </c>
    </row>
    <row r="35" spans="1:9" ht="12">
      <c r="A35" s="33" t="s">
        <v>601</v>
      </c>
      <c r="B35" s="55" t="s">
        <v>602</v>
      </c>
      <c r="C35" s="12" t="s">
        <v>670</v>
      </c>
      <c r="D35" s="12" t="s">
        <v>670</v>
      </c>
      <c r="E35" s="12" t="s">
        <v>1692</v>
      </c>
      <c r="F35" s="12" t="s">
        <v>670</v>
      </c>
      <c r="G35" s="12" t="s">
        <v>670</v>
      </c>
      <c r="H35" s="12" t="s">
        <v>670</v>
      </c>
      <c r="I35" s="55" t="s">
        <v>266</v>
      </c>
    </row>
    <row r="36" spans="1:9" ht="12">
      <c r="A36" s="34" t="s">
        <v>915</v>
      </c>
      <c r="B36" s="55" t="s">
        <v>563</v>
      </c>
      <c r="C36" s="55" t="s">
        <v>563</v>
      </c>
      <c r="D36" s="12" t="s">
        <v>670</v>
      </c>
      <c r="E36" s="12" t="s">
        <v>670</v>
      </c>
      <c r="F36" s="12" t="s">
        <v>670</v>
      </c>
      <c r="G36" s="12" t="s">
        <v>670</v>
      </c>
      <c r="H36" s="12" t="s">
        <v>670</v>
      </c>
      <c r="I36" s="55" t="s">
        <v>266</v>
      </c>
    </row>
    <row r="37" spans="1:9" ht="12">
      <c r="A37" s="33" t="s">
        <v>917</v>
      </c>
      <c r="B37" s="55" t="s">
        <v>563</v>
      </c>
      <c r="C37" s="55" t="s">
        <v>563</v>
      </c>
      <c r="D37" s="12" t="s">
        <v>670</v>
      </c>
      <c r="E37" s="12" t="s">
        <v>670</v>
      </c>
      <c r="F37" s="12" t="s">
        <v>670</v>
      </c>
      <c r="G37" s="12" t="s">
        <v>670</v>
      </c>
      <c r="H37" s="12" t="s">
        <v>670</v>
      </c>
      <c r="I37" s="55" t="s">
        <v>266</v>
      </c>
    </row>
    <row r="38" spans="1:9" ht="12">
      <c r="A38" s="33" t="s">
        <v>919</v>
      </c>
      <c r="B38" s="55" t="s">
        <v>563</v>
      </c>
      <c r="C38" s="55" t="s">
        <v>563</v>
      </c>
      <c r="D38" s="12" t="s">
        <v>670</v>
      </c>
      <c r="E38" s="12" t="s">
        <v>670</v>
      </c>
      <c r="F38" s="12" t="s">
        <v>670</v>
      </c>
      <c r="G38" s="12" t="s">
        <v>670</v>
      </c>
      <c r="H38" s="12" t="s">
        <v>670</v>
      </c>
      <c r="I38" s="55" t="s">
        <v>266</v>
      </c>
    </row>
    <row r="39" spans="1:9" ht="12">
      <c r="A39" s="34" t="s">
        <v>921</v>
      </c>
      <c r="B39" s="55" t="s">
        <v>563</v>
      </c>
      <c r="C39" s="55" t="s">
        <v>563</v>
      </c>
      <c r="D39" s="12" t="s">
        <v>670</v>
      </c>
      <c r="E39" s="12" t="s">
        <v>670</v>
      </c>
      <c r="F39" s="12" t="s">
        <v>670</v>
      </c>
      <c r="G39" s="12" t="s">
        <v>670</v>
      </c>
      <c r="H39" s="12" t="s">
        <v>670</v>
      </c>
      <c r="I39" s="55" t="s">
        <v>266</v>
      </c>
    </row>
    <row r="40" spans="1:9" ht="12">
      <c r="A40" s="33" t="s">
        <v>1621</v>
      </c>
      <c r="B40" s="55" t="s">
        <v>563</v>
      </c>
      <c r="C40" s="55" t="s">
        <v>563</v>
      </c>
      <c r="D40" s="12" t="s">
        <v>670</v>
      </c>
      <c r="E40" s="12" t="s">
        <v>670</v>
      </c>
      <c r="F40" s="12" t="s">
        <v>670</v>
      </c>
      <c r="G40" s="12" t="s">
        <v>670</v>
      </c>
      <c r="H40" s="12" t="s">
        <v>670</v>
      </c>
      <c r="I40" s="55" t="s">
        <v>266</v>
      </c>
    </row>
    <row r="41" spans="1:9" ht="12">
      <c r="A41" s="33" t="s">
        <v>1622</v>
      </c>
      <c r="B41" s="55" t="s">
        <v>563</v>
      </c>
      <c r="C41" s="55" t="s">
        <v>563</v>
      </c>
      <c r="D41" s="12" t="s">
        <v>670</v>
      </c>
      <c r="E41" s="12" t="s">
        <v>670</v>
      </c>
      <c r="F41" s="12" t="s">
        <v>670</v>
      </c>
      <c r="G41" s="12" t="s">
        <v>670</v>
      </c>
      <c r="H41" s="12" t="s">
        <v>670</v>
      </c>
      <c r="I41" s="55" t="s">
        <v>266</v>
      </c>
    </row>
    <row r="42" spans="1:9" ht="12">
      <c r="A42" s="33" t="s">
        <v>926</v>
      </c>
      <c r="B42" s="55" t="s">
        <v>563</v>
      </c>
      <c r="C42" s="55" t="s">
        <v>563</v>
      </c>
      <c r="D42" s="12" t="s">
        <v>670</v>
      </c>
      <c r="E42" s="12" t="s">
        <v>670</v>
      </c>
      <c r="F42" s="12" t="s">
        <v>670</v>
      </c>
      <c r="G42" s="12" t="s">
        <v>670</v>
      </c>
      <c r="H42" s="12" t="s">
        <v>670</v>
      </c>
      <c r="I42" s="55" t="s">
        <v>266</v>
      </c>
    </row>
    <row r="43" spans="1:9" ht="12">
      <c r="A43" s="33" t="s">
        <v>928</v>
      </c>
      <c r="B43" s="55" t="s">
        <v>563</v>
      </c>
      <c r="C43" s="55" t="s">
        <v>563</v>
      </c>
      <c r="D43" s="12" t="s">
        <v>670</v>
      </c>
      <c r="E43" s="12" t="s">
        <v>670</v>
      </c>
      <c r="F43" s="12" t="s">
        <v>670</v>
      </c>
      <c r="G43" s="12" t="s">
        <v>670</v>
      </c>
      <c r="H43" s="12" t="s">
        <v>670</v>
      </c>
      <c r="I43" s="55" t="s">
        <v>266</v>
      </c>
    </row>
    <row r="44" spans="1:9" ht="12">
      <c r="A44" s="33" t="s">
        <v>930</v>
      </c>
      <c r="B44" s="55" t="s">
        <v>563</v>
      </c>
      <c r="C44" s="55" t="s">
        <v>563</v>
      </c>
      <c r="D44" s="12" t="s">
        <v>1593</v>
      </c>
      <c r="E44" s="12" t="s">
        <v>670</v>
      </c>
      <c r="F44" s="12" t="s">
        <v>1595</v>
      </c>
      <c r="G44" s="12" t="s">
        <v>670</v>
      </c>
      <c r="H44" s="12" t="s">
        <v>1597</v>
      </c>
      <c r="I44" s="55" t="s">
        <v>266</v>
      </c>
    </row>
    <row r="45" spans="1:9" ht="12">
      <c r="A45" s="33" t="s">
        <v>1266</v>
      </c>
      <c r="B45" s="55" t="s">
        <v>563</v>
      </c>
      <c r="C45" s="55" t="s">
        <v>563</v>
      </c>
      <c r="D45" s="12" t="s">
        <v>1594</v>
      </c>
      <c r="E45" s="12" t="s">
        <v>670</v>
      </c>
      <c r="F45" s="12" t="s">
        <v>1596</v>
      </c>
      <c r="G45" s="12" t="s">
        <v>670</v>
      </c>
      <c r="H45" s="12" t="s">
        <v>1598</v>
      </c>
      <c r="I45" s="55" t="s">
        <v>266</v>
      </c>
    </row>
    <row r="46" spans="1:9" ht="12">
      <c r="A46" s="33" t="s">
        <v>934</v>
      </c>
      <c r="B46" s="55" t="s">
        <v>563</v>
      </c>
      <c r="C46" s="55" t="s">
        <v>563</v>
      </c>
      <c r="D46" s="12" t="s">
        <v>670</v>
      </c>
      <c r="E46" s="12" t="s">
        <v>670</v>
      </c>
      <c r="F46" s="12" t="s">
        <v>670</v>
      </c>
      <c r="G46" s="12" t="s">
        <v>670</v>
      </c>
      <c r="H46" s="12" t="s">
        <v>670</v>
      </c>
      <c r="I46" s="55" t="s">
        <v>266</v>
      </c>
    </row>
    <row r="47" spans="1:9" ht="12">
      <c r="A47" s="33" t="s">
        <v>936</v>
      </c>
      <c r="B47" s="55" t="s">
        <v>563</v>
      </c>
      <c r="C47" s="55" t="s">
        <v>563</v>
      </c>
      <c r="D47" s="12" t="s">
        <v>670</v>
      </c>
      <c r="E47" s="12" t="s">
        <v>670</v>
      </c>
      <c r="F47" s="12" t="s">
        <v>670</v>
      </c>
      <c r="G47" s="12" t="s">
        <v>670</v>
      </c>
      <c r="H47" s="12" t="s">
        <v>670</v>
      </c>
      <c r="I47" s="55" t="s">
        <v>266</v>
      </c>
    </row>
    <row r="48" spans="1:9" ht="12">
      <c r="A48" s="33" t="s">
        <v>667</v>
      </c>
      <c r="B48" s="12" t="s">
        <v>266</v>
      </c>
      <c r="C48" s="12" t="s">
        <v>266</v>
      </c>
      <c r="D48" s="12" t="s">
        <v>1685</v>
      </c>
      <c r="E48" s="12" t="s">
        <v>266</v>
      </c>
      <c r="F48" s="12" t="s">
        <v>266</v>
      </c>
      <c r="G48" s="12" t="s">
        <v>266</v>
      </c>
      <c r="H48" s="12" t="s">
        <v>266</v>
      </c>
      <c r="I48" s="55" t="s">
        <v>266</v>
      </c>
    </row>
    <row r="49" spans="1:9" ht="12">
      <c r="A49" s="33" t="s">
        <v>607</v>
      </c>
      <c r="B49" s="55" t="s">
        <v>608</v>
      </c>
      <c r="C49" s="12" t="s">
        <v>266</v>
      </c>
      <c r="D49" s="12" t="s">
        <v>266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55" t="s">
        <v>266</v>
      </c>
    </row>
    <row r="50" spans="1:9" ht="12">
      <c r="A50" s="33" t="s">
        <v>609</v>
      </c>
      <c r="B50" s="55" t="s">
        <v>608</v>
      </c>
      <c r="C50" s="12" t="s">
        <v>266</v>
      </c>
      <c r="D50" s="12" t="s">
        <v>266</v>
      </c>
      <c r="E50" s="12" t="s">
        <v>266</v>
      </c>
      <c r="F50" s="12" t="s">
        <v>266</v>
      </c>
      <c r="G50" s="12" t="s">
        <v>266</v>
      </c>
      <c r="H50" s="12" t="s">
        <v>266</v>
      </c>
      <c r="I50" s="55" t="s">
        <v>266</v>
      </c>
    </row>
    <row r="51" spans="1:9" ht="12">
      <c r="A51" s="33" t="s">
        <v>610</v>
      </c>
      <c r="B51" s="12" t="s">
        <v>266</v>
      </c>
      <c r="C51" s="12" t="s">
        <v>266</v>
      </c>
      <c r="D51" s="12" t="s">
        <v>266</v>
      </c>
      <c r="E51" s="12" t="s">
        <v>266</v>
      </c>
      <c r="F51" s="12" t="s">
        <v>266</v>
      </c>
      <c r="G51" s="12" t="s">
        <v>266</v>
      </c>
      <c r="H51" s="12" t="s">
        <v>266</v>
      </c>
      <c r="I51" s="55" t="s">
        <v>266</v>
      </c>
    </row>
    <row r="52" spans="1:9" ht="12">
      <c r="A52" s="33" t="s">
        <v>611</v>
      </c>
      <c r="B52" s="12" t="s">
        <v>266</v>
      </c>
      <c r="C52" s="12" t="s">
        <v>266</v>
      </c>
      <c r="D52" s="12" t="s">
        <v>266</v>
      </c>
      <c r="E52" s="12" t="s">
        <v>266</v>
      </c>
      <c r="F52" s="12" t="s">
        <v>266</v>
      </c>
      <c r="G52" s="12" t="s">
        <v>266</v>
      </c>
      <c r="H52" s="12" t="s">
        <v>266</v>
      </c>
      <c r="I52" s="55" t="s">
        <v>266</v>
      </c>
    </row>
    <row r="53" spans="1:9" ht="12">
      <c r="A53" s="33" t="s">
        <v>946</v>
      </c>
      <c r="B53" s="12" t="s">
        <v>266</v>
      </c>
      <c r="C53" s="12" t="s">
        <v>266</v>
      </c>
      <c r="D53" s="12" t="s">
        <v>266</v>
      </c>
      <c r="E53" s="12" t="s">
        <v>266</v>
      </c>
      <c r="F53" s="12" t="s">
        <v>266</v>
      </c>
      <c r="G53" s="12" t="s">
        <v>266</v>
      </c>
      <c r="H53" s="12" t="s">
        <v>266</v>
      </c>
      <c r="I53" s="55" t="s">
        <v>266</v>
      </c>
    </row>
    <row r="54" spans="1:9" ht="12">
      <c r="A54" s="33" t="s">
        <v>612</v>
      </c>
      <c r="B54" s="12" t="s">
        <v>266</v>
      </c>
      <c r="C54" s="12" t="s">
        <v>266</v>
      </c>
      <c r="D54" s="12" t="s">
        <v>266</v>
      </c>
      <c r="E54" s="12" t="s">
        <v>266</v>
      </c>
      <c r="F54" s="12" t="s">
        <v>266</v>
      </c>
      <c r="G54" s="12" t="s">
        <v>266</v>
      </c>
      <c r="H54" s="12" t="s">
        <v>266</v>
      </c>
      <c r="I54" s="55" t="s">
        <v>266</v>
      </c>
    </row>
    <row r="55" spans="1:9" ht="12">
      <c r="A55" s="33" t="s">
        <v>613</v>
      </c>
      <c r="B55" s="55" t="s">
        <v>563</v>
      </c>
      <c r="C55" s="55" t="s">
        <v>563</v>
      </c>
      <c r="D55" s="12" t="s">
        <v>670</v>
      </c>
      <c r="E55" s="12" t="s">
        <v>670</v>
      </c>
      <c r="F55" s="12" t="s">
        <v>670</v>
      </c>
      <c r="G55" s="12" t="s">
        <v>670</v>
      </c>
      <c r="H55" s="12" t="s">
        <v>670</v>
      </c>
      <c r="I55" s="55" t="s">
        <v>266</v>
      </c>
    </row>
    <row r="56" spans="1:9" ht="12">
      <c r="A56" s="33" t="s">
        <v>615</v>
      </c>
      <c r="B56" s="55" t="s">
        <v>563</v>
      </c>
      <c r="C56" s="55" t="s">
        <v>563</v>
      </c>
      <c r="D56" s="12" t="s">
        <v>670</v>
      </c>
      <c r="E56" s="12" t="s">
        <v>1677</v>
      </c>
      <c r="F56" s="12" t="s">
        <v>670</v>
      </c>
      <c r="G56" s="12" t="s">
        <v>670</v>
      </c>
      <c r="H56" s="12" t="s">
        <v>670</v>
      </c>
      <c r="I56" s="55" t="s">
        <v>266</v>
      </c>
    </row>
    <row r="57" spans="1:9" ht="12">
      <c r="A57" s="33" t="s">
        <v>616</v>
      </c>
      <c r="B57" s="55" t="s">
        <v>563</v>
      </c>
      <c r="C57" s="55" t="s">
        <v>563</v>
      </c>
      <c r="D57" s="12" t="s">
        <v>670</v>
      </c>
      <c r="E57" s="12" t="s">
        <v>864</v>
      </c>
      <c r="F57" s="12" t="s">
        <v>670</v>
      </c>
      <c r="G57" s="12" t="s">
        <v>670</v>
      </c>
      <c r="H57" s="12" t="s">
        <v>670</v>
      </c>
      <c r="I57" s="55" t="s">
        <v>266</v>
      </c>
    </row>
    <row r="58" spans="1:9" ht="12">
      <c r="A58" s="33" t="s">
        <v>168</v>
      </c>
      <c r="B58" s="55" t="s">
        <v>563</v>
      </c>
      <c r="C58" s="55" t="s">
        <v>563</v>
      </c>
      <c r="D58" s="12" t="s">
        <v>670</v>
      </c>
      <c r="E58" s="12" t="s">
        <v>1671</v>
      </c>
      <c r="F58" s="12" t="s">
        <v>670</v>
      </c>
      <c r="G58" s="12" t="s">
        <v>670</v>
      </c>
      <c r="H58" s="12" t="s">
        <v>670</v>
      </c>
      <c r="I58" s="55" t="s">
        <v>266</v>
      </c>
    </row>
    <row r="59" spans="1:9" ht="12">
      <c r="A59" s="33" t="s">
        <v>115</v>
      </c>
      <c r="B59" s="55" t="s">
        <v>563</v>
      </c>
      <c r="C59" s="55" t="s">
        <v>563</v>
      </c>
      <c r="D59" s="12" t="s">
        <v>670</v>
      </c>
      <c r="E59" s="12" t="s">
        <v>670</v>
      </c>
      <c r="F59" s="12" t="s">
        <v>670</v>
      </c>
      <c r="G59" s="12" t="s">
        <v>670</v>
      </c>
      <c r="H59" s="12" t="s">
        <v>670</v>
      </c>
      <c r="I59" s="55" t="s">
        <v>266</v>
      </c>
    </row>
    <row r="60" spans="1:9" ht="12">
      <c r="A60" s="33" t="s">
        <v>49</v>
      </c>
      <c r="B60" s="55" t="s">
        <v>563</v>
      </c>
      <c r="C60" s="55" t="s">
        <v>563</v>
      </c>
      <c r="D60" s="12" t="s">
        <v>670</v>
      </c>
      <c r="E60" s="12" t="s">
        <v>670</v>
      </c>
      <c r="F60" s="12" t="s">
        <v>670</v>
      </c>
      <c r="G60" s="12" t="s">
        <v>670</v>
      </c>
      <c r="H60" s="12" t="s">
        <v>670</v>
      </c>
      <c r="I60" s="55" t="s">
        <v>266</v>
      </c>
    </row>
    <row r="61" spans="1:9" ht="12">
      <c r="A61" s="33" t="s">
        <v>620</v>
      </c>
      <c r="B61" s="55" t="s">
        <v>563</v>
      </c>
      <c r="C61" s="55" t="s">
        <v>563</v>
      </c>
      <c r="D61" s="12" t="s">
        <v>670</v>
      </c>
      <c r="E61" s="12" t="s">
        <v>1672</v>
      </c>
      <c r="F61" s="12" t="s">
        <v>670</v>
      </c>
      <c r="G61" s="12" t="s">
        <v>670</v>
      </c>
      <c r="H61" s="12" t="s">
        <v>670</v>
      </c>
      <c r="I61" s="55" t="s">
        <v>266</v>
      </c>
    </row>
    <row r="62" spans="1:9" ht="12">
      <c r="A62" s="33" t="s">
        <v>99</v>
      </c>
      <c r="B62" s="55" t="s">
        <v>563</v>
      </c>
      <c r="C62" s="55" t="s">
        <v>563</v>
      </c>
      <c r="D62" s="12" t="s">
        <v>670</v>
      </c>
      <c r="E62" s="12" t="s">
        <v>670</v>
      </c>
      <c r="F62" s="12" t="s">
        <v>1669</v>
      </c>
      <c r="G62" s="12" t="s">
        <v>670</v>
      </c>
      <c r="H62" s="12" t="s">
        <v>670</v>
      </c>
      <c r="I62" s="55" t="s">
        <v>266</v>
      </c>
    </row>
    <row r="63" spans="1:9" ht="12">
      <c r="A63" s="33" t="s">
        <v>119</v>
      </c>
      <c r="B63" s="55" t="s">
        <v>563</v>
      </c>
      <c r="C63" s="55" t="s">
        <v>563</v>
      </c>
      <c r="D63" s="12" t="s">
        <v>670</v>
      </c>
      <c r="E63" s="12" t="s">
        <v>1681</v>
      </c>
      <c r="F63" s="12" t="s">
        <v>670</v>
      </c>
      <c r="G63" s="12" t="s">
        <v>670</v>
      </c>
      <c r="H63" s="12" t="s">
        <v>670</v>
      </c>
      <c r="I63" s="55" t="s">
        <v>266</v>
      </c>
    </row>
    <row r="64" spans="1:9" ht="12">
      <c r="A64" s="33" t="s">
        <v>625</v>
      </c>
      <c r="B64" s="55" t="s">
        <v>563</v>
      </c>
      <c r="C64" s="55" t="s">
        <v>563</v>
      </c>
      <c r="D64" s="12" t="s">
        <v>670</v>
      </c>
      <c r="E64" s="12" t="s">
        <v>670</v>
      </c>
      <c r="F64" s="12" t="s">
        <v>670</v>
      </c>
      <c r="G64" s="12" t="s">
        <v>670</v>
      </c>
      <c r="H64" s="12" t="s">
        <v>670</v>
      </c>
      <c r="I64" s="55" t="s">
        <v>266</v>
      </c>
    </row>
    <row r="65" spans="1:9" ht="12">
      <c r="A65" s="33" t="s">
        <v>626</v>
      </c>
      <c r="B65" s="55" t="s">
        <v>563</v>
      </c>
      <c r="C65" s="55" t="s">
        <v>563</v>
      </c>
      <c r="D65" s="12" t="s">
        <v>670</v>
      </c>
      <c r="E65" s="12" t="s">
        <v>670</v>
      </c>
      <c r="F65" s="12" t="s">
        <v>670</v>
      </c>
      <c r="G65" s="12" t="s">
        <v>670</v>
      </c>
      <c r="H65" s="12" t="s">
        <v>670</v>
      </c>
      <c r="I65" s="55" t="s">
        <v>266</v>
      </c>
    </row>
    <row r="66" spans="1:9" ht="12">
      <c r="A66" s="33" t="s">
        <v>121</v>
      </c>
      <c r="B66" s="55" t="s">
        <v>563</v>
      </c>
      <c r="C66" s="55" t="s">
        <v>563</v>
      </c>
      <c r="D66" s="12" t="s">
        <v>670</v>
      </c>
      <c r="E66" s="12" t="s">
        <v>670</v>
      </c>
      <c r="F66" s="12" t="s">
        <v>670</v>
      </c>
      <c r="G66" s="12" t="s">
        <v>670</v>
      </c>
      <c r="H66" s="12" t="s">
        <v>670</v>
      </c>
      <c r="I66" s="55" t="s">
        <v>266</v>
      </c>
    </row>
    <row r="67" spans="1:9" ht="12">
      <c r="A67" s="33" t="s">
        <v>629</v>
      </c>
      <c r="B67" s="55" t="s">
        <v>563</v>
      </c>
      <c r="C67" s="55" t="s">
        <v>563</v>
      </c>
      <c r="D67" s="12" t="s">
        <v>670</v>
      </c>
      <c r="E67" s="12" t="s">
        <v>670</v>
      </c>
      <c r="F67" s="12" t="s">
        <v>670</v>
      </c>
      <c r="G67" s="12" t="s">
        <v>670</v>
      </c>
      <c r="H67" s="12" t="s">
        <v>670</v>
      </c>
      <c r="I67" s="55" t="s">
        <v>266</v>
      </c>
    </row>
    <row r="68" spans="1:9" s="15" customFormat="1" ht="12">
      <c r="A68" s="33" t="s">
        <v>50</v>
      </c>
      <c r="B68" s="55" t="s">
        <v>563</v>
      </c>
      <c r="C68" s="55" t="s">
        <v>563</v>
      </c>
      <c r="D68" s="12" t="s">
        <v>670</v>
      </c>
      <c r="E68" s="12" t="s">
        <v>1670</v>
      </c>
      <c r="F68" s="12" t="s">
        <v>670</v>
      </c>
      <c r="G68" s="12" t="s">
        <v>670</v>
      </c>
      <c r="H68" s="12" t="s">
        <v>670</v>
      </c>
      <c r="I68" s="55" t="s">
        <v>266</v>
      </c>
    </row>
    <row r="69" spans="1:9" s="15" customFormat="1" ht="12">
      <c r="A69" s="33" t="s">
        <v>124</v>
      </c>
      <c r="B69" s="55" t="s">
        <v>563</v>
      </c>
      <c r="C69" s="55" t="s">
        <v>563</v>
      </c>
      <c r="D69" s="12" t="s">
        <v>670</v>
      </c>
      <c r="E69" s="12" t="s">
        <v>670</v>
      </c>
      <c r="F69" s="12" t="s">
        <v>670</v>
      </c>
      <c r="G69" s="12" t="s">
        <v>670</v>
      </c>
      <c r="H69" s="12" t="s">
        <v>670</v>
      </c>
      <c r="I69" s="55" t="s">
        <v>266</v>
      </c>
    </row>
    <row r="70" spans="1:9" ht="12">
      <c r="A70" s="33" t="s">
        <v>51</v>
      </c>
      <c r="B70" s="55" t="s">
        <v>563</v>
      </c>
      <c r="C70" s="55" t="s">
        <v>563</v>
      </c>
      <c r="D70" s="12" t="s">
        <v>670</v>
      </c>
      <c r="E70" s="12" t="s">
        <v>1682</v>
      </c>
      <c r="F70" s="12" t="s">
        <v>670</v>
      </c>
      <c r="G70" s="12" t="s">
        <v>670</v>
      </c>
      <c r="H70" s="12" t="s">
        <v>670</v>
      </c>
      <c r="I70" s="55" t="s">
        <v>266</v>
      </c>
    </row>
    <row r="71" spans="1:9" ht="12">
      <c r="A71" s="33" t="s">
        <v>636</v>
      </c>
      <c r="B71" s="55" t="s">
        <v>563</v>
      </c>
      <c r="C71" s="55" t="s">
        <v>563</v>
      </c>
      <c r="D71" s="12" t="s">
        <v>670</v>
      </c>
      <c r="E71" s="12" t="s">
        <v>1683</v>
      </c>
      <c r="F71" s="12" t="s">
        <v>670</v>
      </c>
      <c r="G71" s="12" t="s">
        <v>670</v>
      </c>
      <c r="H71" s="12" t="s">
        <v>670</v>
      </c>
      <c r="I71" s="55" t="s">
        <v>266</v>
      </c>
    </row>
    <row r="72" spans="1:9" ht="12">
      <c r="A72" s="33" t="s">
        <v>48</v>
      </c>
      <c r="B72" s="55" t="s">
        <v>563</v>
      </c>
      <c r="C72" s="55" t="s">
        <v>563</v>
      </c>
      <c r="D72" s="12" t="s">
        <v>670</v>
      </c>
      <c r="E72" s="12" t="s">
        <v>1679</v>
      </c>
      <c r="F72" s="12" t="s">
        <v>670</v>
      </c>
      <c r="G72" s="12" t="s">
        <v>670</v>
      </c>
      <c r="H72" s="12" t="s">
        <v>670</v>
      </c>
      <c r="I72" s="55" t="s">
        <v>266</v>
      </c>
    </row>
    <row r="73" spans="1:9" ht="12">
      <c r="A73" s="33" t="s">
        <v>638</v>
      </c>
      <c r="B73" s="55" t="s">
        <v>563</v>
      </c>
      <c r="C73" s="55" t="s">
        <v>563</v>
      </c>
      <c r="D73" s="12" t="s">
        <v>670</v>
      </c>
      <c r="E73" s="12" t="s">
        <v>670</v>
      </c>
      <c r="F73" s="12" t="s">
        <v>670</v>
      </c>
      <c r="G73" s="12" t="s">
        <v>670</v>
      </c>
      <c r="H73" s="12" t="s">
        <v>670</v>
      </c>
      <c r="I73" s="55" t="s">
        <v>266</v>
      </c>
    </row>
    <row r="74" spans="1:9" ht="12">
      <c r="A74" s="33" t="s">
        <v>640</v>
      </c>
      <c r="B74" s="55" t="s">
        <v>563</v>
      </c>
      <c r="C74" s="55" t="s">
        <v>563</v>
      </c>
      <c r="D74" s="12" t="s">
        <v>670</v>
      </c>
      <c r="E74" s="12" t="s">
        <v>1680</v>
      </c>
      <c r="F74" s="12" t="s">
        <v>670</v>
      </c>
      <c r="G74" s="12" t="s">
        <v>670</v>
      </c>
      <c r="H74" s="12" t="s">
        <v>670</v>
      </c>
      <c r="I74" s="55" t="s">
        <v>266</v>
      </c>
    </row>
    <row r="75" spans="1:9" ht="12">
      <c r="A75" s="33" t="s">
        <v>641</v>
      </c>
      <c r="B75" s="55" t="s">
        <v>563</v>
      </c>
      <c r="C75" s="55" t="s">
        <v>563</v>
      </c>
      <c r="D75" s="12" t="s">
        <v>670</v>
      </c>
      <c r="E75" s="12" t="s">
        <v>670</v>
      </c>
      <c r="F75" s="12" t="s">
        <v>670</v>
      </c>
      <c r="G75" s="12" t="s">
        <v>670</v>
      </c>
      <c r="H75" s="12" t="s">
        <v>670</v>
      </c>
      <c r="I75" s="55" t="s">
        <v>266</v>
      </c>
    </row>
    <row r="76" spans="1:9" ht="12">
      <c r="A76" s="33" t="s">
        <v>642</v>
      </c>
      <c r="B76" s="55" t="s">
        <v>563</v>
      </c>
      <c r="C76" s="55" t="s">
        <v>563</v>
      </c>
      <c r="D76" s="12" t="s">
        <v>670</v>
      </c>
      <c r="E76" s="12" t="s">
        <v>1684</v>
      </c>
      <c r="F76" s="12" t="s">
        <v>670</v>
      </c>
      <c r="G76" s="12" t="s">
        <v>670</v>
      </c>
      <c r="H76" s="12" t="s">
        <v>670</v>
      </c>
      <c r="I76" s="55" t="s">
        <v>266</v>
      </c>
    </row>
    <row r="77" spans="1:9" ht="12">
      <c r="A77" s="33" t="s">
        <v>128</v>
      </c>
      <c r="B77" s="55" t="s">
        <v>563</v>
      </c>
      <c r="C77" s="55" t="s">
        <v>563</v>
      </c>
      <c r="D77" s="12" t="s">
        <v>670</v>
      </c>
      <c r="E77" s="12" t="s">
        <v>670</v>
      </c>
      <c r="F77" s="12" t="s">
        <v>670</v>
      </c>
      <c r="G77" s="12" t="s">
        <v>670</v>
      </c>
      <c r="H77" s="12" t="s">
        <v>670</v>
      </c>
      <c r="I77" s="55" t="s">
        <v>266</v>
      </c>
    </row>
    <row r="78" spans="1:9" ht="12">
      <c r="A78" s="33" t="s">
        <v>645</v>
      </c>
      <c r="B78" s="55" t="s">
        <v>563</v>
      </c>
      <c r="C78" s="55" t="s">
        <v>563</v>
      </c>
      <c r="D78" s="12" t="s">
        <v>670</v>
      </c>
      <c r="E78" s="12" t="s">
        <v>670</v>
      </c>
      <c r="F78" s="12" t="s">
        <v>670</v>
      </c>
      <c r="G78" s="12" t="s">
        <v>670</v>
      </c>
      <c r="H78" s="12" t="s">
        <v>670</v>
      </c>
      <c r="I78" s="55" t="s">
        <v>266</v>
      </c>
    </row>
    <row r="79" spans="1:9" ht="12">
      <c r="A79" s="33" t="s">
        <v>648</v>
      </c>
      <c r="B79" s="55" t="s">
        <v>563</v>
      </c>
      <c r="C79" s="55" t="s">
        <v>563</v>
      </c>
      <c r="D79" s="12" t="s">
        <v>670</v>
      </c>
      <c r="E79" s="12" t="s">
        <v>670</v>
      </c>
      <c r="F79" s="12" t="s">
        <v>670</v>
      </c>
      <c r="G79" s="12" t="s">
        <v>670</v>
      </c>
      <c r="H79" s="12" t="s">
        <v>670</v>
      </c>
      <c r="I79" s="55" t="s">
        <v>266</v>
      </c>
    </row>
    <row r="80" spans="1:9" ht="12">
      <c r="A80" s="33" t="s">
        <v>650</v>
      </c>
      <c r="B80" s="55" t="s">
        <v>563</v>
      </c>
      <c r="C80" s="55" t="s">
        <v>563</v>
      </c>
      <c r="D80" s="12" t="s">
        <v>670</v>
      </c>
      <c r="E80" s="12" t="s">
        <v>670</v>
      </c>
      <c r="F80" s="12" t="s">
        <v>670</v>
      </c>
      <c r="G80" s="12" t="s">
        <v>670</v>
      </c>
      <c r="H80" s="12" t="s">
        <v>670</v>
      </c>
      <c r="I80" s="55" t="s">
        <v>266</v>
      </c>
    </row>
    <row r="81" spans="1:9" ht="12">
      <c r="A81" s="33" t="s">
        <v>668</v>
      </c>
      <c r="B81" s="55" t="s">
        <v>995</v>
      </c>
      <c r="C81" s="12" t="s">
        <v>670</v>
      </c>
      <c r="D81" s="12" t="s">
        <v>670</v>
      </c>
      <c r="E81" s="12" t="s">
        <v>670</v>
      </c>
      <c r="F81" s="12" t="s">
        <v>670</v>
      </c>
      <c r="G81" s="12" t="s">
        <v>670</v>
      </c>
      <c r="H81" s="12" t="s">
        <v>670</v>
      </c>
      <c r="I81" s="55" t="s">
        <v>266</v>
      </c>
    </row>
    <row r="82" spans="1:9" ht="12">
      <c r="A82" s="33" t="s">
        <v>947</v>
      </c>
      <c r="B82" s="12" t="s">
        <v>670</v>
      </c>
      <c r="C82" s="12" t="s">
        <v>670</v>
      </c>
      <c r="D82" s="12" t="s">
        <v>670</v>
      </c>
      <c r="E82" s="12" t="s">
        <v>670</v>
      </c>
      <c r="F82" s="12" t="s">
        <v>670</v>
      </c>
      <c r="G82" s="12" t="s">
        <v>670</v>
      </c>
      <c r="H82" s="12" t="s">
        <v>670</v>
      </c>
      <c r="I82" s="55" t="s">
        <v>266</v>
      </c>
    </row>
    <row r="83" spans="1:9" ht="12">
      <c r="A83" s="33" t="s">
        <v>948</v>
      </c>
      <c r="B83" s="12" t="s">
        <v>670</v>
      </c>
      <c r="C83" s="12" t="s">
        <v>670</v>
      </c>
      <c r="D83" s="12" t="s">
        <v>670</v>
      </c>
      <c r="E83" s="12" t="s">
        <v>670</v>
      </c>
      <c r="F83" s="12" t="s">
        <v>670</v>
      </c>
      <c r="G83" s="12" t="s">
        <v>670</v>
      </c>
      <c r="H83" s="12" t="s">
        <v>670</v>
      </c>
      <c r="I83" s="55" t="s">
        <v>266</v>
      </c>
    </row>
    <row r="84" spans="1:9" ht="12">
      <c r="A84" s="33" t="s">
        <v>950</v>
      </c>
      <c r="B84" s="12" t="s">
        <v>670</v>
      </c>
      <c r="C84" s="12" t="s">
        <v>670</v>
      </c>
      <c r="D84" s="12" t="s">
        <v>670</v>
      </c>
      <c r="E84" s="12" t="s">
        <v>670</v>
      </c>
      <c r="F84" s="12" t="s">
        <v>670</v>
      </c>
      <c r="G84" s="12" t="s">
        <v>670</v>
      </c>
      <c r="H84" s="12" t="s">
        <v>670</v>
      </c>
      <c r="I84" s="55" t="s">
        <v>266</v>
      </c>
    </row>
    <row r="85" spans="1:9" ht="12">
      <c r="A85" s="33" t="s">
        <v>656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55" t="s">
        <v>266</v>
      </c>
    </row>
    <row r="86" spans="1:9" ht="12">
      <c r="A86" s="33" t="s">
        <v>949</v>
      </c>
      <c r="B86" s="12" t="s">
        <v>670</v>
      </c>
      <c r="C86" s="12" t="s">
        <v>670</v>
      </c>
      <c r="D86" s="12" t="s">
        <v>670</v>
      </c>
      <c r="E86" s="12" t="s">
        <v>670</v>
      </c>
      <c r="F86" s="12" t="s">
        <v>670</v>
      </c>
      <c r="G86" s="12" t="s">
        <v>670</v>
      </c>
      <c r="H86" s="12" t="s">
        <v>670</v>
      </c>
      <c r="I86" s="55" t="s">
        <v>266</v>
      </c>
    </row>
    <row r="87" spans="1:9" s="16" customFormat="1" ht="12">
      <c r="A87" s="33" t="s">
        <v>951</v>
      </c>
      <c r="B87" s="12" t="s">
        <v>670</v>
      </c>
      <c r="C87" s="12" t="s">
        <v>670</v>
      </c>
      <c r="D87" s="12" t="s">
        <v>670</v>
      </c>
      <c r="E87" s="12" t="s">
        <v>670</v>
      </c>
      <c r="F87" s="12" t="s">
        <v>670</v>
      </c>
      <c r="G87" s="12" t="s">
        <v>670</v>
      </c>
      <c r="H87" s="12" t="s">
        <v>670</v>
      </c>
      <c r="I87" s="55" t="s">
        <v>266</v>
      </c>
    </row>
    <row r="88" spans="1:9" ht="12">
      <c r="A88" s="33" t="s">
        <v>952</v>
      </c>
      <c r="B88" s="12" t="s">
        <v>670</v>
      </c>
      <c r="C88" s="12" t="s">
        <v>670</v>
      </c>
      <c r="D88" s="12" t="s">
        <v>670</v>
      </c>
      <c r="E88" s="12" t="s">
        <v>670</v>
      </c>
      <c r="F88" s="12" t="s">
        <v>670</v>
      </c>
      <c r="G88" s="12" t="s">
        <v>670</v>
      </c>
      <c r="H88" s="12" t="s">
        <v>670</v>
      </c>
      <c r="I88" s="55" t="s">
        <v>266</v>
      </c>
    </row>
    <row r="89" spans="1:9" ht="12">
      <c r="A89" s="33" t="s">
        <v>658</v>
      </c>
      <c r="B89" s="12" t="s">
        <v>670</v>
      </c>
      <c r="C89" s="12" t="s">
        <v>670</v>
      </c>
      <c r="D89" s="12" t="s">
        <v>670</v>
      </c>
      <c r="E89" s="12" t="s">
        <v>670</v>
      </c>
      <c r="F89" s="12" t="s">
        <v>670</v>
      </c>
      <c r="G89" s="12" t="s">
        <v>670</v>
      </c>
      <c r="H89" s="12" t="s">
        <v>670</v>
      </c>
      <c r="I89" s="55" t="s">
        <v>266</v>
      </c>
    </row>
    <row r="90" spans="1:9" ht="12">
      <c r="A90" s="33" t="s">
        <v>660</v>
      </c>
      <c r="B90" s="12" t="s">
        <v>670</v>
      </c>
      <c r="C90" s="12" t="s">
        <v>670</v>
      </c>
      <c r="D90" s="12" t="s">
        <v>670</v>
      </c>
      <c r="E90" s="12" t="s">
        <v>670</v>
      </c>
      <c r="F90" s="12" t="s">
        <v>670</v>
      </c>
      <c r="G90" s="12" t="s">
        <v>670</v>
      </c>
      <c r="H90" s="12" t="s">
        <v>670</v>
      </c>
      <c r="I90" s="55" t="s">
        <v>266</v>
      </c>
    </row>
    <row r="91" spans="1:9" ht="12">
      <c r="A91" s="33" t="s">
        <v>1644</v>
      </c>
      <c r="B91" s="12" t="s">
        <v>1669</v>
      </c>
      <c r="C91" s="12" t="s">
        <v>670</v>
      </c>
      <c r="D91" s="12" t="s">
        <v>670</v>
      </c>
      <c r="E91" s="12" t="s">
        <v>670</v>
      </c>
      <c r="F91" s="12" t="s">
        <v>670</v>
      </c>
      <c r="G91" s="12" t="s">
        <v>670</v>
      </c>
      <c r="H91" s="12" t="s">
        <v>670</v>
      </c>
      <c r="I91" s="55" t="s">
        <v>266</v>
      </c>
    </row>
    <row r="92" spans="1:9" ht="12">
      <c r="A92" s="32" t="s">
        <v>1645</v>
      </c>
      <c r="B92" s="12" t="s">
        <v>1669</v>
      </c>
      <c r="C92" s="12" t="s">
        <v>670</v>
      </c>
      <c r="D92" s="12" t="s">
        <v>670</v>
      </c>
      <c r="E92" s="12" t="s">
        <v>670</v>
      </c>
      <c r="F92" s="12" t="s">
        <v>670</v>
      </c>
      <c r="G92" s="12" t="s">
        <v>670</v>
      </c>
      <c r="H92" s="12" t="s">
        <v>670</v>
      </c>
      <c r="I92" s="55" t="s">
        <v>266</v>
      </c>
    </row>
    <row r="93" spans="1:9" ht="12">
      <c r="A93" s="32" t="s">
        <v>1646</v>
      </c>
      <c r="B93" s="12" t="s">
        <v>1669</v>
      </c>
      <c r="C93" s="12" t="s">
        <v>670</v>
      </c>
      <c r="D93" s="12" t="s">
        <v>670</v>
      </c>
      <c r="E93" s="12" t="s">
        <v>670</v>
      </c>
      <c r="F93" s="12" t="s">
        <v>670</v>
      </c>
      <c r="G93" s="12" t="s">
        <v>670</v>
      </c>
      <c r="H93" s="12" t="s">
        <v>670</v>
      </c>
      <c r="I93" s="55" t="s">
        <v>266</v>
      </c>
    </row>
    <row r="94" spans="1:9" ht="12">
      <c r="A94" s="32" t="s">
        <v>1647</v>
      </c>
      <c r="B94" s="12" t="s">
        <v>1669</v>
      </c>
      <c r="C94" s="12" t="s">
        <v>670</v>
      </c>
      <c r="D94" s="12" t="s">
        <v>670</v>
      </c>
      <c r="E94" s="12" t="s">
        <v>670</v>
      </c>
      <c r="F94" s="12" t="s">
        <v>670</v>
      </c>
      <c r="G94" s="12" t="s">
        <v>670</v>
      </c>
      <c r="H94" s="12" t="s">
        <v>670</v>
      </c>
      <c r="I94" s="55" t="s">
        <v>266</v>
      </c>
    </row>
    <row r="95" spans="1:9" ht="12">
      <c r="A95" s="32" t="s">
        <v>1648</v>
      </c>
      <c r="B95" s="12" t="s">
        <v>1669</v>
      </c>
      <c r="C95" s="12" t="s">
        <v>670</v>
      </c>
      <c r="D95" s="12" t="s">
        <v>670</v>
      </c>
      <c r="E95" s="12" t="s">
        <v>670</v>
      </c>
      <c r="F95" s="12" t="s">
        <v>670</v>
      </c>
      <c r="G95" s="12" t="s">
        <v>670</v>
      </c>
      <c r="H95" s="12" t="s">
        <v>670</v>
      </c>
      <c r="I95" s="55" t="s">
        <v>266</v>
      </c>
    </row>
    <row r="96" spans="1:9" ht="12">
      <c r="A96" s="32" t="s">
        <v>1649</v>
      </c>
      <c r="B96" s="12" t="s">
        <v>1669</v>
      </c>
      <c r="C96" s="12" t="s">
        <v>670</v>
      </c>
      <c r="D96" s="12" t="s">
        <v>670</v>
      </c>
      <c r="E96" s="12" t="s">
        <v>670</v>
      </c>
      <c r="F96" s="12" t="s">
        <v>670</v>
      </c>
      <c r="G96" s="12" t="s">
        <v>670</v>
      </c>
      <c r="H96" s="12" t="s">
        <v>670</v>
      </c>
      <c r="I96" s="55" t="s">
        <v>266</v>
      </c>
    </row>
    <row r="97" spans="1:9" ht="12">
      <c r="A97" s="32" t="s">
        <v>1650</v>
      </c>
      <c r="B97" s="12" t="s">
        <v>1669</v>
      </c>
      <c r="C97" s="12" t="s">
        <v>670</v>
      </c>
      <c r="D97" s="12" t="s">
        <v>670</v>
      </c>
      <c r="E97" s="12" t="s">
        <v>670</v>
      </c>
      <c r="F97" s="12" t="s">
        <v>670</v>
      </c>
      <c r="G97" s="12" t="s">
        <v>670</v>
      </c>
      <c r="H97" s="12" t="s">
        <v>670</v>
      </c>
      <c r="I97" s="55" t="s">
        <v>266</v>
      </c>
    </row>
    <row r="98" spans="1:9" ht="12">
      <c r="A98" s="32" t="s">
        <v>1651</v>
      </c>
      <c r="B98" s="12" t="s">
        <v>1669</v>
      </c>
      <c r="C98" s="12" t="s">
        <v>670</v>
      </c>
      <c r="D98" s="12" t="s">
        <v>670</v>
      </c>
      <c r="E98" s="12" t="s">
        <v>670</v>
      </c>
      <c r="F98" s="12" t="s">
        <v>670</v>
      </c>
      <c r="G98" s="12" t="s">
        <v>670</v>
      </c>
      <c r="H98" s="12" t="s">
        <v>670</v>
      </c>
      <c r="I98" s="55" t="s">
        <v>266</v>
      </c>
    </row>
    <row r="99" spans="1:9" ht="12">
      <c r="A99" s="32" t="s">
        <v>1652</v>
      </c>
      <c r="B99" s="12" t="s">
        <v>1669</v>
      </c>
      <c r="C99" s="12" t="s">
        <v>670</v>
      </c>
      <c r="D99" s="12" t="s">
        <v>670</v>
      </c>
      <c r="E99" s="12" t="s">
        <v>670</v>
      </c>
      <c r="F99" s="12" t="s">
        <v>670</v>
      </c>
      <c r="G99" s="12" t="s">
        <v>670</v>
      </c>
      <c r="H99" s="12" t="s">
        <v>670</v>
      </c>
      <c r="I99" s="55" t="s">
        <v>266</v>
      </c>
    </row>
    <row r="100" spans="1:9" ht="12">
      <c r="A100" s="32" t="s">
        <v>1653</v>
      </c>
      <c r="B100" s="12" t="s">
        <v>1669</v>
      </c>
      <c r="C100" s="12" t="s">
        <v>670</v>
      </c>
      <c r="D100" s="12" t="s">
        <v>670</v>
      </c>
      <c r="E100" s="12" t="s">
        <v>670</v>
      </c>
      <c r="F100" s="12" t="s">
        <v>670</v>
      </c>
      <c r="G100" s="12" t="s">
        <v>670</v>
      </c>
      <c r="H100" s="12" t="s">
        <v>670</v>
      </c>
      <c r="I100" s="55" t="s">
        <v>266</v>
      </c>
    </row>
    <row r="101" spans="1:9" ht="12">
      <c r="A101" s="32" t="s">
        <v>1654</v>
      </c>
      <c r="B101" s="12" t="s">
        <v>1669</v>
      </c>
      <c r="C101" s="12" t="s">
        <v>670</v>
      </c>
      <c r="D101" s="12" t="s">
        <v>670</v>
      </c>
      <c r="E101" s="12" t="s">
        <v>670</v>
      </c>
      <c r="F101" s="12" t="s">
        <v>670</v>
      </c>
      <c r="G101" s="12" t="s">
        <v>670</v>
      </c>
      <c r="H101" s="12" t="s">
        <v>670</v>
      </c>
      <c r="I101" s="55" t="s">
        <v>266</v>
      </c>
    </row>
    <row r="102" spans="1:9" ht="12">
      <c r="A102" s="33" t="s">
        <v>1655</v>
      </c>
      <c r="B102" s="12" t="s">
        <v>1669</v>
      </c>
      <c r="C102" s="12" t="s">
        <v>670</v>
      </c>
      <c r="D102" s="12" t="s">
        <v>670</v>
      </c>
      <c r="E102" s="12" t="s">
        <v>670</v>
      </c>
      <c r="F102" s="12" t="s">
        <v>670</v>
      </c>
      <c r="G102" s="12" t="s">
        <v>670</v>
      </c>
      <c r="H102" s="12" t="s">
        <v>670</v>
      </c>
      <c r="I102" s="55" t="s">
        <v>266</v>
      </c>
    </row>
    <row r="103" spans="1:9" ht="12">
      <c r="A103" s="34" t="s">
        <v>1656</v>
      </c>
      <c r="B103" s="12" t="s">
        <v>1669</v>
      </c>
      <c r="C103" s="12" t="s">
        <v>670</v>
      </c>
      <c r="D103" s="12" t="s">
        <v>670</v>
      </c>
      <c r="E103" s="12" t="s">
        <v>670</v>
      </c>
      <c r="F103" s="12" t="s">
        <v>670</v>
      </c>
      <c r="G103" s="12" t="s">
        <v>670</v>
      </c>
      <c r="H103" s="12" t="s">
        <v>670</v>
      </c>
      <c r="I103" s="55" t="s">
        <v>266</v>
      </c>
    </row>
    <row r="104" spans="1:9" ht="12">
      <c r="A104" s="33" t="s">
        <v>1657</v>
      </c>
      <c r="B104" s="12" t="s">
        <v>670</v>
      </c>
      <c r="C104" s="12" t="s">
        <v>670</v>
      </c>
      <c r="D104" s="12" t="s">
        <v>670</v>
      </c>
      <c r="E104" s="12" t="s">
        <v>670</v>
      </c>
      <c r="F104" s="12" t="s">
        <v>670</v>
      </c>
      <c r="G104" s="12" t="s">
        <v>670</v>
      </c>
      <c r="H104" s="12" t="s">
        <v>670</v>
      </c>
      <c r="I104" s="55" t="s">
        <v>266</v>
      </c>
    </row>
    <row r="105" spans="1:9" ht="12">
      <c r="A105" s="33" t="s">
        <v>1658</v>
      </c>
      <c r="B105" s="12" t="s">
        <v>670</v>
      </c>
      <c r="C105" s="12" t="s">
        <v>670</v>
      </c>
      <c r="D105" s="12" t="s">
        <v>670</v>
      </c>
      <c r="E105" s="12" t="s">
        <v>670</v>
      </c>
      <c r="F105" s="12" t="s">
        <v>670</v>
      </c>
      <c r="G105" s="12" t="s">
        <v>670</v>
      </c>
      <c r="H105" s="12" t="s">
        <v>670</v>
      </c>
      <c r="I105" s="55" t="s">
        <v>266</v>
      </c>
    </row>
    <row r="106" spans="1:9" ht="12">
      <c r="A106" s="34" t="s">
        <v>1659</v>
      </c>
      <c r="B106" s="12" t="s">
        <v>670</v>
      </c>
      <c r="C106" s="12" t="s">
        <v>670</v>
      </c>
      <c r="D106" s="12" t="s">
        <v>670</v>
      </c>
      <c r="E106" s="12" t="s">
        <v>670</v>
      </c>
      <c r="F106" s="12" t="s">
        <v>670</v>
      </c>
      <c r="G106" s="12" t="s">
        <v>670</v>
      </c>
      <c r="H106" s="12" t="s">
        <v>670</v>
      </c>
      <c r="I106" s="55" t="s">
        <v>266</v>
      </c>
    </row>
    <row r="107" spans="1:9" ht="12">
      <c r="A107" s="33" t="s">
        <v>1660</v>
      </c>
      <c r="B107" s="12" t="s">
        <v>670</v>
      </c>
      <c r="C107" s="12" t="s">
        <v>670</v>
      </c>
      <c r="D107" s="12" t="s">
        <v>670</v>
      </c>
      <c r="E107" s="12" t="s">
        <v>670</v>
      </c>
      <c r="F107" s="12" t="s">
        <v>670</v>
      </c>
      <c r="G107" s="12" t="s">
        <v>670</v>
      </c>
      <c r="H107" s="12" t="s">
        <v>670</v>
      </c>
      <c r="I107" s="55" t="s">
        <v>266</v>
      </c>
    </row>
    <row r="108" spans="1:9" ht="12">
      <c r="A108" s="33" t="s">
        <v>1661</v>
      </c>
      <c r="B108" s="12" t="s">
        <v>670</v>
      </c>
      <c r="C108" s="12" t="s">
        <v>670</v>
      </c>
      <c r="D108" s="12" t="s">
        <v>670</v>
      </c>
      <c r="E108" s="12" t="s">
        <v>670</v>
      </c>
      <c r="F108" s="12" t="s">
        <v>670</v>
      </c>
      <c r="G108" s="12" t="s">
        <v>670</v>
      </c>
      <c r="H108" s="12" t="s">
        <v>670</v>
      </c>
      <c r="I108" s="55" t="s">
        <v>266</v>
      </c>
    </row>
    <row r="109" spans="1:9" ht="12">
      <c r="A109" s="33" t="s">
        <v>1662</v>
      </c>
      <c r="B109" s="12" t="s">
        <v>1669</v>
      </c>
      <c r="C109" s="12" t="s">
        <v>670</v>
      </c>
      <c r="D109" s="12" t="s">
        <v>1669</v>
      </c>
      <c r="E109" s="12" t="s">
        <v>670</v>
      </c>
      <c r="F109" s="12" t="s">
        <v>670</v>
      </c>
      <c r="G109" s="12" t="s">
        <v>670</v>
      </c>
      <c r="H109" s="12" t="s">
        <v>670</v>
      </c>
      <c r="I109" s="55" t="s">
        <v>266</v>
      </c>
    </row>
    <row r="110" spans="1:9" ht="12">
      <c r="A110" s="33" t="s">
        <v>1663</v>
      </c>
      <c r="B110" s="12" t="s">
        <v>1669</v>
      </c>
      <c r="C110" s="12" t="s">
        <v>670</v>
      </c>
      <c r="D110" s="12" t="s">
        <v>670</v>
      </c>
      <c r="E110" s="12" t="s">
        <v>670</v>
      </c>
      <c r="F110" s="12" t="s">
        <v>670</v>
      </c>
      <c r="G110" s="12" t="s">
        <v>670</v>
      </c>
      <c r="H110" s="12" t="s">
        <v>670</v>
      </c>
      <c r="I110" s="55" t="s">
        <v>266</v>
      </c>
    </row>
    <row r="111" spans="1:9" ht="12">
      <c r="A111" s="33" t="s">
        <v>1664</v>
      </c>
      <c r="B111" s="12" t="s">
        <v>670</v>
      </c>
      <c r="C111" s="12" t="s">
        <v>670</v>
      </c>
      <c r="D111" s="12" t="s">
        <v>670</v>
      </c>
      <c r="E111" s="12" t="s">
        <v>670</v>
      </c>
      <c r="F111" s="12" t="s">
        <v>670</v>
      </c>
      <c r="G111" s="12" t="s">
        <v>670</v>
      </c>
      <c r="H111" s="12" t="s">
        <v>670</v>
      </c>
      <c r="I111" s="55" t="s">
        <v>266</v>
      </c>
    </row>
    <row r="112" spans="1:9" ht="12">
      <c r="A112" s="33" t="s">
        <v>1665</v>
      </c>
      <c r="B112" s="12" t="s">
        <v>1669</v>
      </c>
      <c r="C112" s="12" t="s">
        <v>670</v>
      </c>
      <c r="D112" s="12" t="s">
        <v>670</v>
      </c>
      <c r="E112" s="12" t="s">
        <v>670</v>
      </c>
      <c r="F112" s="12" t="s">
        <v>670</v>
      </c>
      <c r="G112" s="12" t="s">
        <v>670</v>
      </c>
      <c r="H112" s="12" t="s">
        <v>670</v>
      </c>
      <c r="I112" s="55" t="s">
        <v>266</v>
      </c>
    </row>
    <row r="113" spans="1:9" ht="12">
      <c r="A113" s="33" t="s">
        <v>1666</v>
      </c>
      <c r="B113" s="12" t="s">
        <v>1669</v>
      </c>
      <c r="C113" s="12" t="s">
        <v>670</v>
      </c>
      <c r="D113" s="12" t="s">
        <v>670</v>
      </c>
      <c r="E113" s="12" t="s">
        <v>670</v>
      </c>
      <c r="F113" s="12" t="s">
        <v>670</v>
      </c>
      <c r="G113" s="12" t="s">
        <v>670</v>
      </c>
      <c r="H113" s="12" t="s">
        <v>670</v>
      </c>
      <c r="I113" s="55" t="s">
        <v>266</v>
      </c>
    </row>
    <row r="114" spans="1:9" ht="12">
      <c r="A114" s="33" t="s">
        <v>1667</v>
      </c>
      <c r="B114" s="12" t="s">
        <v>670</v>
      </c>
      <c r="C114" s="12" t="s">
        <v>670</v>
      </c>
      <c r="D114" s="12" t="s">
        <v>670</v>
      </c>
      <c r="E114" s="12" t="s">
        <v>670</v>
      </c>
      <c r="F114" s="12" t="s">
        <v>670</v>
      </c>
      <c r="G114" s="12" t="s">
        <v>670</v>
      </c>
      <c r="H114" s="12" t="s">
        <v>670</v>
      </c>
      <c r="I114" s="55" t="s">
        <v>266</v>
      </c>
    </row>
    <row r="115" spans="1:9" ht="12">
      <c r="A115" s="33" t="s">
        <v>1668</v>
      </c>
      <c r="B115" s="12" t="s">
        <v>1669</v>
      </c>
      <c r="C115" s="12" t="s">
        <v>670</v>
      </c>
      <c r="D115" s="12" t="s">
        <v>670</v>
      </c>
      <c r="E115" s="12" t="s">
        <v>670</v>
      </c>
      <c r="F115" s="12" t="s">
        <v>670</v>
      </c>
      <c r="G115" s="12" t="s">
        <v>670</v>
      </c>
      <c r="H115" s="12" t="s">
        <v>670</v>
      </c>
      <c r="I115" s="55" t="s">
        <v>266</v>
      </c>
    </row>
    <row r="117" spans="1:9" s="15" customFormat="1">
      <c r="A117" s="11"/>
      <c r="B117" s="16"/>
      <c r="C117" s="16"/>
      <c r="D117" s="16"/>
      <c r="E117" s="16"/>
      <c r="F117" s="16"/>
      <c r="G117" s="16"/>
      <c r="H117" s="16"/>
      <c r="I117" s="16"/>
    </row>
    <row r="118" spans="1:9" s="15" customFormat="1">
      <c r="A118" s="11"/>
      <c r="B118" s="11"/>
      <c r="C118" s="11"/>
      <c r="D118" s="11"/>
      <c r="E118" s="11"/>
      <c r="F118" s="11"/>
      <c r="G118" s="11"/>
      <c r="H118" s="11"/>
      <c r="I118" s="11"/>
    </row>
    <row r="119" spans="1:9" s="15" customFormat="1">
      <c r="A119" s="11"/>
      <c r="B119" s="11"/>
      <c r="C119" s="11"/>
      <c r="D119" s="11"/>
      <c r="E119" s="11"/>
      <c r="F119" s="11"/>
      <c r="G119" s="11"/>
      <c r="H119" s="11"/>
      <c r="I119" s="11"/>
    </row>
    <row r="124" spans="1:9">
      <c r="B124" s="15"/>
      <c r="C124" s="15"/>
      <c r="D124" s="15"/>
      <c r="E124" s="15"/>
      <c r="F124" s="15"/>
      <c r="G124" s="15"/>
      <c r="H124" s="15"/>
      <c r="I124" s="15"/>
    </row>
    <row r="125" spans="1:9">
      <c r="B125" s="15"/>
      <c r="C125" s="15"/>
      <c r="D125" s="15"/>
      <c r="E125" s="15"/>
      <c r="F125" s="15"/>
      <c r="G125" s="15"/>
      <c r="H125" s="15"/>
      <c r="I125" s="15"/>
    </row>
    <row r="126" spans="1:9">
      <c r="B126" s="15"/>
      <c r="C126" s="15"/>
      <c r="D126" s="15"/>
      <c r="E126" s="15"/>
      <c r="F126" s="15"/>
      <c r="G126" s="15"/>
      <c r="H126" s="15"/>
      <c r="I126" s="15"/>
    </row>
  </sheetData>
  <autoFilter ref="A1:I90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4F41-B092-4E7D-93AC-AB3337F259F0}">
  <sheetPr codeName="Sheet26">
    <tabColor theme="8" tint="0.79998168889431442"/>
  </sheetPr>
  <dimension ref="A1:F87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|:---|:---|:---|:---|:---|</v>
      </c>
    </row>
    <row r="3" spans="1:6" ht="11.25" customHeight="1">
      <c r="A3" s="52"/>
      <c r="B3" s="52"/>
      <c r="C3" s="52"/>
      <c r="D3" s="10" t="s">
        <v>1245</v>
      </c>
      <c r="E3" s="10" t="s">
        <v>869</v>
      </c>
      <c r="F3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||||F5|更新|</v>
      </c>
    </row>
    <row r="4" spans="1:6" ht="11.25" customHeight="1">
      <c r="A4" s="52"/>
      <c r="B4" s="52"/>
      <c r="C4" s="52" t="s">
        <v>2</v>
      </c>
      <c r="D4" s="10" t="s">
        <v>1261</v>
      </c>
      <c r="E4" s="10" t="s">
        <v>1260</v>
      </c>
      <c r="F4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|||Alt|←/→/↑|ディレクトリ移動(戻る/進む/親)|</v>
      </c>
    </row>
    <row r="5" spans="1:6" ht="11.25" customHeight="1">
      <c r="A5" s="52" t="s">
        <v>0</v>
      </c>
      <c r="B5" s="52"/>
      <c r="C5" s="52"/>
      <c r="D5" s="10" t="s">
        <v>1277</v>
      </c>
      <c r="E5" s="10" t="s">
        <v>1258</v>
      </c>
      <c r="F5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|Ctrl|||\|ディレクトリ移動(ルート)|</v>
      </c>
    </row>
    <row r="6" spans="1:6" ht="11.25" customHeight="1">
      <c r="A6" s="52" t="s">
        <v>0</v>
      </c>
      <c r="B6" s="52"/>
      <c r="C6" s="52"/>
      <c r="D6" s="10" t="s">
        <v>102</v>
      </c>
      <c r="E6" s="10" t="s">
        <v>1259</v>
      </c>
      <c r="F6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|Ctrl|||h|ディレクトリ移動(ホーム)|</v>
      </c>
    </row>
    <row r="7" spans="1:6" ht="11.25" customHeight="1">
      <c r="A7" s="52" t="s">
        <v>0</v>
      </c>
      <c r="B7" s="52"/>
      <c r="C7" s="52"/>
      <c r="D7" s="10" t="s">
        <v>101</v>
      </c>
      <c r="E7" s="10" t="s">
        <v>1256</v>
      </c>
      <c r="F7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|Ctrl|||b|ブックマーク追加|</v>
      </c>
    </row>
    <row r="8" spans="1:6" ht="11.25" customHeight="1">
      <c r="A8" s="52" t="s">
        <v>0</v>
      </c>
      <c r="B8" s="52"/>
      <c r="C8" s="52"/>
      <c r="D8" s="10" t="s">
        <v>371</v>
      </c>
      <c r="E8" s="10" t="s">
        <v>1296</v>
      </c>
      <c r="F8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|Ctrl|||o|ブックマークウィンドウ表示|</v>
      </c>
    </row>
    <row r="9" spans="1:6" ht="11.25" customHeight="1">
      <c r="A9" s="52" t="s">
        <v>0</v>
      </c>
      <c r="B9" s="52"/>
      <c r="C9" s="52" t="s">
        <v>2</v>
      </c>
      <c r="D9" s="10" t="s">
        <v>103</v>
      </c>
      <c r="E9" s="10" t="s">
        <v>1257</v>
      </c>
      <c r="F9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|Ctrl||Alt|t|ツリー・パネル切替え|</v>
      </c>
    </row>
    <row r="10" spans="1:6" ht="11.25" customHeight="1">
      <c r="A10" s="52" t="s">
        <v>0</v>
      </c>
      <c r="B10" s="52"/>
      <c r="C10" s="52" t="s">
        <v>2</v>
      </c>
      <c r="D10" s="10" t="s">
        <v>1276</v>
      </c>
      <c r="E10" s="10" t="s">
        <v>1275</v>
      </c>
      <c r="F10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|Ctrl||Alt|f|フィルタ|</v>
      </c>
    </row>
    <row r="11" spans="1:6" ht="11.25" customHeight="1">
      <c r="A11" s="52"/>
      <c r="B11" s="52"/>
      <c r="C11" s="52"/>
      <c r="D11" s="10" t="s">
        <v>1285</v>
      </c>
      <c r="E11" s="10" t="s">
        <v>1278</v>
      </c>
      <c r="F11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||||F7|フォルダ作成|</v>
      </c>
    </row>
    <row r="12" spans="1:6" ht="11.25" customHeight="1">
      <c r="A12" s="52"/>
      <c r="B12" s="52" t="s">
        <v>1</v>
      </c>
      <c r="C12" s="52"/>
      <c r="D12" s="10" t="s">
        <v>341</v>
      </c>
      <c r="E12" s="10" t="s">
        <v>1279</v>
      </c>
      <c r="F12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||Shift||F4|ファイル作成|</v>
      </c>
    </row>
    <row r="13" spans="1:6" ht="11.25" customHeight="1">
      <c r="A13" s="52"/>
      <c r="B13" s="52"/>
      <c r="C13" s="52" t="s">
        <v>2</v>
      </c>
      <c r="D13" s="10" t="s">
        <v>1287</v>
      </c>
      <c r="E13" s="10" t="s">
        <v>1286</v>
      </c>
      <c r="F13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|||Alt|F6|ショートカットファイル作成|</v>
      </c>
    </row>
    <row r="14" spans="1:6" ht="11.25" customHeight="1">
      <c r="A14" s="52" t="s">
        <v>0</v>
      </c>
      <c r="B14" s="52" t="s">
        <v>1</v>
      </c>
      <c r="C14" s="52"/>
      <c r="D14" s="10" t="s">
        <v>1280</v>
      </c>
      <c r="E14" s="10" t="s">
        <v>1281</v>
      </c>
      <c r="F14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|Ctrl|Shift||c|ファイル名コピー|</v>
      </c>
    </row>
    <row r="15" spans="1:6" ht="11.25" customHeight="1">
      <c r="A15" s="52" t="s">
        <v>0</v>
      </c>
      <c r="B15" s="52"/>
      <c r="C15" s="52"/>
      <c r="D15" s="10" t="s">
        <v>1290</v>
      </c>
      <c r="E15" s="10" t="s">
        <v>1294</v>
      </c>
      <c r="F15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|Ctrl|||[|フォルダパスコピー(ローカルパネル)|</v>
      </c>
    </row>
    <row r="16" spans="1:6" ht="11.25" customHeight="1">
      <c r="A16" s="52" t="s">
        <v>0</v>
      </c>
      <c r="B16" s="52"/>
      <c r="C16" s="52"/>
      <c r="D16" s="10" t="s">
        <v>1291</v>
      </c>
      <c r="E16" s="10" t="s">
        <v>1295</v>
      </c>
      <c r="F16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|Ctrl|||]|フォルダパスコピー(リモートパネル)|</v>
      </c>
    </row>
    <row r="17" spans="1:6" ht="11.25" customHeight="1">
      <c r="A17" s="52" t="s">
        <v>0</v>
      </c>
      <c r="B17" s="52"/>
      <c r="C17" s="52" t="s">
        <v>2</v>
      </c>
      <c r="D17" s="10" t="s">
        <v>1280</v>
      </c>
      <c r="E17" s="10" t="s">
        <v>1282</v>
      </c>
      <c r="F17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|Ctrl||Alt|c|ファイルパスコピー|</v>
      </c>
    </row>
    <row r="18" spans="1:6" ht="11.25" customHeight="1">
      <c r="A18" s="52" t="s">
        <v>0</v>
      </c>
      <c r="B18" s="52"/>
      <c r="C18" s="52" t="s">
        <v>2</v>
      </c>
      <c r="D18" s="10" t="s">
        <v>1283</v>
      </c>
      <c r="E18" s="10" t="s">
        <v>1297</v>
      </c>
      <c r="F18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|Ctrl||Alt|h|隠しファイル表示/非表示切替え|</v>
      </c>
    </row>
    <row r="19" spans="1:6" ht="11.25" customHeight="1">
      <c r="A19" s="52" t="s">
        <v>0</v>
      </c>
      <c r="B19" s="52"/>
      <c r="C19" s="52" t="s">
        <v>2</v>
      </c>
      <c r="D19" s="10" t="s">
        <v>1284</v>
      </c>
      <c r="E19" s="10" t="s">
        <v>1298</v>
      </c>
      <c r="F19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|Ctrl||Alt|t|ツリーパネル表示/非表示切替え|</v>
      </c>
    </row>
    <row r="20" spans="1:6" ht="11.25" customHeight="1">
      <c r="A20" s="52" t="s">
        <v>0</v>
      </c>
      <c r="B20" s="52"/>
      <c r="C20" s="52"/>
      <c r="D20" s="10" t="s">
        <v>1288</v>
      </c>
      <c r="E20" s="10" t="s">
        <v>1289</v>
      </c>
      <c r="F20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|Ctrl|||F3|ソート(名前)|</v>
      </c>
    </row>
    <row r="21" spans="1:6" ht="11.25" customHeight="1">
      <c r="A21" s="52" t="s">
        <v>0</v>
      </c>
      <c r="B21" s="52"/>
      <c r="C21" s="52" t="s">
        <v>2</v>
      </c>
      <c r="D21" s="10" t="s">
        <v>1292</v>
      </c>
      <c r="E21" s="10" t="s">
        <v>1293</v>
      </c>
      <c r="F21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>|Ctrl||Alt|e|エクスプローラで開く(ローカルパネルのみ)|</v>
      </c>
    </row>
    <row r="22" spans="1:6" ht="11.25" customHeight="1">
      <c r="A22" s="52"/>
      <c r="B22" s="52"/>
      <c r="C22" s="52"/>
      <c r="D22" s="10"/>
      <c r="E22" s="10"/>
      <c r="F22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23" spans="1:6" ht="11.25" customHeight="1">
      <c r="A23" s="52"/>
      <c r="B23" s="52"/>
      <c r="C23" s="52"/>
      <c r="D23" s="10"/>
      <c r="E23" s="10"/>
      <c r="F23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24" spans="1:6" ht="11.25" customHeight="1">
      <c r="A24" s="52"/>
      <c r="B24" s="52"/>
      <c r="C24" s="52"/>
      <c r="D24" s="10"/>
      <c r="E24" s="10"/>
      <c r="F24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25" spans="1:6" ht="11.25" customHeight="1">
      <c r="A25" s="52"/>
      <c r="B25" s="52"/>
      <c r="C25" s="52"/>
      <c r="D25" s="10"/>
      <c r="E25" s="10"/>
      <c r="F25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26" spans="1:6" ht="11.25" customHeight="1">
      <c r="A26" s="52"/>
      <c r="B26" s="52"/>
      <c r="C26" s="52"/>
      <c r="D26" s="10"/>
      <c r="E26" s="10"/>
      <c r="F26" s="5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27" spans="1:6" ht="11.25" customHeight="1">
      <c r="F27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28" spans="1:6" ht="11.25" customHeight="1">
      <c r="F28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29" spans="1:6" ht="11.25" customHeight="1">
      <c r="F29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0" spans="1:6" ht="11.25" customHeight="1">
      <c r="F30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1" spans="1:6" ht="11.25" customHeight="1">
      <c r="F31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2" spans="1:6" ht="11.25" customHeight="1">
      <c r="F32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3" spans="6:6" ht="11.25" customHeight="1">
      <c r="F33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4" spans="6:6" ht="11.25" customHeight="1">
      <c r="F34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5" spans="6:6" ht="11.25" customHeight="1">
      <c r="F35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6" spans="6:6" ht="11.25" customHeight="1">
      <c r="F36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7" spans="6:6" ht="11.25" customHeight="1">
      <c r="F37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8" spans="6:6" ht="11.25" customHeight="1">
      <c r="F38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39" spans="6:6" ht="11.25" customHeight="1">
      <c r="F39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0" spans="6:6" ht="11.25" customHeight="1">
      <c r="F40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1" spans="6:6" ht="11.25" customHeight="1">
      <c r="F41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2" spans="6:6" ht="11.25" customHeight="1">
      <c r="F42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3" spans="6:6" ht="11.25" customHeight="1">
      <c r="F43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4" spans="6:6" ht="11.25" customHeight="1">
      <c r="F44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5" spans="6:6" ht="11.25" customHeight="1">
      <c r="F45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6" spans="6:6" ht="11.25" customHeight="1">
      <c r="F46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7" spans="6:6" ht="11.25" customHeight="1">
      <c r="F47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8" spans="6:6" ht="11.25" customHeight="1">
      <c r="F48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49" spans="6:6" ht="11.25" customHeight="1">
      <c r="F49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0" spans="6:6" ht="11.25" customHeight="1">
      <c r="F50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1" spans="6:6" ht="11.25" customHeight="1">
      <c r="F51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2" spans="6:6" ht="11.25" customHeight="1">
      <c r="F52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3" spans="6:6" ht="11.25" customHeight="1">
      <c r="F53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4" spans="6:6" ht="11.25" customHeight="1">
      <c r="F54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5" spans="6:6" ht="11.25" customHeight="1">
      <c r="F55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6" spans="6:6" ht="11.25" customHeight="1">
      <c r="F56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7" spans="6:6" ht="11.25" customHeight="1">
      <c r="F57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8" spans="6:6" ht="11.25" customHeight="1">
      <c r="F58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59" spans="6:6" ht="11.25" customHeight="1">
      <c r="F59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0" spans="6:6" ht="11.25" customHeight="1">
      <c r="F60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1" spans="6:6" ht="11.25" customHeight="1">
      <c r="F61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2" spans="6:6" ht="11.25" customHeight="1">
      <c r="F62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3" spans="6:6" ht="11.25" customHeight="1">
      <c r="F63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4" spans="6:6" ht="11.25" customHeight="1">
      <c r="F64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5" spans="6:6" ht="11.25" customHeight="1">
      <c r="F65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6" spans="6:6" ht="11.25" customHeight="1">
      <c r="F66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7" spans="6:6" ht="11.25" customHeight="1">
      <c r="F67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8" spans="6:6" ht="11.25" customHeight="1">
      <c r="F68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69" spans="6:6" ht="11.25" customHeight="1">
      <c r="F69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0" spans="6:6" ht="11.25" customHeight="1">
      <c r="F70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1" spans="6:6" ht="11.25" customHeight="1">
      <c r="F71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2" spans="6:6" ht="11.25" customHeight="1">
      <c r="F72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3" spans="6:6" ht="11.25" customHeight="1">
      <c r="F73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4" spans="6:6" ht="11.25" customHeight="1">
      <c r="F74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5" spans="6:6" ht="11.25" customHeight="1">
      <c r="F75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6" spans="6:6" ht="11.25" customHeight="1">
      <c r="F76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7" spans="6:6" ht="11.25" customHeight="1">
      <c r="F77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8" spans="6:6" ht="11.25" customHeight="1">
      <c r="F78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79" spans="6:6" ht="11.25" customHeight="1">
      <c r="F79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0" spans="6:6" ht="11.25" customHeight="1">
      <c r="F80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1" spans="6:6" ht="11.25" customHeight="1">
      <c r="F81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2" spans="6:6" ht="11.25" customHeight="1">
      <c r="F82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3" spans="6:6" ht="11.25" customHeight="1">
      <c r="F83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4" spans="6:6" ht="11.25" customHeight="1">
      <c r="F84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5" spans="6:6" ht="11.25" customHeight="1">
      <c r="F85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6" spans="6:6" ht="11.25" customHeight="1">
      <c r="F86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  <row r="87" spans="6:6" ht="11.25" customHeight="1">
      <c r="F87" s="3" t="str">
        <f>IF(ISBLANK(テーブル17810111718[[#This Row],[機能]]),"","|"&amp;テーブル17810111718[[#This Row],[Ctrl]]&amp;"|"&amp;テーブル17810111718[[#This Row],[Shift]]&amp;"|"&amp;テーブル17810111718[[#This Row],[Alt]]&amp;"|"&amp;テーブル17810111718[[#This Row],[Key]]&amp;"|"&amp;テーブル17810111718[[#This Row],[機能]]&amp;"|")</f>
        <v/>
      </c>
    </row>
  </sheetData>
  <phoneticPr fontId="4"/>
  <dataValidations count="3">
    <dataValidation type="list" allowBlank="1" showInputMessage="1" sqref="C3:C87" xr:uid="{B31DB357-1EF1-42DD-AE04-121ABEAE5001}">
      <formula1>"Alt"</formula1>
    </dataValidation>
    <dataValidation type="list" allowBlank="1" showInputMessage="1" sqref="B3:B87" xr:uid="{77AD40C2-5A4D-4414-AA44-0E43D9D6B6E9}">
      <formula1>"Shift"</formula1>
    </dataValidation>
    <dataValidation type="list" allowBlank="1" showInputMessage="1" sqref="A3:A87" xr:uid="{D5A4FBD9-D3FD-4ACE-A0DB-516E45B338B3}">
      <formula1>"Ctrl"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E619-9B93-488D-9A08-51B36D9F4E63}">
  <sheetPr codeName="Sheet28">
    <tabColor theme="8" tint="0.79998168889431442"/>
  </sheetPr>
  <dimension ref="A1:J126"/>
  <sheetViews>
    <sheetView showGridLines="0" workbookViewId="0">
      <pane xSplit="1" ySplit="1" topLeftCell="B37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24.375" style="11" customWidth="1"/>
    <col min="10" max="16384" width="9" style="11"/>
  </cols>
  <sheetData>
    <row r="1" spans="1:10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10" s="14" customFormat="1" ht="12">
      <c r="A2" s="31" t="s">
        <v>215</v>
      </c>
      <c r="B2" s="12" t="s">
        <v>1732</v>
      </c>
      <c r="C2" s="12" t="s">
        <v>670</v>
      </c>
      <c r="D2" s="12" t="s">
        <v>670</v>
      </c>
      <c r="E2" s="12" t="s">
        <v>670</v>
      </c>
      <c r="F2" s="12" t="s">
        <v>670</v>
      </c>
      <c r="G2" s="12" t="s">
        <v>670</v>
      </c>
      <c r="H2" s="12" t="s">
        <v>670</v>
      </c>
      <c r="I2" s="55" t="s">
        <v>266</v>
      </c>
      <c r="J2" s="14" t="s">
        <v>1770</v>
      </c>
    </row>
    <row r="3" spans="1:10" s="14" customFormat="1" ht="12">
      <c r="A3" s="31" t="s">
        <v>154</v>
      </c>
      <c r="B3" s="12" t="s">
        <v>670</v>
      </c>
      <c r="C3" s="12" t="s">
        <v>670</v>
      </c>
      <c r="D3" s="12" t="s">
        <v>670</v>
      </c>
      <c r="E3" s="12" t="s">
        <v>670</v>
      </c>
      <c r="F3" s="12" t="s">
        <v>670</v>
      </c>
      <c r="G3" s="12" t="s">
        <v>670</v>
      </c>
      <c r="H3" s="12" t="s">
        <v>670</v>
      </c>
      <c r="I3" s="55" t="s">
        <v>266</v>
      </c>
    </row>
    <row r="4" spans="1:10" s="14" customFormat="1" ht="12">
      <c r="A4" s="31" t="s">
        <v>156</v>
      </c>
      <c r="B4" s="12" t="s">
        <v>670</v>
      </c>
      <c r="C4" s="12" t="s">
        <v>670</v>
      </c>
      <c r="D4" s="12" t="s">
        <v>670</v>
      </c>
      <c r="E4" s="12" t="s">
        <v>670</v>
      </c>
      <c r="F4" s="12" t="s">
        <v>670</v>
      </c>
      <c r="G4" s="12" t="s">
        <v>670</v>
      </c>
      <c r="H4" s="12" t="s">
        <v>670</v>
      </c>
      <c r="I4" s="55" t="s">
        <v>266</v>
      </c>
    </row>
    <row r="5" spans="1:10" s="14" customFormat="1" ht="12">
      <c r="A5" s="31" t="s">
        <v>150</v>
      </c>
      <c r="B5" s="12" t="s">
        <v>670</v>
      </c>
      <c r="C5" s="12" t="s">
        <v>670</v>
      </c>
      <c r="D5" s="12" t="s">
        <v>670</v>
      </c>
      <c r="E5" s="12" t="s">
        <v>670</v>
      </c>
      <c r="F5" s="12" t="s">
        <v>670</v>
      </c>
      <c r="G5" s="12" t="s">
        <v>670</v>
      </c>
      <c r="H5" s="12" t="s">
        <v>670</v>
      </c>
      <c r="I5" s="55" t="s">
        <v>266</v>
      </c>
    </row>
    <row r="6" spans="1:10" s="14" customFormat="1" ht="12">
      <c r="A6" s="31" t="s">
        <v>159</v>
      </c>
      <c r="B6" s="12" t="s">
        <v>670</v>
      </c>
      <c r="C6" s="12" t="s">
        <v>670</v>
      </c>
      <c r="D6" s="12" t="s">
        <v>670</v>
      </c>
      <c r="E6" s="12" t="s">
        <v>670</v>
      </c>
      <c r="F6" s="12" t="s">
        <v>670</v>
      </c>
      <c r="G6" s="12" t="s">
        <v>670</v>
      </c>
      <c r="H6" s="12" t="s">
        <v>670</v>
      </c>
      <c r="I6" s="55" t="s">
        <v>266</v>
      </c>
    </row>
    <row r="7" spans="1:10" s="14" customFormat="1" ht="12">
      <c r="A7" s="31" t="s">
        <v>53</v>
      </c>
      <c r="B7" s="12" t="s">
        <v>670</v>
      </c>
      <c r="C7" s="12" t="s">
        <v>670</v>
      </c>
      <c r="D7" s="12" t="s">
        <v>670</v>
      </c>
      <c r="E7" s="12" t="s">
        <v>670</v>
      </c>
      <c r="F7" s="12" t="s">
        <v>670</v>
      </c>
      <c r="G7" s="12" t="s">
        <v>670</v>
      </c>
      <c r="H7" s="12" t="s">
        <v>670</v>
      </c>
      <c r="I7" s="55" t="s">
        <v>266</v>
      </c>
    </row>
    <row r="8" spans="1:10" s="14" customFormat="1" ht="12">
      <c r="A8" s="31" t="s">
        <v>224</v>
      </c>
      <c r="B8" s="12" t="s">
        <v>670</v>
      </c>
      <c r="C8" s="12" t="s">
        <v>670</v>
      </c>
      <c r="D8" s="12" t="s">
        <v>670</v>
      </c>
      <c r="E8" s="12" t="s">
        <v>670</v>
      </c>
      <c r="F8" s="12" t="s">
        <v>670</v>
      </c>
      <c r="G8" s="12" t="s">
        <v>670</v>
      </c>
      <c r="H8" s="12" t="s">
        <v>670</v>
      </c>
      <c r="I8" s="55" t="s">
        <v>266</v>
      </c>
    </row>
    <row r="9" spans="1:10" s="14" customFormat="1" ht="12">
      <c r="A9" s="31" t="s">
        <v>238</v>
      </c>
      <c r="B9" s="12" t="s">
        <v>670</v>
      </c>
      <c r="C9" s="12" t="s">
        <v>670</v>
      </c>
      <c r="D9" s="12" t="s">
        <v>670</v>
      </c>
      <c r="E9" s="12" t="s">
        <v>670</v>
      </c>
      <c r="F9" s="12" t="s">
        <v>670</v>
      </c>
      <c r="G9" s="12" t="s">
        <v>670</v>
      </c>
      <c r="H9" s="12" t="s">
        <v>670</v>
      </c>
      <c r="I9" s="55" t="s">
        <v>266</v>
      </c>
    </row>
    <row r="10" spans="1:10" s="14" customFormat="1" ht="12">
      <c r="A10" s="31" t="s">
        <v>235</v>
      </c>
      <c r="B10" s="12" t="s">
        <v>670</v>
      </c>
      <c r="C10" s="12" t="s">
        <v>670</v>
      </c>
      <c r="D10" s="12" t="s">
        <v>670</v>
      </c>
      <c r="E10" s="12" t="s">
        <v>670</v>
      </c>
      <c r="F10" s="12" t="s">
        <v>670</v>
      </c>
      <c r="G10" s="12" t="s">
        <v>670</v>
      </c>
      <c r="H10" s="12" t="s">
        <v>670</v>
      </c>
      <c r="I10" s="55" t="s">
        <v>266</v>
      </c>
    </row>
    <row r="11" spans="1:10" s="14" customFormat="1" ht="12">
      <c r="A11" s="31" t="s">
        <v>141</v>
      </c>
      <c r="B11" s="12" t="s">
        <v>670</v>
      </c>
      <c r="C11" s="12" t="s">
        <v>670</v>
      </c>
      <c r="D11" s="12" t="s">
        <v>670</v>
      </c>
      <c r="E11" s="12" t="s">
        <v>670</v>
      </c>
      <c r="F11" s="12" t="s">
        <v>670</v>
      </c>
      <c r="G11" s="12" t="s">
        <v>670</v>
      </c>
      <c r="H11" s="12" t="s">
        <v>670</v>
      </c>
      <c r="I11" s="55" t="s">
        <v>266</v>
      </c>
    </row>
    <row r="12" spans="1:10" s="14" customFormat="1" ht="12">
      <c r="A12" s="31" t="s">
        <v>221</v>
      </c>
      <c r="B12" s="12" t="s">
        <v>670</v>
      </c>
      <c r="C12" s="12" t="s">
        <v>670</v>
      </c>
      <c r="D12" s="12" t="s">
        <v>670</v>
      </c>
      <c r="E12" s="12" t="s">
        <v>670</v>
      </c>
      <c r="F12" s="12" t="s">
        <v>670</v>
      </c>
      <c r="G12" s="12" t="s">
        <v>670</v>
      </c>
      <c r="H12" s="12" t="s">
        <v>670</v>
      </c>
      <c r="I12" s="55" t="s">
        <v>266</v>
      </c>
    </row>
    <row r="13" spans="1:10" s="14" customFormat="1" ht="12">
      <c r="A13" s="31" t="s">
        <v>225</v>
      </c>
      <c r="B13" s="12" t="s">
        <v>670</v>
      </c>
      <c r="C13" s="12" t="s">
        <v>670</v>
      </c>
      <c r="D13" s="12" t="s">
        <v>670</v>
      </c>
      <c r="E13" s="12" t="s">
        <v>670</v>
      </c>
      <c r="F13" s="12" t="s">
        <v>670</v>
      </c>
      <c r="G13" s="12" t="s">
        <v>670</v>
      </c>
      <c r="H13" s="12" t="s">
        <v>670</v>
      </c>
      <c r="I13" s="55" t="s">
        <v>266</v>
      </c>
    </row>
    <row r="14" spans="1:10" ht="12">
      <c r="A14" s="32">
        <v>1</v>
      </c>
      <c r="B14" s="55" t="s">
        <v>563</v>
      </c>
      <c r="C14" s="55" t="s">
        <v>563</v>
      </c>
      <c r="D14" s="12" t="s">
        <v>1717</v>
      </c>
      <c r="E14" s="12" t="s">
        <v>670</v>
      </c>
      <c r="F14" s="12" t="s">
        <v>670</v>
      </c>
      <c r="G14" s="12" t="s">
        <v>670</v>
      </c>
      <c r="H14" s="12" t="s">
        <v>670</v>
      </c>
      <c r="I14" s="55" t="s">
        <v>266</v>
      </c>
    </row>
    <row r="15" spans="1:10" ht="12">
      <c r="A15" s="32">
        <v>2</v>
      </c>
      <c r="B15" s="55" t="s">
        <v>563</v>
      </c>
      <c r="C15" s="55" t="s">
        <v>563</v>
      </c>
      <c r="D15" s="12" t="s">
        <v>1718</v>
      </c>
      <c r="E15" s="12" t="s">
        <v>670</v>
      </c>
      <c r="F15" s="12" t="s">
        <v>670</v>
      </c>
      <c r="G15" s="12" t="s">
        <v>670</v>
      </c>
      <c r="H15" s="12" t="s">
        <v>670</v>
      </c>
      <c r="I15" s="55" t="s">
        <v>266</v>
      </c>
    </row>
    <row r="16" spans="1:10" ht="12">
      <c r="A16" s="32">
        <v>3</v>
      </c>
      <c r="B16" s="55" t="s">
        <v>563</v>
      </c>
      <c r="C16" s="55" t="s">
        <v>563</v>
      </c>
      <c r="D16" s="12" t="s">
        <v>1719</v>
      </c>
      <c r="E16" s="12" t="s">
        <v>670</v>
      </c>
      <c r="F16" s="12" t="s">
        <v>670</v>
      </c>
      <c r="G16" s="12" t="s">
        <v>670</v>
      </c>
      <c r="H16" s="12" t="s">
        <v>670</v>
      </c>
      <c r="I16" s="55" t="s">
        <v>266</v>
      </c>
    </row>
    <row r="17" spans="1:9" ht="12">
      <c r="A17" s="32">
        <v>4</v>
      </c>
      <c r="B17" s="55" t="s">
        <v>563</v>
      </c>
      <c r="C17" s="55" t="s">
        <v>563</v>
      </c>
      <c r="D17" s="12" t="s">
        <v>1720</v>
      </c>
      <c r="E17" s="12" t="s">
        <v>670</v>
      </c>
      <c r="F17" s="12" t="s">
        <v>670</v>
      </c>
      <c r="G17" s="12" t="s">
        <v>670</v>
      </c>
      <c r="H17" s="12" t="s">
        <v>670</v>
      </c>
      <c r="I17" s="55" t="s">
        <v>266</v>
      </c>
    </row>
    <row r="18" spans="1:9" ht="12">
      <c r="A18" s="32">
        <v>5</v>
      </c>
      <c r="B18" s="55" t="s">
        <v>563</v>
      </c>
      <c r="C18" s="55" t="s">
        <v>563</v>
      </c>
      <c r="D18" s="12" t="s">
        <v>1721</v>
      </c>
      <c r="E18" s="12" t="s">
        <v>670</v>
      </c>
      <c r="F18" s="12" t="s">
        <v>670</v>
      </c>
      <c r="G18" s="12" t="s">
        <v>670</v>
      </c>
      <c r="H18" s="12" t="s">
        <v>670</v>
      </c>
      <c r="I18" s="55" t="s">
        <v>266</v>
      </c>
    </row>
    <row r="19" spans="1:9" ht="12">
      <c r="A19" s="32">
        <v>6</v>
      </c>
      <c r="B19" s="55" t="s">
        <v>563</v>
      </c>
      <c r="C19" s="55" t="s">
        <v>563</v>
      </c>
      <c r="D19" s="12" t="s">
        <v>1722</v>
      </c>
      <c r="E19" s="12" t="s">
        <v>670</v>
      </c>
      <c r="F19" s="12" t="s">
        <v>670</v>
      </c>
      <c r="G19" s="12" t="s">
        <v>670</v>
      </c>
      <c r="H19" s="12" t="s">
        <v>670</v>
      </c>
      <c r="I19" s="55" t="s">
        <v>266</v>
      </c>
    </row>
    <row r="20" spans="1:9" ht="12">
      <c r="A20" s="32">
        <v>7</v>
      </c>
      <c r="B20" s="55" t="s">
        <v>563</v>
      </c>
      <c r="C20" s="55" t="s">
        <v>563</v>
      </c>
      <c r="D20" s="12" t="s">
        <v>1723</v>
      </c>
      <c r="E20" s="12" t="s">
        <v>670</v>
      </c>
      <c r="F20" s="12" t="s">
        <v>670</v>
      </c>
      <c r="G20" s="12" t="s">
        <v>670</v>
      </c>
      <c r="H20" s="12" t="s">
        <v>670</v>
      </c>
      <c r="I20" s="55" t="s">
        <v>266</v>
      </c>
    </row>
    <row r="21" spans="1:9" ht="12">
      <c r="A21" s="32">
        <v>8</v>
      </c>
      <c r="B21" s="55" t="s">
        <v>563</v>
      </c>
      <c r="C21" s="55" t="s">
        <v>563</v>
      </c>
      <c r="D21" s="12" t="s">
        <v>1725</v>
      </c>
      <c r="E21" s="12" t="s">
        <v>670</v>
      </c>
      <c r="F21" s="12" t="s">
        <v>670</v>
      </c>
      <c r="G21" s="12" t="s">
        <v>670</v>
      </c>
      <c r="H21" s="12" t="s">
        <v>670</v>
      </c>
      <c r="I21" s="55" t="s">
        <v>266</v>
      </c>
    </row>
    <row r="22" spans="1:9" ht="12">
      <c r="A22" s="32">
        <v>9</v>
      </c>
      <c r="B22" s="55" t="s">
        <v>563</v>
      </c>
      <c r="C22" s="55" t="s">
        <v>563</v>
      </c>
      <c r="D22" s="12" t="s">
        <v>1724</v>
      </c>
      <c r="E22" s="12" t="s">
        <v>670</v>
      </c>
      <c r="F22" s="12" t="s">
        <v>670</v>
      </c>
      <c r="G22" s="12" t="s">
        <v>670</v>
      </c>
      <c r="H22" s="12" t="s">
        <v>670</v>
      </c>
      <c r="I22" s="55" t="s">
        <v>266</v>
      </c>
    </row>
    <row r="23" spans="1:9" ht="12">
      <c r="A23" s="32">
        <v>0</v>
      </c>
      <c r="B23" s="55" t="s">
        <v>563</v>
      </c>
      <c r="C23" s="55" t="s">
        <v>563</v>
      </c>
      <c r="D23" s="12" t="s">
        <v>1712</v>
      </c>
      <c r="E23" s="12" t="s">
        <v>670</v>
      </c>
      <c r="F23" s="12" t="s">
        <v>670</v>
      </c>
      <c r="G23" s="12" t="s">
        <v>1727</v>
      </c>
      <c r="H23" s="12" t="s">
        <v>670</v>
      </c>
      <c r="I23" s="55" t="s">
        <v>266</v>
      </c>
    </row>
    <row r="24" spans="1:9" s="14" customFormat="1" ht="12">
      <c r="A24" s="31" t="s">
        <v>673</v>
      </c>
      <c r="B24" s="12" t="s">
        <v>670</v>
      </c>
      <c r="C24" s="12" t="s">
        <v>670</v>
      </c>
      <c r="D24" s="12" t="s">
        <v>670</v>
      </c>
      <c r="E24" s="12" t="s">
        <v>670</v>
      </c>
      <c r="F24" s="12" t="s">
        <v>670</v>
      </c>
      <c r="G24" s="12" t="s">
        <v>1764</v>
      </c>
      <c r="H24" s="12" t="s">
        <v>1763</v>
      </c>
      <c r="I24" s="55" t="s">
        <v>266</v>
      </c>
    </row>
    <row r="25" spans="1:9" s="14" customFormat="1" ht="12">
      <c r="A25" s="31" t="s">
        <v>674</v>
      </c>
      <c r="B25" s="12" t="s">
        <v>670</v>
      </c>
      <c r="C25" s="12" t="s">
        <v>670</v>
      </c>
      <c r="D25" s="12" t="s">
        <v>670</v>
      </c>
      <c r="E25" s="12" t="s">
        <v>670</v>
      </c>
      <c r="F25" s="12" t="s">
        <v>670</v>
      </c>
      <c r="G25" s="12" t="s">
        <v>1764</v>
      </c>
      <c r="H25" s="12" t="s">
        <v>1763</v>
      </c>
      <c r="I25" s="55" t="s">
        <v>266</v>
      </c>
    </row>
    <row r="26" spans="1:9" s="14" customFormat="1" ht="12">
      <c r="A26" s="31" t="s">
        <v>671</v>
      </c>
      <c r="B26" s="12" t="s">
        <v>670</v>
      </c>
      <c r="C26" s="12" t="s">
        <v>670</v>
      </c>
      <c r="D26" s="12" t="s">
        <v>670</v>
      </c>
      <c r="E26" s="12" t="s">
        <v>670</v>
      </c>
      <c r="F26" s="12" t="s">
        <v>670</v>
      </c>
      <c r="G26" s="12" t="s">
        <v>1764</v>
      </c>
      <c r="H26" s="12" t="s">
        <v>670</v>
      </c>
      <c r="I26" s="55" t="s">
        <v>266</v>
      </c>
    </row>
    <row r="27" spans="1:9" s="14" customFormat="1" ht="12">
      <c r="A27" s="31" t="s">
        <v>672</v>
      </c>
      <c r="B27" s="12" t="s">
        <v>670</v>
      </c>
      <c r="C27" s="12" t="s">
        <v>670</v>
      </c>
      <c r="D27" s="12" t="s">
        <v>670</v>
      </c>
      <c r="E27" s="12" t="s">
        <v>670</v>
      </c>
      <c r="F27" s="12" t="s">
        <v>670</v>
      </c>
      <c r="G27" s="12" t="s">
        <v>1764</v>
      </c>
      <c r="H27" s="12" t="s">
        <v>670</v>
      </c>
      <c r="I27" s="55" t="s">
        <v>266</v>
      </c>
    </row>
    <row r="28" spans="1:9" ht="12">
      <c r="A28" s="33" t="s">
        <v>599</v>
      </c>
      <c r="B28" s="12" t="s">
        <v>670</v>
      </c>
      <c r="C28" s="12" t="s">
        <v>670</v>
      </c>
      <c r="D28" s="12" t="s">
        <v>670</v>
      </c>
      <c r="E28" s="12" t="s">
        <v>670</v>
      </c>
      <c r="F28" s="12" t="s">
        <v>670</v>
      </c>
      <c r="G28" s="12" t="s">
        <v>670</v>
      </c>
      <c r="H28" s="12" t="s">
        <v>670</v>
      </c>
      <c r="I28" s="55" t="s">
        <v>266</v>
      </c>
    </row>
    <row r="29" spans="1:9" ht="12">
      <c r="A29" s="33" t="s">
        <v>600</v>
      </c>
      <c r="B29" s="12" t="s">
        <v>670</v>
      </c>
      <c r="C29" s="12" t="s">
        <v>670</v>
      </c>
      <c r="D29" s="12" t="s">
        <v>1726</v>
      </c>
      <c r="E29" s="12" t="s">
        <v>670</v>
      </c>
      <c r="F29" s="12" t="s">
        <v>670</v>
      </c>
      <c r="G29" s="12" t="s">
        <v>670</v>
      </c>
      <c r="H29" s="12" t="s">
        <v>670</v>
      </c>
      <c r="I29" s="55" t="s">
        <v>266</v>
      </c>
    </row>
    <row r="30" spans="1:9" ht="12">
      <c r="A30" s="33" t="s">
        <v>587</v>
      </c>
      <c r="B30" s="12" t="s">
        <v>670</v>
      </c>
      <c r="C30" s="12" t="s">
        <v>670</v>
      </c>
      <c r="D30" s="12" t="s">
        <v>670</v>
      </c>
      <c r="E30" s="55" t="s">
        <v>665</v>
      </c>
      <c r="F30" s="58" t="s">
        <v>670</v>
      </c>
      <c r="G30" s="55" t="s">
        <v>665</v>
      </c>
      <c r="H30" s="12" t="s">
        <v>266</v>
      </c>
      <c r="I30" s="55" t="s">
        <v>266</v>
      </c>
    </row>
    <row r="31" spans="1:9" ht="12">
      <c r="A31" s="33" t="s">
        <v>589</v>
      </c>
      <c r="B31" s="12" t="s">
        <v>670</v>
      </c>
      <c r="C31" s="12" t="s">
        <v>670</v>
      </c>
      <c r="D31" s="12" t="s">
        <v>670</v>
      </c>
      <c r="E31" s="12" t="s">
        <v>670</v>
      </c>
      <c r="F31" s="12" t="s">
        <v>670</v>
      </c>
      <c r="G31" s="12" t="s">
        <v>670</v>
      </c>
      <c r="H31" s="12" t="s">
        <v>670</v>
      </c>
      <c r="I31" s="55" t="s">
        <v>266</v>
      </c>
    </row>
    <row r="32" spans="1:9" ht="12">
      <c r="A32" s="33" t="s">
        <v>592</v>
      </c>
      <c r="B32" s="55" t="s">
        <v>593</v>
      </c>
      <c r="C32" s="12" t="s">
        <v>670</v>
      </c>
      <c r="D32" s="12" t="s">
        <v>670</v>
      </c>
      <c r="E32" s="12" t="s">
        <v>670</v>
      </c>
      <c r="F32" s="12" t="s">
        <v>670</v>
      </c>
      <c r="G32" s="12" t="s">
        <v>670</v>
      </c>
      <c r="H32" s="12" t="s">
        <v>670</v>
      </c>
      <c r="I32" s="55" t="s">
        <v>266</v>
      </c>
    </row>
    <row r="33" spans="1:9" ht="12">
      <c r="A33" s="33" t="s">
        <v>596</v>
      </c>
      <c r="B33" s="55" t="s">
        <v>593</v>
      </c>
      <c r="C33" s="12" t="s">
        <v>670</v>
      </c>
      <c r="D33" s="12" t="s">
        <v>670</v>
      </c>
      <c r="E33" s="12" t="s">
        <v>670</v>
      </c>
      <c r="F33" s="12" t="s">
        <v>670</v>
      </c>
      <c r="G33" s="12" t="s">
        <v>670</v>
      </c>
      <c r="H33" s="12" t="s">
        <v>670</v>
      </c>
      <c r="I33" s="55" t="s">
        <v>266</v>
      </c>
    </row>
    <row r="34" spans="1:9" ht="12">
      <c r="A34" s="33" t="s">
        <v>669</v>
      </c>
      <c r="B34" s="12" t="s">
        <v>266</v>
      </c>
      <c r="C34" s="12" t="s">
        <v>670</v>
      </c>
      <c r="D34" s="12" t="s">
        <v>670</v>
      </c>
      <c r="E34" s="12" t="s">
        <v>670</v>
      </c>
      <c r="F34" s="12" t="s">
        <v>670</v>
      </c>
      <c r="G34" s="12" t="s">
        <v>670</v>
      </c>
      <c r="H34" s="12" t="s">
        <v>670</v>
      </c>
      <c r="I34" s="55" t="s">
        <v>266</v>
      </c>
    </row>
    <row r="35" spans="1:9" ht="12">
      <c r="A35" s="33" t="s">
        <v>601</v>
      </c>
      <c r="B35" s="55" t="s">
        <v>602</v>
      </c>
      <c r="C35" s="12" t="s">
        <v>670</v>
      </c>
      <c r="D35" s="12" t="s">
        <v>1739</v>
      </c>
      <c r="E35" s="12" t="s">
        <v>670</v>
      </c>
      <c r="F35" s="12" t="s">
        <v>1740</v>
      </c>
      <c r="G35" s="12" t="s">
        <v>670</v>
      </c>
      <c r="H35" s="12" t="s">
        <v>670</v>
      </c>
      <c r="I35" s="55" t="s">
        <v>266</v>
      </c>
    </row>
    <row r="36" spans="1:9" ht="12">
      <c r="A36" s="34" t="s">
        <v>915</v>
      </c>
      <c r="B36" s="55" t="s">
        <v>563</v>
      </c>
      <c r="C36" s="55" t="s">
        <v>563</v>
      </c>
      <c r="D36" s="12" t="s">
        <v>670</v>
      </c>
      <c r="E36" s="12" t="s">
        <v>670</v>
      </c>
      <c r="F36" s="12" t="s">
        <v>1795</v>
      </c>
      <c r="G36" s="12" t="s">
        <v>670</v>
      </c>
      <c r="H36" s="12" t="s">
        <v>670</v>
      </c>
      <c r="I36" s="55" t="s">
        <v>266</v>
      </c>
    </row>
    <row r="37" spans="1:9" ht="12">
      <c r="A37" s="33" t="s">
        <v>917</v>
      </c>
      <c r="B37" s="55" t="s">
        <v>563</v>
      </c>
      <c r="C37" s="55" t="s">
        <v>563</v>
      </c>
      <c r="D37" s="12" t="s">
        <v>670</v>
      </c>
      <c r="E37" s="12" t="s">
        <v>670</v>
      </c>
      <c r="F37" s="12" t="s">
        <v>670</v>
      </c>
      <c r="G37" s="12" t="s">
        <v>670</v>
      </c>
      <c r="H37" s="12" t="s">
        <v>670</v>
      </c>
      <c r="I37" s="55" t="s">
        <v>266</v>
      </c>
    </row>
    <row r="38" spans="1:9" ht="12">
      <c r="A38" s="33" t="s">
        <v>919</v>
      </c>
      <c r="B38" s="55" t="s">
        <v>563</v>
      </c>
      <c r="C38" s="55" t="s">
        <v>563</v>
      </c>
      <c r="D38" s="12" t="s">
        <v>1775</v>
      </c>
      <c r="E38" s="12" t="s">
        <v>670</v>
      </c>
      <c r="F38" s="12" t="s">
        <v>1734</v>
      </c>
      <c r="G38" s="12" t="s">
        <v>670</v>
      </c>
      <c r="H38" s="12" t="s">
        <v>670</v>
      </c>
      <c r="I38" s="55" t="s">
        <v>266</v>
      </c>
    </row>
    <row r="39" spans="1:9" ht="12">
      <c r="A39" s="34" t="s">
        <v>921</v>
      </c>
      <c r="B39" s="55" t="s">
        <v>563</v>
      </c>
      <c r="C39" s="55" t="s">
        <v>563</v>
      </c>
      <c r="D39" s="12" t="s">
        <v>670</v>
      </c>
      <c r="E39" s="12" t="s">
        <v>670</v>
      </c>
      <c r="F39" s="12" t="s">
        <v>1711</v>
      </c>
      <c r="G39" s="12" t="s">
        <v>670</v>
      </c>
      <c r="H39" s="12" t="s">
        <v>670</v>
      </c>
      <c r="I39" s="55" t="s">
        <v>266</v>
      </c>
    </row>
    <row r="40" spans="1:9" ht="12">
      <c r="A40" s="33" t="s">
        <v>1621</v>
      </c>
      <c r="B40" s="55" t="s">
        <v>563</v>
      </c>
      <c r="C40" s="55" t="s">
        <v>563</v>
      </c>
      <c r="D40" s="12" t="s">
        <v>670</v>
      </c>
      <c r="E40" s="12" t="s">
        <v>670</v>
      </c>
      <c r="F40" s="12" t="s">
        <v>670</v>
      </c>
      <c r="G40" s="12" t="s">
        <v>670</v>
      </c>
      <c r="H40" s="12" t="s">
        <v>670</v>
      </c>
      <c r="I40" s="55" t="s">
        <v>266</v>
      </c>
    </row>
    <row r="41" spans="1:9" ht="12">
      <c r="A41" s="33" t="s">
        <v>1622</v>
      </c>
      <c r="B41" s="55" t="s">
        <v>563</v>
      </c>
      <c r="C41" s="55" t="s">
        <v>563</v>
      </c>
      <c r="D41" s="12" t="s">
        <v>670</v>
      </c>
      <c r="E41" s="12" t="s">
        <v>670</v>
      </c>
      <c r="F41" s="12" t="s">
        <v>670</v>
      </c>
      <c r="G41" s="12" t="s">
        <v>670</v>
      </c>
      <c r="H41" s="12" t="s">
        <v>670</v>
      </c>
      <c r="I41" s="55" t="s">
        <v>266</v>
      </c>
    </row>
    <row r="42" spans="1:9" ht="12">
      <c r="A42" s="33" t="s">
        <v>926</v>
      </c>
      <c r="B42" s="55" t="s">
        <v>563</v>
      </c>
      <c r="C42" s="55" t="s">
        <v>563</v>
      </c>
      <c r="D42" s="12" t="s">
        <v>670</v>
      </c>
      <c r="E42" s="12" t="s">
        <v>670</v>
      </c>
      <c r="F42" s="12" t="s">
        <v>1794</v>
      </c>
      <c r="G42" s="12" t="s">
        <v>670</v>
      </c>
      <c r="H42" s="12" t="s">
        <v>670</v>
      </c>
      <c r="I42" s="55" t="s">
        <v>266</v>
      </c>
    </row>
    <row r="43" spans="1:9" ht="12">
      <c r="A43" s="33" t="s">
        <v>928</v>
      </c>
      <c r="B43" s="55" t="s">
        <v>563</v>
      </c>
      <c r="C43" s="55" t="s">
        <v>563</v>
      </c>
      <c r="D43" s="12" t="s">
        <v>670</v>
      </c>
      <c r="E43" s="12" t="s">
        <v>670</v>
      </c>
      <c r="F43" s="12" t="s">
        <v>670</v>
      </c>
      <c r="G43" s="12" t="s">
        <v>670</v>
      </c>
      <c r="H43" s="12" t="s">
        <v>670</v>
      </c>
      <c r="I43" s="55" t="s">
        <v>266</v>
      </c>
    </row>
    <row r="44" spans="1:9" ht="12">
      <c r="A44" s="33" t="s">
        <v>930</v>
      </c>
      <c r="B44" s="55" t="s">
        <v>563</v>
      </c>
      <c r="C44" s="55" t="s">
        <v>563</v>
      </c>
      <c r="D44" s="12" t="s">
        <v>1716</v>
      </c>
      <c r="E44" s="12" t="s">
        <v>670</v>
      </c>
      <c r="F44" s="12" t="s">
        <v>670</v>
      </c>
      <c r="G44" s="12" t="s">
        <v>670</v>
      </c>
      <c r="H44" s="12" t="s">
        <v>670</v>
      </c>
      <c r="I44" s="55" t="s">
        <v>266</v>
      </c>
    </row>
    <row r="45" spans="1:9" ht="12">
      <c r="A45" s="33" t="s">
        <v>1266</v>
      </c>
      <c r="B45" s="55" t="s">
        <v>563</v>
      </c>
      <c r="C45" s="55" t="s">
        <v>563</v>
      </c>
      <c r="D45" s="12" t="s">
        <v>670</v>
      </c>
      <c r="E45" s="12" t="s">
        <v>670</v>
      </c>
      <c r="F45" s="12" t="s">
        <v>670</v>
      </c>
      <c r="G45" s="12" t="s">
        <v>670</v>
      </c>
      <c r="H45" s="12" t="s">
        <v>670</v>
      </c>
      <c r="I45" s="55" t="s">
        <v>266</v>
      </c>
    </row>
    <row r="46" spans="1:9" ht="12">
      <c r="A46" s="33" t="s">
        <v>934</v>
      </c>
      <c r="B46" s="55" t="s">
        <v>563</v>
      </c>
      <c r="C46" s="55" t="s">
        <v>563</v>
      </c>
      <c r="D46" s="57" t="s">
        <v>1744</v>
      </c>
      <c r="E46" s="12" t="s">
        <v>670</v>
      </c>
      <c r="F46" s="12" t="s">
        <v>670</v>
      </c>
      <c r="G46" s="12" t="s">
        <v>670</v>
      </c>
      <c r="H46" s="12" t="s">
        <v>670</v>
      </c>
      <c r="I46" s="55" t="s">
        <v>266</v>
      </c>
    </row>
    <row r="47" spans="1:9" ht="12">
      <c r="A47" s="33" t="s">
        <v>936</v>
      </c>
      <c r="B47" s="55" t="s">
        <v>563</v>
      </c>
      <c r="C47" s="55" t="s">
        <v>563</v>
      </c>
      <c r="D47" s="12" t="s">
        <v>670</v>
      </c>
      <c r="E47" s="12" t="s">
        <v>670</v>
      </c>
      <c r="F47" s="12" t="s">
        <v>670</v>
      </c>
      <c r="G47" s="12" t="s">
        <v>670</v>
      </c>
      <c r="H47" s="12" t="s">
        <v>670</v>
      </c>
      <c r="I47" s="55" t="s">
        <v>266</v>
      </c>
    </row>
    <row r="48" spans="1:9" ht="12">
      <c r="A48" s="33" t="s">
        <v>667</v>
      </c>
      <c r="B48" s="12" t="s">
        <v>266</v>
      </c>
      <c r="C48" s="12" t="s">
        <v>266</v>
      </c>
      <c r="D48" s="12" t="s">
        <v>670</v>
      </c>
      <c r="E48" s="12" t="s">
        <v>670</v>
      </c>
      <c r="F48" s="12" t="s">
        <v>670</v>
      </c>
      <c r="G48" s="12" t="s">
        <v>670</v>
      </c>
      <c r="H48" s="12" t="s">
        <v>670</v>
      </c>
      <c r="I48" s="55" t="s">
        <v>266</v>
      </c>
    </row>
    <row r="49" spans="1:9" ht="12">
      <c r="A49" s="33" t="s">
        <v>607</v>
      </c>
      <c r="B49" s="55" t="s">
        <v>608</v>
      </c>
      <c r="C49" s="12" t="s">
        <v>266</v>
      </c>
      <c r="D49" s="12" t="s">
        <v>670</v>
      </c>
      <c r="E49" s="12" t="s">
        <v>670</v>
      </c>
      <c r="F49" s="12" t="s">
        <v>670</v>
      </c>
      <c r="G49" s="12" t="s">
        <v>670</v>
      </c>
      <c r="H49" s="12" t="s">
        <v>670</v>
      </c>
      <c r="I49" s="55" t="s">
        <v>266</v>
      </c>
    </row>
    <row r="50" spans="1:9" ht="12">
      <c r="A50" s="33" t="s">
        <v>609</v>
      </c>
      <c r="B50" s="55" t="s">
        <v>608</v>
      </c>
      <c r="C50" s="12" t="s">
        <v>266</v>
      </c>
      <c r="D50" s="12" t="s">
        <v>670</v>
      </c>
      <c r="E50" s="12" t="s">
        <v>670</v>
      </c>
      <c r="F50" s="12" t="s">
        <v>670</v>
      </c>
      <c r="G50" s="12" t="s">
        <v>670</v>
      </c>
      <c r="H50" s="12" t="s">
        <v>670</v>
      </c>
      <c r="I50" s="55" t="s">
        <v>266</v>
      </c>
    </row>
    <row r="51" spans="1:9" ht="12">
      <c r="A51" s="33" t="s">
        <v>610</v>
      </c>
      <c r="B51" s="12" t="s">
        <v>266</v>
      </c>
      <c r="C51" s="12" t="s">
        <v>266</v>
      </c>
      <c r="D51" s="12" t="s">
        <v>670</v>
      </c>
      <c r="E51" s="12" t="s">
        <v>670</v>
      </c>
      <c r="F51" s="12" t="s">
        <v>670</v>
      </c>
      <c r="G51" s="12" t="s">
        <v>670</v>
      </c>
      <c r="H51" s="12" t="s">
        <v>670</v>
      </c>
      <c r="I51" s="55" t="s">
        <v>266</v>
      </c>
    </row>
    <row r="52" spans="1:9" ht="12">
      <c r="A52" s="33" t="s">
        <v>611</v>
      </c>
      <c r="B52" s="12" t="s">
        <v>266</v>
      </c>
      <c r="C52" s="12" t="s">
        <v>266</v>
      </c>
      <c r="D52" s="12" t="s">
        <v>670</v>
      </c>
      <c r="E52" s="12" t="s">
        <v>670</v>
      </c>
      <c r="F52" s="12" t="s">
        <v>670</v>
      </c>
      <c r="G52" s="12" t="s">
        <v>670</v>
      </c>
      <c r="H52" s="12" t="s">
        <v>670</v>
      </c>
      <c r="I52" s="55" t="s">
        <v>266</v>
      </c>
    </row>
    <row r="53" spans="1:9" ht="12">
      <c r="A53" s="33" t="s">
        <v>946</v>
      </c>
      <c r="B53" s="12" t="s">
        <v>266</v>
      </c>
      <c r="C53" s="12" t="s">
        <v>266</v>
      </c>
      <c r="D53" s="12" t="s">
        <v>670</v>
      </c>
      <c r="E53" s="12" t="s">
        <v>670</v>
      </c>
      <c r="F53" s="12" t="s">
        <v>670</v>
      </c>
      <c r="G53" s="12" t="s">
        <v>670</v>
      </c>
      <c r="H53" s="12" t="s">
        <v>670</v>
      </c>
      <c r="I53" s="55" t="s">
        <v>266</v>
      </c>
    </row>
    <row r="54" spans="1:9" ht="12">
      <c r="A54" s="33" t="s">
        <v>612</v>
      </c>
      <c r="B54" s="12" t="s">
        <v>266</v>
      </c>
      <c r="C54" s="12" t="s">
        <v>266</v>
      </c>
      <c r="D54" s="12" t="s">
        <v>670</v>
      </c>
      <c r="E54" s="12" t="s">
        <v>670</v>
      </c>
      <c r="F54" s="12" t="s">
        <v>670</v>
      </c>
      <c r="G54" s="12" t="s">
        <v>670</v>
      </c>
      <c r="H54" s="12" t="s">
        <v>670</v>
      </c>
      <c r="I54" s="55" t="s">
        <v>266</v>
      </c>
    </row>
    <row r="55" spans="1:9" ht="12">
      <c r="A55" s="33" t="s">
        <v>613</v>
      </c>
      <c r="B55" s="55" t="s">
        <v>563</v>
      </c>
      <c r="C55" s="55" t="s">
        <v>563</v>
      </c>
      <c r="D55" s="12" t="s">
        <v>670</v>
      </c>
      <c r="E55" s="12" t="s">
        <v>670</v>
      </c>
      <c r="F55" s="12" t="s">
        <v>1745</v>
      </c>
      <c r="G55" s="12" t="s">
        <v>670</v>
      </c>
      <c r="H55" s="12" t="s">
        <v>670</v>
      </c>
      <c r="I55" s="55" t="s">
        <v>266</v>
      </c>
    </row>
    <row r="56" spans="1:9" ht="12">
      <c r="A56" s="33" t="s">
        <v>615</v>
      </c>
      <c r="B56" s="55" t="s">
        <v>563</v>
      </c>
      <c r="C56" s="55" t="s">
        <v>563</v>
      </c>
      <c r="D56" s="12" t="s">
        <v>1715</v>
      </c>
      <c r="E56" s="12" t="s">
        <v>670</v>
      </c>
      <c r="F56" s="12" t="s">
        <v>670</v>
      </c>
      <c r="G56" s="12" t="s">
        <v>670</v>
      </c>
      <c r="H56" s="12" t="s">
        <v>670</v>
      </c>
      <c r="I56" s="55" t="s">
        <v>266</v>
      </c>
    </row>
    <row r="57" spans="1:9" ht="12">
      <c r="A57" s="33" t="s">
        <v>616</v>
      </c>
      <c r="B57" s="55" t="s">
        <v>563</v>
      </c>
      <c r="C57" s="55" t="s">
        <v>563</v>
      </c>
      <c r="D57" s="12" t="s">
        <v>670</v>
      </c>
      <c r="E57" s="12" t="s">
        <v>670</v>
      </c>
      <c r="F57" s="12" t="s">
        <v>670</v>
      </c>
      <c r="G57" s="12" t="s">
        <v>670</v>
      </c>
      <c r="H57" s="12" t="s">
        <v>670</v>
      </c>
      <c r="I57" s="55" t="s">
        <v>266</v>
      </c>
    </row>
    <row r="58" spans="1:9" ht="12">
      <c r="A58" s="33" t="s">
        <v>168</v>
      </c>
      <c r="B58" s="55" t="s">
        <v>563</v>
      </c>
      <c r="C58" s="55" t="s">
        <v>563</v>
      </c>
      <c r="D58" s="12" t="s">
        <v>670</v>
      </c>
      <c r="E58" s="12" t="s">
        <v>670</v>
      </c>
      <c r="F58" s="12" t="s">
        <v>1731</v>
      </c>
      <c r="G58" s="12" t="s">
        <v>670</v>
      </c>
      <c r="H58" s="12" t="s">
        <v>670</v>
      </c>
      <c r="I58" s="55" t="s">
        <v>266</v>
      </c>
    </row>
    <row r="59" spans="1:9" ht="12">
      <c r="A59" s="33" t="s">
        <v>115</v>
      </c>
      <c r="B59" s="55" t="s">
        <v>563</v>
      </c>
      <c r="C59" s="55" t="s">
        <v>563</v>
      </c>
      <c r="D59" s="12" t="s">
        <v>670</v>
      </c>
      <c r="E59" s="12" t="s">
        <v>670</v>
      </c>
      <c r="F59" s="12" t="s">
        <v>1730</v>
      </c>
      <c r="G59" s="12" t="s">
        <v>1797</v>
      </c>
      <c r="H59" s="12" t="s">
        <v>670</v>
      </c>
      <c r="I59" s="55" t="s">
        <v>266</v>
      </c>
    </row>
    <row r="60" spans="1:9" ht="12">
      <c r="A60" s="33" t="s">
        <v>49</v>
      </c>
      <c r="B60" s="55" t="s">
        <v>563</v>
      </c>
      <c r="C60" s="55" t="s">
        <v>563</v>
      </c>
      <c r="D60" s="12" t="s">
        <v>1044</v>
      </c>
      <c r="E60" s="12" t="s">
        <v>670</v>
      </c>
      <c r="F60" s="12" t="s">
        <v>1766</v>
      </c>
      <c r="G60" s="12" t="s">
        <v>670</v>
      </c>
      <c r="H60" s="12" t="s">
        <v>670</v>
      </c>
      <c r="I60" s="55" t="s">
        <v>266</v>
      </c>
    </row>
    <row r="61" spans="1:9" ht="12">
      <c r="A61" s="33" t="s">
        <v>620</v>
      </c>
      <c r="B61" s="55" t="s">
        <v>563</v>
      </c>
      <c r="C61" s="55" t="s">
        <v>563</v>
      </c>
      <c r="D61" s="12" t="s">
        <v>1758</v>
      </c>
      <c r="E61" s="12" t="s">
        <v>670</v>
      </c>
      <c r="F61" s="12" t="s">
        <v>1728</v>
      </c>
      <c r="G61" s="12" t="s">
        <v>670</v>
      </c>
      <c r="H61" s="12" t="s">
        <v>670</v>
      </c>
      <c r="I61" s="55" t="s">
        <v>266</v>
      </c>
    </row>
    <row r="62" spans="1:9" ht="12">
      <c r="A62" s="33" t="s">
        <v>99</v>
      </c>
      <c r="B62" s="55" t="s">
        <v>563</v>
      </c>
      <c r="C62" s="55" t="s">
        <v>563</v>
      </c>
      <c r="D62" s="12" t="s">
        <v>1046</v>
      </c>
      <c r="E62" s="12" t="s">
        <v>670</v>
      </c>
      <c r="F62" s="12" t="s">
        <v>1765</v>
      </c>
      <c r="G62" s="12" t="s">
        <v>670</v>
      </c>
      <c r="H62" s="12" t="s">
        <v>670</v>
      </c>
      <c r="I62" s="55" t="s">
        <v>266</v>
      </c>
    </row>
    <row r="63" spans="1:9" ht="12">
      <c r="A63" s="33" t="s">
        <v>119</v>
      </c>
      <c r="B63" s="55" t="s">
        <v>563</v>
      </c>
      <c r="C63" s="55" t="s">
        <v>563</v>
      </c>
      <c r="D63" s="12" t="s">
        <v>670</v>
      </c>
      <c r="E63" s="12" t="s">
        <v>670</v>
      </c>
      <c r="F63" s="12" t="s">
        <v>670</v>
      </c>
      <c r="G63" s="12" t="s">
        <v>670</v>
      </c>
      <c r="H63" s="12" t="s">
        <v>670</v>
      </c>
      <c r="I63" s="55" t="s">
        <v>266</v>
      </c>
    </row>
    <row r="64" spans="1:9" ht="12">
      <c r="A64" s="33" t="s">
        <v>625</v>
      </c>
      <c r="B64" s="55" t="s">
        <v>563</v>
      </c>
      <c r="C64" s="55" t="s">
        <v>563</v>
      </c>
      <c r="D64" s="12" t="s">
        <v>1710</v>
      </c>
      <c r="E64" s="12" t="s">
        <v>670</v>
      </c>
      <c r="F64" s="12" t="s">
        <v>670</v>
      </c>
      <c r="G64" s="12" t="s">
        <v>670</v>
      </c>
      <c r="H64" s="12" t="s">
        <v>670</v>
      </c>
      <c r="I64" s="55" t="s">
        <v>266</v>
      </c>
    </row>
    <row r="65" spans="1:9" ht="12">
      <c r="A65" s="33" t="s">
        <v>626</v>
      </c>
      <c r="B65" s="55" t="s">
        <v>563</v>
      </c>
      <c r="C65" s="55" t="s">
        <v>563</v>
      </c>
      <c r="D65" s="12" t="s">
        <v>670</v>
      </c>
      <c r="E65" s="12" t="s">
        <v>670</v>
      </c>
      <c r="F65" s="12" t="s">
        <v>1735</v>
      </c>
      <c r="G65" s="12" t="s">
        <v>670</v>
      </c>
      <c r="H65" s="12" t="s">
        <v>670</v>
      </c>
      <c r="I65" s="55" t="s">
        <v>266</v>
      </c>
    </row>
    <row r="66" spans="1:9" ht="12">
      <c r="A66" s="33" t="s">
        <v>121</v>
      </c>
      <c r="B66" s="55" t="s">
        <v>563</v>
      </c>
      <c r="C66" s="55" t="s">
        <v>563</v>
      </c>
      <c r="D66" s="12" t="s">
        <v>670</v>
      </c>
      <c r="E66" s="12" t="s">
        <v>670</v>
      </c>
      <c r="F66" s="12" t="s">
        <v>670</v>
      </c>
      <c r="G66" s="12" t="s">
        <v>670</v>
      </c>
      <c r="H66" s="12" t="s">
        <v>670</v>
      </c>
      <c r="I66" s="55" t="s">
        <v>266</v>
      </c>
    </row>
    <row r="67" spans="1:9" ht="12">
      <c r="A67" s="33" t="s">
        <v>629</v>
      </c>
      <c r="B67" s="55" t="s">
        <v>563</v>
      </c>
      <c r="C67" s="55" t="s">
        <v>563</v>
      </c>
      <c r="D67" s="12" t="s">
        <v>670</v>
      </c>
      <c r="E67" s="12" t="s">
        <v>670</v>
      </c>
      <c r="F67" s="12" t="s">
        <v>1768</v>
      </c>
      <c r="G67" s="12" t="s">
        <v>670</v>
      </c>
      <c r="H67" s="12" t="s">
        <v>670</v>
      </c>
      <c r="I67" s="55" t="s">
        <v>266</v>
      </c>
    </row>
    <row r="68" spans="1:9" s="15" customFormat="1" ht="12">
      <c r="A68" s="33" t="s">
        <v>50</v>
      </c>
      <c r="B68" s="55" t="s">
        <v>563</v>
      </c>
      <c r="C68" s="55" t="s">
        <v>563</v>
      </c>
      <c r="D68" s="12" t="s">
        <v>670</v>
      </c>
      <c r="E68" s="12" t="s">
        <v>670</v>
      </c>
      <c r="F68" s="12" t="s">
        <v>1738</v>
      </c>
      <c r="G68" s="12" t="s">
        <v>670</v>
      </c>
      <c r="H68" s="12" t="s">
        <v>670</v>
      </c>
      <c r="I68" s="55" t="s">
        <v>266</v>
      </c>
    </row>
    <row r="69" spans="1:9" s="15" customFormat="1" ht="12">
      <c r="A69" s="33" t="s">
        <v>124</v>
      </c>
      <c r="B69" s="55" t="s">
        <v>563</v>
      </c>
      <c r="C69" s="55" t="s">
        <v>563</v>
      </c>
      <c r="D69" s="12" t="s">
        <v>670</v>
      </c>
      <c r="E69" s="12" t="s">
        <v>670</v>
      </c>
      <c r="F69" s="12" t="s">
        <v>670</v>
      </c>
      <c r="G69" s="12" t="s">
        <v>670</v>
      </c>
      <c r="H69" s="12" t="s">
        <v>670</v>
      </c>
      <c r="I69" s="55" t="s">
        <v>266</v>
      </c>
    </row>
    <row r="70" spans="1:9" ht="12">
      <c r="A70" s="33" t="s">
        <v>51</v>
      </c>
      <c r="B70" s="55" t="s">
        <v>563</v>
      </c>
      <c r="C70" s="55" t="s">
        <v>563</v>
      </c>
      <c r="D70" s="12" t="s">
        <v>1733</v>
      </c>
      <c r="E70" s="12" t="s">
        <v>670</v>
      </c>
      <c r="F70" s="12" t="s">
        <v>1732</v>
      </c>
      <c r="G70" s="12" t="s">
        <v>670</v>
      </c>
      <c r="H70" s="12" t="s">
        <v>670</v>
      </c>
      <c r="I70" s="55" t="s">
        <v>266</v>
      </c>
    </row>
    <row r="71" spans="1:9" ht="12">
      <c r="A71" s="33" t="s">
        <v>636</v>
      </c>
      <c r="B71" s="55" t="s">
        <v>563</v>
      </c>
      <c r="C71" s="55" t="s">
        <v>563</v>
      </c>
      <c r="D71" s="12" t="s">
        <v>670</v>
      </c>
      <c r="E71" s="12" t="s">
        <v>670</v>
      </c>
      <c r="F71" s="12" t="s">
        <v>670</v>
      </c>
      <c r="G71" s="12" t="s">
        <v>670</v>
      </c>
      <c r="H71" s="12" t="s">
        <v>670</v>
      </c>
      <c r="I71" s="55" t="s">
        <v>266</v>
      </c>
    </row>
    <row r="72" spans="1:9" ht="12">
      <c r="A72" s="33" t="s">
        <v>48</v>
      </c>
      <c r="B72" s="55" t="s">
        <v>563</v>
      </c>
      <c r="C72" s="55" t="s">
        <v>563</v>
      </c>
      <c r="D72" s="12" t="s">
        <v>670</v>
      </c>
      <c r="E72" s="12" t="s">
        <v>670</v>
      </c>
      <c r="F72" s="12" t="s">
        <v>670</v>
      </c>
      <c r="G72" s="12" t="s">
        <v>670</v>
      </c>
      <c r="H72" s="12" t="s">
        <v>670</v>
      </c>
      <c r="I72" s="55" t="s">
        <v>266</v>
      </c>
    </row>
    <row r="73" spans="1:9" ht="12">
      <c r="A73" s="33" t="s">
        <v>638</v>
      </c>
      <c r="B73" s="55" t="s">
        <v>563</v>
      </c>
      <c r="C73" s="55" t="s">
        <v>563</v>
      </c>
      <c r="D73" s="12" t="s">
        <v>1054</v>
      </c>
      <c r="E73" s="12" t="s">
        <v>670</v>
      </c>
      <c r="F73" s="12" t="s">
        <v>1772</v>
      </c>
      <c r="G73" s="12" t="s">
        <v>670</v>
      </c>
      <c r="H73" s="12" t="s">
        <v>670</v>
      </c>
      <c r="I73" s="55" t="s">
        <v>266</v>
      </c>
    </row>
    <row r="74" spans="1:9" ht="12">
      <c r="A74" s="33" t="s">
        <v>640</v>
      </c>
      <c r="B74" s="55" t="s">
        <v>563</v>
      </c>
      <c r="C74" s="55" t="s">
        <v>563</v>
      </c>
      <c r="D74" s="12" t="s">
        <v>670</v>
      </c>
      <c r="E74" s="12" t="s">
        <v>670</v>
      </c>
      <c r="F74" s="12" t="s">
        <v>670</v>
      </c>
      <c r="G74" s="12" t="s">
        <v>670</v>
      </c>
      <c r="H74" s="12" t="s">
        <v>670</v>
      </c>
      <c r="I74" s="55" t="s">
        <v>266</v>
      </c>
    </row>
    <row r="75" spans="1:9" ht="12">
      <c r="A75" s="33" t="s">
        <v>641</v>
      </c>
      <c r="B75" s="55" t="s">
        <v>563</v>
      </c>
      <c r="C75" s="55" t="s">
        <v>563</v>
      </c>
      <c r="D75" s="12" t="s">
        <v>670</v>
      </c>
      <c r="E75" s="12" t="s">
        <v>670</v>
      </c>
      <c r="F75" s="12" t="s">
        <v>1769</v>
      </c>
      <c r="G75" s="12" t="s">
        <v>670</v>
      </c>
      <c r="H75" s="12" t="s">
        <v>670</v>
      </c>
      <c r="I75" s="55" t="s">
        <v>266</v>
      </c>
    </row>
    <row r="76" spans="1:9" ht="12">
      <c r="A76" s="33" t="s">
        <v>642</v>
      </c>
      <c r="B76" s="55" t="s">
        <v>563</v>
      </c>
      <c r="C76" s="55" t="s">
        <v>563</v>
      </c>
      <c r="D76" s="12" t="s">
        <v>670</v>
      </c>
      <c r="E76" s="12" t="s">
        <v>670</v>
      </c>
      <c r="F76" s="12" t="s">
        <v>670</v>
      </c>
      <c r="G76" s="12" t="s">
        <v>670</v>
      </c>
      <c r="H76" s="12" t="s">
        <v>670</v>
      </c>
      <c r="I76" s="55" t="s">
        <v>266</v>
      </c>
    </row>
    <row r="77" spans="1:9" ht="12">
      <c r="A77" s="33" t="s">
        <v>128</v>
      </c>
      <c r="B77" s="55" t="s">
        <v>563</v>
      </c>
      <c r="C77" s="55" t="s">
        <v>563</v>
      </c>
      <c r="D77" s="12" t="s">
        <v>670</v>
      </c>
      <c r="E77" s="12" t="s">
        <v>670</v>
      </c>
      <c r="F77" s="12" t="s">
        <v>1737</v>
      </c>
      <c r="G77" s="12" t="s">
        <v>670</v>
      </c>
      <c r="H77" s="12" t="s">
        <v>670</v>
      </c>
      <c r="I77" s="55" t="s">
        <v>266</v>
      </c>
    </row>
    <row r="78" spans="1:9" ht="12">
      <c r="A78" s="33" t="s">
        <v>645</v>
      </c>
      <c r="B78" s="55" t="s">
        <v>563</v>
      </c>
      <c r="C78" s="55" t="s">
        <v>563</v>
      </c>
      <c r="D78" s="12" t="s">
        <v>670</v>
      </c>
      <c r="E78" s="12" t="s">
        <v>670</v>
      </c>
      <c r="F78" s="12" t="s">
        <v>1729</v>
      </c>
      <c r="G78" s="12" t="s">
        <v>670</v>
      </c>
      <c r="H78" s="12" t="s">
        <v>670</v>
      </c>
      <c r="I78" s="55" t="s">
        <v>266</v>
      </c>
    </row>
    <row r="79" spans="1:9" ht="12">
      <c r="A79" s="33" t="s">
        <v>648</v>
      </c>
      <c r="B79" s="55" t="s">
        <v>563</v>
      </c>
      <c r="C79" s="55" t="s">
        <v>563</v>
      </c>
      <c r="D79" s="12" t="s">
        <v>670</v>
      </c>
      <c r="E79" s="12" t="s">
        <v>670</v>
      </c>
      <c r="F79" s="12" t="s">
        <v>1767</v>
      </c>
      <c r="G79" s="12" t="s">
        <v>670</v>
      </c>
      <c r="H79" s="12" t="s">
        <v>670</v>
      </c>
      <c r="I79" s="55" t="s">
        <v>266</v>
      </c>
    </row>
    <row r="80" spans="1:9" ht="12">
      <c r="A80" s="33" t="s">
        <v>650</v>
      </c>
      <c r="B80" s="55" t="s">
        <v>563</v>
      </c>
      <c r="C80" s="55" t="s">
        <v>563</v>
      </c>
      <c r="D80" s="12" t="s">
        <v>670</v>
      </c>
      <c r="E80" s="57" t="s">
        <v>1757</v>
      </c>
      <c r="F80" s="12" t="s">
        <v>670</v>
      </c>
      <c r="G80" s="12" t="s">
        <v>670</v>
      </c>
      <c r="H80" s="12" t="s">
        <v>670</v>
      </c>
      <c r="I80" s="55" t="s">
        <v>266</v>
      </c>
    </row>
    <row r="81" spans="1:9" ht="12">
      <c r="A81" s="33" t="s">
        <v>668</v>
      </c>
      <c r="B81" s="55" t="s">
        <v>995</v>
      </c>
      <c r="C81" s="12" t="s">
        <v>670</v>
      </c>
      <c r="D81" s="12" t="s">
        <v>670</v>
      </c>
      <c r="E81" s="12" t="s">
        <v>670</v>
      </c>
      <c r="F81" s="12" t="s">
        <v>670</v>
      </c>
      <c r="G81" s="12" t="s">
        <v>670</v>
      </c>
      <c r="H81" s="12" t="s">
        <v>670</v>
      </c>
      <c r="I81" s="55" t="s">
        <v>266</v>
      </c>
    </row>
    <row r="82" spans="1:9" ht="12">
      <c r="A82" s="33" t="s">
        <v>947</v>
      </c>
      <c r="B82" s="12" t="s">
        <v>670</v>
      </c>
      <c r="C82" s="12" t="s">
        <v>670</v>
      </c>
      <c r="D82" s="12" t="s">
        <v>670</v>
      </c>
      <c r="E82" s="12" t="s">
        <v>670</v>
      </c>
      <c r="F82" s="12" t="s">
        <v>670</v>
      </c>
      <c r="G82" s="12" t="s">
        <v>1253</v>
      </c>
      <c r="H82" s="12" t="s">
        <v>670</v>
      </c>
      <c r="I82" s="55" t="s">
        <v>266</v>
      </c>
    </row>
    <row r="83" spans="1:9" ht="12">
      <c r="A83" s="33" t="s">
        <v>948</v>
      </c>
      <c r="B83" s="12" t="s">
        <v>670</v>
      </c>
      <c r="C83" s="12" t="s">
        <v>670</v>
      </c>
      <c r="D83" s="12" t="s">
        <v>670</v>
      </c>
      <c r="E83" s="12" t="s">
        <v>670</v>
      </c>
      <c r="F83" s="12" t="s">
        <v>670</v>
      </c>
      <c r="G83" s="12" t="s">
        <v>670</v>
      </c>
      <c r="H83" s="12" t="s">
        <v>670</v>
      </c>
      <c r="I83" s="55" t="s">
        <v>266</v>
      </c>
    </row>
    <row r="84" spans="1:9" ht="12">
      <c r="A84" s="33" t="s">
        <v>950</v>
      </c>
      <c r="B84" s="12" t="s">
        <v>670</v>
      </c>
      <c r="C84" s="12" t="s">
        <v>670</v>
      </c>
      <c r="D84" s="12" t="s">
        <v>670</v>
      </c>
      <c r="E84" s="12" t="s">
        <v>670</v>
      </c>
      <c r="F84" s="12" t="s">
        <v>670</v>
      </c>
      <c r="G84" s="12" t="s">
        <v>670</v>
      </c>
      <c r="H84" s="12" t="s">
        <v>670</v>
      </c>
      <c r="I84" s="55" t="s">
        <v>266</v>
      </c>
    </row>
    <row r="85" spans="1:9" ht="12">
      <c r="A85" s="33" t="s">
        <v>656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55" t="s">
        <v>266</v>
      </c>
    </row>
    <row r="86" spans="1:9" ht="12">
      <c r="A86" s="33" t="s">
        <v>949</v>
      </c>
      <c r="B86" s="12" t="s">
        <v>670</v>
      </c>
      <c r="C86" s="12" t="s">
        <v>670</v>
      </c>
      <c r="D86" s="12" t="s">
        <v>670</v>
      </c>
      <c r="E86" s="12" t="s">
        <v>670</v>
      </c>
      <c r="F86" s="12" t="s">
        <v>670</v>
      </c>
      <c r="G86" s="12" t="s">
        <v>670</v>
      </c>
      <c r="H86" s="12" t="s">
        <v>670</v>
      </c>
      <c r="I86" s="55" t="s">
        <v>266</v>
      </c>
    </row>
    <row r="87" spans="1:9" s="16" customFormat="1" ht="12">
      <c r="A87" s="33" t="s">
        <v>951</v>
      </c>
      <c r="B87" s="12" t="s">
        <v>670</v>
      </c>
      <c r="C87" s="12" t="s">
        <v>670</v>
      </c>
      <c r="D87" s="12" t="s">
        <v>670</v>
      </c>
      <c r="E87" s="12" t="s">
        <v>670</v>
      </c>
      <c r="F87" s="12" t="s">
        <v>670</v>
      </c>
      <c r="G87" s="12" t="s">
        <v>670</v>
      </c>
      <c r="H87" s="12" t="s">
        <v>670</v>
      </c>
      <c r="I87" s="55" t="s">
        <v>266</v>
      </c>
    </row>
    <row r="88" spans="1:9" ht="12">
      <c r="A88" s="33" t="s">
        <v>952</v>
      </c>
      <c r="B88" s="12" t="s">
        <v>670</v>
      </c>
      <c r="C88" s="12" t="s">
        <v>670</v>
      </c>
      <c r="D88" s="12" t="s">
        <v>670</v>
      </c>
      <c r="E88" s="12" t="s">
        <v>670</v>
      </c>
      <c r="F88" s="12" t="s">
        <v>670</v>
      </c>
      <c r="G88" s="12" t="s">
        <v>670</v>
      </c>
      <c r="H88" s="12" t="s">
        <v>670</v>
      </c>
      <c r="I88" s="55" t="s">
        <v>266</v>
      </c>
    </row>
    <row r="89" spans="1:9" ht="12">
      <c r="A89" s="33" t="s">
        <v>658</v>
      </c>
      <c r="B89" s="12" t="s">
        <v>670</v>
      </c>
      <c r="C89" s="12" t="s">
        <v>670</v>
      </c>
      <c r="D89" s="12" t="s">
        <v>670</v>
      </c>
      <c r="E89" s="12" t="s">
        <v>670</v>
      </c>
      <c r="F89" s="12" t="s">
        <v>670</v>
      </c>
      <c r="G89" s="12" t="s">
        <v>670</v>
      </c>
      <c r="H89" s="12" t="s">
        <v>670</v>
      </c>
      <c r="I89" s="55" t="s">
        <v>266</v>
      </c>
    </row>
    <row r="90" spans="1:9" ht="12">
      <c r="A90" s="33" t="s">
        <v>660</v>
      </c>
      <c r="B90" s="12" t="s">
        <v>670</v>
      </c>
      <c r="C90" s="12" t="s">
        <v>670</v>
      </c>
      <c r="D90" s="12" t="s">
        <v>670</v>
      </c>
      <c r="E90" s="12" t="s">
        <v>670</v>
      </c>
      <c r="F90" s="12" t="s">
        <v>670</v>
      </c>
      <c r="G90" s="12" t="s">
        <v>670</v>
      </c>
      <c r="H90" s="12" t="s">
        <v>670</v>
      </c>
      <c r="I90" s="55" t="s">
        <v>266</v>
      </c>
    </row>
    <row r="91" spans="1:9" ht="12">
      <c r="A91" s="33" t="s">
        <v>1644</v>
      </c>
      <c r="B91" s="12" t="s">
        <v>670</v>
      </c>
      <c r="C91" s="12" t="s">
        <v>670</v>
      </c>
      <c r="D91" s="12" t="s">
        <v>670</v>
      </c>
      <c r="E91" s="12" t="s">
        <v>670</v>
      </c>
      <c r="F91" s="12" t="s">
        <v>670</v>
      </c>
      <c r="G91" s="12" t="s">
        <v>670</v>
      </c>
      <c r="H91" s="12" t="s">
        <v>670</v>
      </c>
      <c r="I91" s="55" t="s">
        <v>266</v>
      </c>
    </row>
    <row r="92" spans="1:9" ht="12">
      <c r="A92" s="32" t="s">
        <v>1645</v>
      </c>
      <c r="B92" s="12" t="s">
        <v>670</v>
      </c>
      <c r="C92" s="12" t="s">
        <v>670</v>
      </c>
      <c r="D92" s="12" t="s">
        <v>670</v>
      </c>
      <c r="E92" s="12" t="s">
        <v>670</v>
      </c>
      <c r="F92" s="12" t="s">
        <v>670</v>
      </c>
      <c r="G92" s="12" t="s">
        <v>670</v>
      </c>
      <c r="H92" s="12" t="s">
        <v>670</v>
      </c>
      <c r="I92" s="55" t="s">
        <v>266</v>
      </c>
    </row>
    <row r="93" spans="1:9" ht="12">
      <c r="A93" s="32" t="s">
        <v>1646</v>
      </c>
      <c r="B93" s="12" t="s">
        <v>670</v>
      </c>
      <c r="C93" s="12" t="s">
        <v>670</v>
      </c>
      <c r="D93" s="12" t="s">
        <v>670</v>
      </c>
      <c r="E93" s="12" t="s">
        <v>670</v>
      </c>
      <c r="F93" s="12" t="s">
        <v>670</v>
      </c>
      <c r="G93" s="12" t="s">
        <v>670</v>
      </c>
      <c r="H93" s="12" t="s">
        <v>670</v>
      </c>
      <c r="I93" s="55" t="s">
        <v>266</v>
      </c>
    </row>
    <row r="94" spans="1:9" ht="12">
      <c r="A94" s="32" t="s">
        <v>1647</v>
      </c>
      <c r="B94" s="12" t="s">
        <v>670</v>
      </c>
      <c r="C94" s="12" t="s">
        <v>670</v>
      </c>
      <c r="D94" s="12" t="s">
        <v>670</v>
      </c>
      <c r="E94" s="12" t="s">
        <v>670</v>
      </c>
      <c r="F94" s="12" t="s">
        <v>670</v>
      </c>
      <c r="G94" s="12" t="s">
        <v>670</v>
      </c>
      <c r="H94" s="12" t="s">
        <v>670</v>
      </c>
      <c r="I94" s="55" t="s">
        <v>266</v>
      </c>
    </row>
    <row r="95" spans="1:9" ht="12">
      <c r="A95" s="32" t="s">
        <v>1648</v>
      </c>
      <c r="B95" s="12" t="s">
        <v>670</v>
      </c>
      <c r="C95" s="12" t="s">
        <v>670</v>
      </c>
      <c r="D95" s="12" t="s">
        <v>670</v>
      </c>
      <c r="E95" s="12" t="s">
        <v>670</v>
      </c>
      <c r="F95" s="12" t="s">
        <v>670</v>
      </c>
      <c r="G95" s="12" t="s">
        <v>670</v>
      </c>
      <c r="H95" s="12" t="s">
        <v>670</v>
      </c>
      <c r="I95" s="55" t="s">
        <v>266</v>
      </c>
    </row>
    <row r="96" spans="1:9" ht="12">
      <c r="A96" s="32" t="s">
        <v>1649</v>
      </c>
      <c r="B96" s="12" t="s">
        <v>670</v>
      </c>
      <c r="C96" s="12" t="s">
        <v>670</v>
      </c>
      <c r="D96" s="12" t="s">
        <v>670</v>
      </c>
      <c r="E96" s="12" t="s">
        <v>670</v>
      </c>
      <c r="F96" s="12" t="s">
        <v>670</v>
      </c>
      <c r="G96" s="12" t="s">
        <v>670</v>
      </c>
      <c r="H96" s="12" t="s">
        <v>670</v>
      </c>
      <c r="I96" s="55" t="s">
        <v>266</v>
      </c>
    </row>
    <row r="97" spans="1:9" ht="12">
      <c r="A97" s="32" t="s">
        <v>1650</v>
      </c>
      <c r="B97" s="12" t="s">
        <v>670</v>
      </c>
      <c r="C97" s="12" t="s">
        <v>670</v>
      </c>
      <c r="D97" s="12" t="s">
        <v>670</v>
      </c>
      <c r="E97" s="12" t="s">
        <v>670</v>
      </c>
      <c r="F97" s="12" t="s">
        <v>670</v>
      </c>
      <c r="G97" s="12" t="s">
        <v>670</v>
      </c>
      <c r="H97" s="12" t="s">
        <v>670</v>
      </c>
      <c r="I97" s="55" t="s">
        <v>266</v>
      </c>
    </row>
    <row r="98" spans="1:9" ht="12">
      <c r="A98" s="32" t="s">
        <v>1651</v>
      </c>
      <c r="B98" s="12" t="s">
        <v>670</v>
      </c>
      <c r="C98" s="12" t="s">
        <v>670</v>
      </c>
      <c r="D98" s="12" t="s">
        <v>670</v>
      </c>
      <c r="E98" s="12" t="s">
        <v>670</v>
      </c>
      <c r="F98" s="12" t="s">
        <v>670</v>
      </c>
      <c r="G98" s="12" t="s">
        <v>670</v>
      </c>
      <c r="H98" s="12" t="s">
        <v>670</v>
      </c>
      <c r="I98" s="55" t="s">
        <v>266</v>
      </c>
    </row>
    <row r="99" spans="1:9" ht="12">
      <c r="A99" s="32" t="s">
        <v>1652</v>
      </c>
      <c r="B99" s="12" t="s">
        <v>670</v>
      </c>
      <c r="C99" s="12" t="s">
        <v>670</v>
      </c>
      <c r="D99" s="12" t="s">
        <v>670</v>
      </c>
      <c r="E99" s="12" t="s">
        <v>670</v>
      </c>
      <c r="F99" s="12" t="s">
        <v>670</v>
      </c>
      <c r="G99" s="12" t="s">
        <v>670</v>
      </c>
      <c r="H99" s="12" t="s">
        <v>670</v>
      </c>
      <c r="I99" s="55" t="s">
        <v>266</v>
      </c>
    </row>
    <row r="100" spans="1:9" ht="12">
      <c r="A100" s="32" t="s">
        <v>1653</v>
      </c>
      <c r="B100" s="12" t="s">
        <v>670</v>
      </c>
      <c r="C100" s="12" t="s">
        <v>670</v>
      </c>
      <c r="D100" s="12" t="s">
        <v>670</v>
      </c>
      <c r="E100" s="12" t="s">
        <v>670</v>
      </c>
      <c r="F100" s="12" t="s">
        <v>670</v>
      </c>
      <c r="G100" s="12" t="s">
        <v>670</v>
      </c>
      <c r="H100" s="12" t="s">
        <v>670</v>
      </c>
      <c r="I100" s="55" t="s">
        <v>266</v>
      </c>
    </row>
    <row r="101" spans="1:9" ht="12">
      <c r="A101" s="32" t="s">
        <v>1654</v>
      </c>
      <c r="B101" s="12" t="s">
        <v>670</v>
      </c>
      <c r="C101" s="12" t="s">
        <v>670</v>
      </c>
      <c r="D101" s="12" t="s">
        <v>670</v>
      </c>
      <c r="E101" s="12" t="s">
        <v>670</v>
      </c>
      <c r="F101" s="12" t="s">
        <v>1796</v>
      </c>
      <c r="G101" s="12" t="s">
        <v>670</v>
      </c>
      <c r="H101" s="12" t="s">
        <v>670</v>
      </c>
      <c r="I101" s="55" t="s">
        <v>266</v>
      </c>
    </row>
    <row r="102" spans="1:9" ht="12">
      <c r="A102" s="33" t="s">
        <v>1655</v>
      </c>
      <c r="B102" s="12" t="s">
        <v>670</v>
      </c>
      <c r="C102" s="12" t="s">
        <v>670</v>
      </c>
      <c r="D102" s="12" t="s">
        <v>670</v>
      </c>
      <c r="E102" s="12" t="s">
        <v>670</v>
      </c>
      <c r="F102" s="12" t="s">
        <v>670</v>
      </c>
      <c r="G102" s="12" t="s">
        <v>670</v>
      </c>
      <c r="H102" s="12" t="s">
        <v>670</v>
      </c>
      <c r="I102" s="55" t="s">
        <v>266</v>
      </c>
    </row>
    <row r="103" spans="1:9" ht="12">
      <c r="A103" s="34" t="s">
        <v>1656</v>
      </c>
      <c r="B103" s="12" t="s">
        <v>670</v>
      </c>
      <c r="C103" s="12" t="s">
        <v>670</v>
      </c>
      <c r="D103" s="12" t="s">
        <v>670</v>
      </c>
      <c r="E103" s="12" t="s">
        <v>670</v>
      </c>
      <c r="F103" s="12" t="s">
        <v>670</v>
      </c>
      <c r="G103" s="12" t="s">
        <v>670</v>
      </c>
      <c r="H103" s="12" t="s">
        <v>670</v>
      </c>
      <c r="I103" s="55" t="s">
        <v>266</v>
      </c>
    </row>
    <row r="104" spans="1:9" ht="12">
      <c r="A104" s="33" t="s">
        <v>1657</v>
      </c>
      <c r="B104" s="12" t="s">
        <v>670</v>
      </c>
      <c r="C104" s="12" t="s">
        <v>670</v>
      </c>
      <c r="D104" s="12" t="s">
        <v>670</v>
      </c>
      <c r="E104" s="12" t="s">
        <v>670</v>
      </c>
      <c r="F104" s="12" t="s">
        <v>670</v>
      </c>
      <c r="G104" s="12" t="s">
        <v>670</v>
      </c>
      <c r="H104" s="12" t="s">
        <v>670</v>
      </c>
      <c r="I104" s="55" t="s">
        <v>266</v>
      </c>
    </row>
    <row r="105" spans="1:9" ht="12">
      <c r="A105" s="33" t="s">
        <v>1658</v>
      </c>
      <c r="B105" s="12" t="s">
        <v>670</v>
      </c>
      <c r="C105" s="12" t="s">
        <v>670</v>
      </c>
      <c r="D105" s="12" t="s">
        <v>670</v>
      </c>
      <c r="E105" s="12" t="s">
        <v>670</v>
      </c>
      <c r="F105" s="12" t="s">
        <v>670</v>
      </c>
      <c r="G105" s="12" t="s">
        <v>670</v>
      </c>
      <c r="H105" s="12" t="s">
        <v>670</v>
      </c>
      <c r="I105" s="55" t="s">
        <v>266</v>
      </c>
    </row>
    <row r="106" spans="1:9" ht="12">
      <c r="A106" s="34" t="s">
        <v>1659</v>
      </c>
      <c r="B106" s="12" t="s">
        <v>670</v>
      </c>
      <c r="C106" s="12" t="s">
        <v>670</v>
      </c>
      <c r="D106" s="12" t="s">
        <v>670</v>
      </c>
      <c r="E106" s="12" t="s">
        <v>670</v>
      </c>
      <c r="F106" s="12" t="s">
        <v>670</v>
      </c>
      <c r="G106" s="12" t="s">
        <v>670</v>
      </c>
      <c r="H106" s="12" t="s">
        <v>670</v>
      </c>
      <c r="I106" s="55" t="s">
        <v>266</v>
      </c>
    </row>
    <row r="107" spans="1:9" ht="12">
      <c r="A107" s="33" t="s">
        <v>1660</v>
      </c>
      <c r="B107" s="12" t="s">
        <v>670</v>
      </c>
      <c r="C107" s="12" t="s">
        <v>670</v>
      </c>
      <c r="D107" s="12" t="s">
        <v>670</v>
      </c>
      <c r="E107" s="12" t="s">
        <v>670</v>
      </c>
      <c r="F107" s="12" t="s">
        <v>670</v>
      </c>
      <c r="G107" s="12" t="s">
        <v>670</v>
      </c>
      <c r="H107" s="12" t="s">
        <v>670</v>
      </c>
      <c r="I107" s="55" t="s">
        <v>266</v>
      </c>
    </row>
    <row r="108" spans="1:9" ht="12">
      <c r="A108" s="33" t="s">
        <v>1661</v>
      </c>
      <c r="B108" s="12" t="s">
        <v>670</v>
      </c>
      <c r="C108" s="12" t="s">
        <v>670</v>
      </c>
      <c r="D108" s="12" t="s">
        <v>670</v>
      </c>
      <c r="E108" s="12" t="s">
        <v>670</v>
      </c>
      <c r="F108" s="12" t="s">
        <v>670</v>
      </c>
      <c r="G108" s="12" t="s">
        <v>670</v>
      </c>
      <c r="H108" s="12" t="s">
        <v>670</v>
      </c>
      <c r="I108" s="55" t="s">
        <v>266</v>
      </c>
    </row>
    <row r="109" spans="1:9" ht="12">
      <c r="A109" s="33" t="s">
        <v>1662</v>
      </c>
      <c r="B109" s="12" t="s">
        <v>670</v>
      </c>
      <c r="C109" s="12" t="s">
        <v>670</v>
      </c>
      <c r="D109" s="12" t="s">
        <v>670</v>
      </c>
      <c r="E109" s="12" t="s">
        <v>670</v>
      </c>
      <c r="F109" s="12" t="s">
        <v>670</v>
      </c>
      <c r="G109" s="12" t="s">
        <v>670</v>
      </c>
      <c r="H109" s="12" t="s">
        <v>670</v>
      </c>
      <c r="I109" s="55" t="s">
        <v>266</v>
      </c>
    </row>
    <row r="110" spans="1:9" ht="12">
      <c r="A110" s="33" t="s">
        <v>1663</v>
      </c>
      <c r="B110" s="12" t="s">
        <v>670</v>
      </c>
      <c r="C110" s="12" t="s">
        <v>670</v>
      </c>
      <c r="D110" s="12" t="s">
        <v>670</v>
      </c>
      <c r="E110" s="12" t="s">
        <v>670</v>
      </c>
      <c r="F110" s="12" t="s">
        <v>670</v>
      </c>
      <c r="G110" s="12" t="s">
        <v>670</v>
      </c>
      <c r="H110" s="12" t="s">
        <v>670</v>
      </c>
      <c r="I110" s="55" t="s">
        <v>266</v>
      </c>
    </row>
    <row r="111" spans="1:9" ht="12">
      <c r="A111" s="33" t="s">
        <v>1664</v>
      </c>
      <c r="B111" s="12" t="s">
        <v>670</v>
      </c>
      <c r="C111" s="12" t="s">
        <v>670</v>
      </c>
      <c r="D111" s="12" t="s">
        <v>670</v>
      </c>
      <c r="E111" s="12" t="s">
        <v>670</v>
      </c>
      <c r="F111" s="12" t="s">
        <v>670</v>
      </c>
      <c r="G111" s="12" t="s">
        <v>670</v>
      </c>
      <c r="H111" s="12" t="s">
        <v>670</v>
      </c>
      <c r="I111" s="55" t="s">
        <v>266</v>
      </c>
    </row>
    <row r="112" spans="1:9" ht="12">
      <c r="A112" s="33" t="s">
        <v>1665</v>
      </c>
      <c r="B112" s="12" t="s">
        <v>670</v>
      </c>
      <c r="C112" s="12" t="s">
        <v>670</v>
      </c>
      <c r="D112" s="12" t="s">
        <v>670</v>
      </c>
      <c r="E112" s="12" t="s">
        <v>670</v>
      </c>
      <c r="F112" s="12" t="s">
        <v>670</v>
      </c>
      <c r="G112" s="12" t="s">
        <v>670</v>
      </c>
      <c r="H112" s="12" t="s">
        <v>670</v>
      </c>
      <c r="I112" s="55" t="s">
        <v>266</v>
      </c>
    </row>
    <row r="113" spans="1:9" ht="12">
      <c r="A113" s="33" t="s">
        <v>1666</v>
      </c>
      <c r="B113" s="12" t="s">
        <v>670</v>
      </c>
      <c r="C113" s="12" t="s">
        <v>670</v>
      </c>
      <c r="D113" s="12" t="s">
        <v>670</v>
      </c>
      <c r="E113" s="12" t="s">
        <v>670</v>
      </c>
      <c r="F113" s="12" t="s">
        <v>670</v>
      </c>
      <c r="G113" s="12" t="s">
        <v>670</v>
      </c>
      <c r="H113" s="12" t="s">
        <v>670</v>
      </c>
      <c r="I113" s="55" t="s">
        <v>266</v>
      </c>
    </row>
    <row r="114" spans="1:9" ht="12">
      <c r="A114" s="33" t="s">
        <v>1667</v>
      </c>
      <c r="B114" s="12" t="s">
        <v>670</v>
      </c>
      <c r="C114" s="12" t="s">
        <v>670</v>
      </c>
      <c r="D114" s="12" t="s">
        <v>670</v>
      </c>
      <c r="E114" s="12" t="s">
        <v>670</v>
      </c>
      <c r="F114" s="12" t="s">
        <v>670</v>
      </c>
      <c r="G114" s="12" t="s">
        <v>670</v>
      </c>
      <c r="H114" s="12" t="s">
        <v>670</v>
      </c>
      <c r="I114" s="55" t="s">
        <v>266</v>
      </c>
    </row>
    <row r="115" spans="1:9" ht="12">
      <c r="A115" s="33" t="s">
        <v>1668</v>
      </c>
      <c r="B115" s="12" t="s">
        <v>670</v>
      </c>
      <c r="C115" s="12" t="s">
        <v>670</v>
      </c>
      <c r="D115" s="12" t="s">
        <v>670</v>
      </c>
      <c r="E115" s="12" t="s">
        <v>670</v>
      </c>
      <c r="F115" s="12" t="s">
        <v>670</v>
      </c>
      <c r="G115" s="12" t="s">
        <v>670</v>
      </c>
      <c r="H115" s="12" t="s">
        <v>670</v>
      </c>
      <c r="I115" s="55" t="s">
        <v>266</v>
      </c>
    </row>
    <row r="117" spans="1:9" s="15" customFormat="1">
      <c r="A117" s="11" t="s">
        <v>1713</v>
      </c>
      <c r="B117" s="16"/>
      <c r="C117" s="16"/>
      <c r="D117" s="16"/>
      <c r="E117" s="16"/>
      <c r="F117" s="16"/>
      <c r="G117" s="16"/>
      <c r="H117" s="16"/>
      <c r="I117" s="16"/>
    </row>
    <row r="118" spans="1:9" s="15" customFormat="1">
      <c r="A118" s="56" t="s">
        <v>1714</v>
      </c>
      <c r="B118" s="11"/>
      <c r="C118" s="11"/>
      <c r="D118" s="11"/>
      <c r="E118" s="11"/>
      <c r="F118" s="11"/>
      <c r="G118" s="11"/>
      <c r="H118" s="11"/>
      <c r="I118" s="11"/>
    </row>
    <row r="119" spans="1:9" s="15" customFormat="1">
      <c r="A119" s="11"/>
      <c r="B119" s="11"/>
      <c r="C119" s="11"/>
      <c r="D119" s="11"/>
      <c r="E119" s="11"/>
      <c r="F119" s="11"/>
      <c r="G119" s="11"/>
      <c r="H119" s="11"/>
      <c r="I119" s="11"/>
    </row>
    <row r="124" spans="1:9">
      <c r="B124" s="15"/>
      <c r="C124" s="15"/>
      <c r="D124" s="15"/>
      <c r="E124" s="15"/>
      <c r="F124" s="15"/>
      <c r="G124" s="15"/>
      <c r="H124" s="15"/>
      <c r="I124" s="15"/>
    </row>
    <row r="125" spans="1:9">
      <c r="B125" s="15"/>
      <c r="C125" s="15"/>
      <c r="D125" s="15"/>
      <c r="E125" s="15"/>
      <c r="F125" s="15"/>
      <c r="G125" s="15"/>
      <c r="H125" s="15"/>
      <c r="I125" s="15"/>
    </row>
    <row r="126" spans="1:9">
      <c r="B126" s="15"/>
      <c r="C126" s="15"/>
      <c r="D126" s="15"/>
      <c r="E126" s="15"/>
      <c r="F126" s="15"/>
      <c r="G126" s="15"/>
      <c r="H126" s="15"/>
      <c r="I126" s="15"/>
    </row>
  </sheetData>
  <autoFilter ref="A1:I90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147E-974D-4029-9E75-C59E38C2A39B}">
  <sheetPr codeName="Sheet29">
    <tabColor theme="8" tint="0.79998168889431442"/>
  </sheetPr>
  <dimension ref="A1:I126"/>
  <sheetViews>
    <sheetView showGridLines="0" zoomScaleNormal="100" workbookViewId="0">
      <pane xSplit="1" ySplit="1" topLeftCell="B2" activePane="bottomRight" state="frozen"/>
      <selection activeCell="F161" sqref="F161"/>
      <selection pane="topRight" activeCell="F161" sqref="F161"/>
      <selection pane="bottomLeft" activeCell="F161" sqref="F161"/>
      <selection pane="bottomRight" activeCell="F161" sqref="F161"/>
    </sheetView>
  </sheetViews>
  <sheetFormatPr defaultRowHeight="11.25"/>
  <cols>
    <col min="1" max="1" width="22.875" style="11" bestFit="1" customWidth="1"/>
    <col min="2" max="9" width="24.375" style="11" customWidth="1"/>
    <col min="10" max="16384" width="9" style="11"/>
  </cols>
  <sheetData>
    <row r="1" spans="1:9" ht="24">
      <c r="A1" s="35" t="s">
        <v>540</v>
      </c>
      <c r="B1" s="36" t="s">
        <v>266</v>
      </c>
      <c r="C1" s="36" t="s">
        <v>542</v>
      </c>
      <c r="D1" s="36" t="s">
        <v>541</v>
      </c>
      <c r="E1" s="36" t="s">
        <v>543</v>
      </c>
      <c r="F1" s="36" t="s">
        <v>544</v>
      </c>
      <c r="G1" s="36" t="s">
        <v>545</v>
      </c>
      <c r="H1" s="36" t="s">
        <v>546</v>
      </c>
      <c r="I1" s="36" t="s">
        <v>547</v>
      </c>
    </row>
    <row r="2" spans="1:9" s="14" customFormat="1" ht="12">
      <c r="A2" s="31" t="s">
        <v>215</v>
      </c>
      <c r="B2" s="12" t="s">
        <v>670</v>
      </c>
      <c r="C2" s="12" t="s">
        <v>670</v>
      </c>
      <c r="D2" s="12" t="s">
        <v>670</v>
      </c>
      <c r="E2" s="12" t="s">
        <v>670</v>
      </c>
      <c r="F2" s="12" t="s">
        <v>670</v>
      </c>
      <c r="G2" s="12" t="s">
        <v>670</v>
      </c>
      <c r="H2" s="12" t="s">
        <v>670</v>
      </c>
      <c r="I2" s="55" t="s">
        <v>266</v>
      </c>
    </row>
    <row r="3" spans="1:9" s="14" customFormat="1" ht="12">
      <c r="A3" s="31" t="s">
        <v>154</v>
      </c>
      <c r="B3" s="12" t="s">
        <v>670</v>
      </c>
      <c r="C3" s="12" t="s">
        <v>670</v>
      </c>
      <c r="D3" s="12" t="s">
        <v>670</v>
      </c>
      <c r="E3" s="12" t="s">
        <v>670</v>
      </c>
      <c r="F3" s="12" t="s">
        <v>670</v>
      </c>
      <c r="G3" s="12" t="s">
        <v>670</v>
      </c>
      <c r="H3" s="12" t="s">
        <v>670</v>
      </c>
      <c r="I3" s="55" t="s">
        <v>266</v>
      </c>
    </row>
    <row r="4" spans="1:9" s="14" customFormat="1" ht="12">
      <c r="A4" s="31" t="s">
        <v>156</v>
      </c>
      <c r="B4" s="12" t="s">
        <v>670</v>
      </c>
      <c r="C4" s="12" t="s">
        <v>670</v>
      </c>
      <c r="D4" s="12" t="s">
        <v>670</v>
      </c>
      <c r="E4" s="12" t="s">
        <v>670</v>
      </c>
      <c r="F4" s="12" t="s">
        <v>670</v>
      </c>
      <c r="G4" s="12" t="s">
        <v>670</v>
      </c>
      <c r="H4" s="12" t="s">
        <v>670</v>
      </c>
      <c r="I4" s="55" t="s">
        <v>266</v>
      </c>
    </row>
    <row r="5" spans="1:9" s="14" customFormat="1" ht="12">
      <c r="A5" s="31" t="s">
        <v>150</v>
      </c>
      <c r="B5" s="12" t="s">
        <v>670</v>
      </c>
      <c r="C5" s="12" t="s">
        <v>670</v>
      </c>
      <c r="D5" s="12" t="s">
        <v>670</v>
      </c>
      <c r="E5" s="12" t="s">
        <v>670</v>
      </c>
      <c r="F5" s="12" t="s">
        <v>670</v>
      </c>
      <c r="G5" s="12" t="s">
        <v>670</v>
      </c>
      <c r="H5" s="12" t="s">
        <v>670</v>
      </c>
      <c r="I5" s="55" t="s">
        <v>266</v>
      </c>
    </row>
    <row r="6" spans="1:9" s="14" customFormat="1" ht="12">
      <c r="A6" s="31" t="s">
        <v>159</v>
      </c>
      <c r="B6" s="12" t="s">
        <v>670</v>
      </c>
      <c r="C6" s="12" t="s">
        <v>670</v>
      </c>
      <c r="D6" s="12" t="s">
        <v>670</v>
      </c>
      <c r="E6" s="12" t="s">
        <v>670</v>
      </c>
      <c r="F6" s="12" t="s">
        <v>670</v>
      </c>
      <c r="G6" s="12" t="s">
        <v>670</v>
      </c>
      <c r="H6" s="12" t="s">
        <v>670</v>
      </c>
      <c r="I6" s="55" t="s">
        <v>266</v>
      </c>
    </row>
    <row r="7" spans="1:9" s="14" customFormat="1" ht="12">
      <c r="A7" s="31" t="s">
        <v>53</v>
      </c>
      <c r="B7" s="12" t="s">
        <v>670</v>
      </c>
      <c r="C7" s="12" t="s">
        <v>670</v>
      </c>
      <c r="D7" s="12" t="s">
        <v>670</v>
      </c>
      <c r="E7" s="12" t="s">
        <v>670</v>
      </c>
      <c r="F7" s="12" t="s">
        <v>670</v>
      </c>
      <c r="G7" s="12" t="s">
        <v>670</v>
      </c>
      <c r="H7" s="12" t="s">
        <v>670</v>
      </c>
      <c r="I7" s="55" t="s">
        <v>266</v>
      </c>
    </row>
    <row r="8" spans="1:9" s="14" customFormat="1" ht="12">
      <c r="A8" s="31" t="s">
        <v>224</v>
      </c>
      <c r="B8" s="12" t="s">
        <v>670</v>
      </c>
      <c r="C8" s="12" t="s">
        <v>670</v>
      </c>
      <c r="D8" s="12" t="s">
        <v>670</v>
      </c>
      <c r="E8" s="12" t="s">
        <v>670</v>
      </c>
      <c r="F8" s="12" t="s">
        <v>670</v>
      </c>
      <c r="G8" s="12" t="s">
        <v>670</v>
      </c>
      <c r="H8" s="12" t="s">
        <v>670</v>
      </c>
      <c r="I8" s="55" t="s">
        <v>266</v>
      </c>
    </row>
    <row r="9" spans="1:9" s="14" customFormat="1" ht="12">
      <c r="A9" s="31" t="s">
        <v>238</v>
      </c>
      <c r="B9" s="12" t="s">
        <v>670</v>
      </c>
      <c r="C9" s="12" t="s">
        <v>670</v>
      </c>
      <c r="D9" s="12" t="s">
        <v>670</v>
      </c>
      <c r="E9" s="12" t="s">
        <v>670</v>
      </c>
      <c r="F9" s="12" t="s">
        <v>670</v>
      </c>
      <c r="G9" s="12" t="s">
        <v>670</v>
      </c>
      <c r="H9" s="12" t="s">
        <v>670</v>
      </c>
      <c r="I9" s="55" t="s">
        <v>266</v>
      </c>
    </row>
    <row r="10" spans="1:9" s="14" customFormat="1" ht="12">
      <c r="A10" s="31" t="s">
        <v>235</v>
      </c>
      <c r="B10" s="12" t="s">
        <v>670</v>
      </c>
      <c r="C10" s="12" t="s">
        <v>670</v>
      </c>
      <c r="D10" s="12" t="s">
        <v>670</v>
      </c>
      <c r="E10" s="12" t="s">
        <v>670</v>
      </c>
      <c r="F10" s="12" t="s">
        <v>670</v>
      </c>
      <c r="G10" s="12" t="s">
        <v>670</v>
      </c>
      <c r="H10" s="12" t="s">
        <v>670</v>
      </c>
      <c r="I10" s="55" t="s">
        <v>266</v>
      </c>
    </row>
    <row r="11" spans="1:9" s="14" customFormat="1" ht="12">
      <c r="A11" s="31" t="s">
        <v>141</v>
      </c>
      <c r="B11" s="12" t="s">
        <v>670</v>
      </c>
      <c r="C11" s="12" t="s">
        <v>670</v>
      </c>
      <c r="D11" s="12" t="s">
        <v>670</v>
      </c>
      <c r="E11" s="12" t="s">
        <v>670</v>
      </c>
      <c r="F11" s="12" t="s">
        <v>670</v>
      </c>
      <c r="G11" s="12" t="s">
        <v>670</v>
      </c>
      <c r="H11" s="12" t="s">
        <v>670</v>
      </c>
      <c r="I11" s="55" t="s">
        <v>266</v>
      </c>
    </row>
    <row r="12" spans="1:9" s="14" customFormat="1" ht="12">
      <c r="A12" s="31" t="s">
        <v>221</v>
      </c>
      <c r="B12" s="12" t="s">
        <v>670</v>
      </c>
      <c r="C12" s="12" t="s">
        <v>670</v>
      </c>
      <c r="D12" s="12" t="s">
        <v>670</v>
      </c>
      <c r="E12" s="12" t="s">
        <v>670</v>
      </c>
      <c r="F12" s="12" t="s">
        <v>670</v>
      </c>
      <c r="G12" s="12" t="s">
        <v>670</v>
      </c>
      <c r="H12" s="12" t="s">
        <v>670</v>
      </c>
      <c r="I12" s="55" t="s">
        <v>266</v>
      </c>
    </row>
    <row r="13" spans="1:9" s="14" customFormat="1" ht="12">
      <c r="A13" s="31" t="s">
        <v>225</v>
      </c>
      <c r="B13" s="12" t="s">
        <v>670</v>
      </c>
      <c r="C13" s="12" t="s">
        <v>670</v>
      </c>
      <c r="D13" s="12" t="s">
        <v>670</v>
      </c>
      <c r="E13" s="12" t="s">
        <v>670</v>
      </c>
      <c r="F13" s="12" t="s">
        <v>670</v>
      </c>
      <c r="G13" s="12" t="s">
        <v>670</v>
      </c>
      <c r="H13" s="12" t="s">
        <v>670</v>
      </c>
      <c r="I13" s="55" t="s">
        <v>266</v>
      </c>
    </row>
    <row r="14" spans="1:9" ht="12">
      <c r="A14" s="32">
        <v>1</v>
      </c>
      <c r="B14" s="12" t="s">
        <v>670</v>
      </c>
      <c r="C14" s="12" t="s">
        <v>1786</v>
      </c>
      <c r="D14" s="12" t="s">
        <v>1778</v>
      </c>
      <c r="E14" s="12" t="s">
        <v>670</v>
      </c>
      <c r="F14" s="12" t="s">
        <v>670</v>
      </c>
      <c r="G14" s="12" t="s">
        <v>670</v>
      </c>
      <c r="H14" s="12" t="s">
        <v>670</v>
      </c>
      <c r="I14" s="55" t="s">
        <v>266</v>
      </c>
    </row>
    <row r="15" spans="1:9" ht="12">
      <c r="A15" s="32">
        <v>2</v>
      </c>
      <c r="B15" s="12" t="s">
        <v>670</v>
      </c>
      <c r="C15" s="12" t="s">
        <v>1786</v>
      </c>
      <c r="D15" s="12" t="s">
        <v>1779</v>
      </c>
      <c r="E15" s="12" t="s">
        <v>670</v>
      </c>
      <c r="F15" s="12" t="s">
        <v>670</v>
      </c>
      <c r="G15" s="12" t="s">
        <v>670</v>
      </c>
      <c r="H15" s="12" t="s">
        <v>670</v>
      </c>
      <c r="I15" s="55" t="s">
        <v>266</v>
      </c>
    </row>
    <row r="16" spans="1:9" ht="12">
      <c r="A16" s="32">
        <v>3</v>
      </c>
      <c r="B16" s="12" t="s">
        <v>670</v>
      </c>
      <c r="C16" s="12" t="s">
        <v>1786</v>
      </c>
      <c r="D16" s="12" t="s">
        <v>1780</v>
      </c>
      <c r="E16" s="12" t="s">
        <v>670</v>
      </c>
      <c r="F16" s="12" t="s">
        <v>670</v>
      </c>
      <c r="G16" s="12" t="s">
        <v>670</v>
      </c>
      <c r="H16" s="12" t="s">
        <v>670</v>
      </c>
      <c r="I16" s="55" t="s">
        <v>266</v>
      </c>
    </row>
    <row r="17" spans="1:9" ht="12">
      <c r="A17" s="32">
        <v>4</v>
      </c>
      <c r="B17" s="12" t="s">
        <v>670</v>
      </c>
      <c r="C17" s="12" t="s">
        <v>1786</v>
      </c>
      <c r="D17" s="12" t="s">
        <v>1781</v>
      </c>
      <c r="E17" s="12" t="s">
        <v>670</v>
      </c>
      <c r="F17" s="12" t="s">
        <v>670</v>
      </c>
      <c r="G17" s="12" t="s">
        <v>670</v>
      </c>
      <c r="H17" s="12" t="s">
        <v>670</v>
      </c>
      <c r="I17" s="55" t="s">
        <v>266</v>
      </c>
    </row>
    <row r="18" spans="1:9" ht="12">
      <c r="A18" s="32">
        <v>5</v>
      </c>
      <c r="B18" s="12" t="s">
        <v>670</v>
      </c>
      <c r="C18" s="12" t="s">
        <v>1786</v>
      </c>
      <c r="D18" s="12" t="s">
        <v>1782</v>
      </c>
      <c r="E18" s="12" t="s">
        <v>670</v>
      </c>
      <c r="F18" s="12" t="s">
        <v>670</v>
      </c>
      <c r="G18" s="12" t="s">
        <v>670</v>
      </c>
      <c r="H18" s="12" t="s">
        <v>670</v>
      </c>
      <c r="I18" s="55" t="s">
        <v>266</v>
      </c>
    </row>
    <row r="19" spans="1:9" ht="12">
      <c r="A19" s="32">
        <v>6</v>
      </c>
      <c r="B19" s="12" t="s">
        <v>670</v>
      </c>
      <c r="C19" s="12" t="s">
        <v>1786</v>
      </c>
      <c r="D19" s="12" t="s">
        <v>1783</v>
      </c>
      <c r="E19" s="12" t="s">
        <v>670</v>
      </c>
      <c r="F19" s="12" t="s">
        <v>670</v>
      </c>
      <c r="G19" s="12" t="s">
        <v>670</v>
      </c>
      <c r="H19" s="12" t="s">
        <v>670</v>
      </c>
      <c r="I19" s="55" t="s">
        <v>266</v>
      </c>
    </row>
    <row r="20" spans="1:9" ht="12">
      <c r="A20" s="32">
        <v>7</v>
      </c>
      <c r="B20" s="12" t="s">
        <v>670</v>
      </c>
      <c r="C20" s="12" t="s">
        <v>1786</v>
      </c>
      <c r="D20" s="12" t="s">
        <v>1784</v>
      </c>
      <c r="E20" s="12" t="s">
        <v>670</v>
      </c>
      <c r="F20" s="12" t="s">
        <v>670</v>
      </c>
      <c r="G20" s="12" t="s">
        <v>670</v>
      </c>
      <c r="H20" s="12" t="s">
        <v>670</v>
      </c>
      <c r="I20" s="55" t="s">
        <v>266</v>
      </c>
    </row>
    <row r="21" spans="1:9" ht="12">
      <c r="A21" s="32">
        <v>8</v>
      </c>
      <c r="B21" s="12" t="s">
        <v>670</v>
      </c>
      <c r="C21" s="12" t="s">
        <v>1786</v>
      </c>
      <c r="D21" s="12" t="s">
        <v>670</v>
      </c>
      <c r="E21" s="12" t="s">
        <v>670</v>
      </c>
      <c r="F21" s="12" t="s">
        <v>670</v>
      </c>
      <c r="G21" s="12" t="s">
        <v>670</v>
      </c>
      <c r="H21" s="12" t="s">
        <v>670</v>
      </c>
      <c r="I21" s="55" t="s">
        <v>266</v>
      </c>
    </row>
    <row r="22" spans="1:9" ht="12">
      <c r="A22" s="32">
        <v>9</v>
      </c>
      <c r="B22" s="12" t="s">
        <v>670</v>
      </c>
      <c r="C22" s="12" t="s">
        <v>1786</v>
      </c>
      <c r="D22" s="12" t="s">
        <v>670</v>
      </c>
      <c r="E22" s="12" t="s">
        <v>670</v>
      </c>
      <c r="F22" s="12" t="s">
        <v>670</v>
      </c>
      <c r="G22" s="12" t="s">
        <v>670</v>
      </c>
      <c r="H22" s="12" t="s">
        <v>670</v>
      </c>
      <c r="I22" s="55" t="s">
        <v>266</v>
      </c>
    </row>
    <row r="23" spans="1:9" ht="12">
      <c r="A23" s="32">
        <v>0</v>
      </c>
      <c r="B23" s="12" t="s">
        <v>670</v>
      </c>
      <c r="C23" s="12" t="s">
        <v>1786</v>
      </c>
      <c r="D23" s="12" t="s">
        <v>1777</v>
      </c>
      <c r="E23" s="12" t="s">
        <v>670</v>
      </c>
      <c r="F23" s="12" t="s">
        <v>670</v>
      </c>
      <c r="G23" s="12" t="s">
        <v>670</v>
      </c>
      <c r="H23" s="12" t="s">
        <v>670</v>
      </c>
      <c r="I23" s="55" t="s">
        <v>266</v>
      </c>
    </row>
    <row r="24" spans="1:9" s="14" customFormat="1" ht="12">
      <c r="A24" s="31" t="s">
        <v>673</v>
      </c>
      <c r="B24" s="12" t="s">
        <v>670</v>
      </c>
      <c r="C24" s="12" t="s">
        <v>1786</v>
      </c>
      <c r="D24" s="12" t="s">
        <v>670</v>
      </c>
      <c r="E24" s="12" t="s">
        <v>670</v>
      </c>
      <c r="F24" s="12" t="s">
        <v>670</v>
      </c>
      <c r="G24" s="12" t="s">
        <v>670</v>
      </c>
      <c r="H24" s="12" t="s">
        <v>670</v>
      </c>
      <c r="I24" s="55" t="s">
        <v>266</v>
      </c>
    </row>
    <row r="25" spans="1:9" s="14" customFormat="1" ht="12">
      <c r="A25" s="31" t="s">
        <v>674</v>
      </c>
      <c r="B25" s="12" t="s">
        <v>670</v>
      </c>
      <c r="C25" s="12" t="s">
        <v>670</v>
      </c>
      <c r="D25" s="12" t="s">
        <v>670</v>
      </c>
      <c r="E25" s="12" t="s">
        <v>670</v>
      </c>
      <c r="F25" s="12" t="s">
        <v>670</v>
      </c>
      <c r="G25" s="12" t="s">
        <v>670</v>
      </c>
      <c r="H25" s="12" t="s">
        <v>670</v>
      </c>
      <c r="I25" s="55" t="s">
        <v>266</v>
      </c>
    </row>
    <row r="26" spans="1:9" s="14" customFormat="1" ht="12">
      <c r="A26" s="31" t="s">
        <v>671</v>
      </c>
      <c r="B26" s="12" t="s">
        <v>670</v>
      </c>
      <c r="C26" s="12" t="s">
        <v>670</v>
      </c>
      <c r="D26" s="12" t="s">
        <v>670</v>
      </c>
      <c r="E26" s="12" t="s">
        <v>670</v>
      </c>
      <c r="F26" s="12" t="s">
        <v>670</v>
      </c>
      <c r="G26" s="12" t="s">
        <v>670</v>
      </c>
      <c r="H26" s="12" t="s">
        <v>670</v>
      </c>
      <c r="I26" s="55" t="s">
        <v>266</v>
      </c>
    </row>
    <row r="27" spans="1:9" s="14" customFormat="1" ht="12">
      <c r="A27" s="31" t="s">
        <v>672</v>
      </c>
      <c r="B27" s="12" t="s">
        <v>670</v>
      </c>
      <c r="C27" s="12" t="s">
        <v>670</v>
      </c>
      <c r="D27" s="12" t="s">
        <v>670</v>
      </c>
      <c r="E27" s="12" t="s">
        <v>670</v>
      </c>
      <c r="F27" s="12" t="s">
        <v>670</v>
      </c>
      <c r="G27" s="12" t="s">
        <v>670</v>
      </c>
      <c r="H27" s="12" t="s">
        <v>670</v>
      </c>
      <c r="I27" s="55" t="s">
        <v>266</v>
      </c>
    </row>
    <row r="28" spans="1:9" ht="12">
      <c r="A28" s="33" t="s">
        <v>599</v>
      </c>
      <c r="B28" s="12" t="s">
        <v>670</v>
      </c>
      <c r="C28" s="12" t="s">
        <v>670</v>
      </c>
      <c r="D28" s="12" t="s">
        <v>670</v>
      </c>
      <c r="E28" s="12" t="s">
        <v>670</v>
      </c>
      <c r="F28" s="12" t="s">
        <v>670</v>
      </c>
      <c r="G28" s="12" t="s">
        <v>670</v>
      </c>
      <c r="H28" s="12" t="s">
        <v>670</v>
      </c>
      <c r="I28" s="55" t="s">
        <v>266</v>
      </c>
    </row>
    <row r="29" spans="1:9" ht="12">
      <c r="A29" s="33" t="s">
        <v>600</v>
      </c>
      <c r="B29" s="12" t="s">
        <v>670</v>
      </c>
      <c r="C29" s="12" t="s">
        <v>670</v>
      </c>
      <c r="D29" s="12" t="s">
        <v>670</v>
      </c>
      <c r="E29" s="12" t="s">
        <v>670</v>
      </c>
      <c r="F29" s="12" t="s">
        <v>670</v>
      </c>
      <c r="G29" s="12" t="s">
        <v>670</v>
      </c>
      <c r="H29" s="12" t="s">
        <v>670</v>
      </c>
      <c r="I29" s="55" t="s">
        <v>266</v>
      </c>
    </row>
    <row r="30" spans="1:9" ht="12">
      <c r="A30" s="33" t="s">
        <v>587</v>
      </c>
      <c r="B30" s="12" t="s">
        <v>670</v>
      </c>
      <c r="C30" s="12" t="s">
        <v>670</v>
      </c>
      <c r="D30" s="12" t="s">
        <v>670</v>
      </c>
      <c r="E30" s="12" t="s">
        <v>670</v>
      </c>
      <c r="F30" s="12" t="s">
        <v>670</v>
      </c>
      <c r="G30" s="12" t="s">
        <v>670</v>
      </c>
      <c r="H30" s="12" t="s">
        <v>670</v>
      </c>
      <c r="I30" s="55" t="s">
        <v>266</v>
      </c>
    </row>
    <row r="31" spans="1:9" ht="12">
      <c r="A31" s="33" t="s">
        <v>589</v>
      </c>
      <c r="B31" s="12" t="s">
        <v>670</v>
      </c>
      <c r="C31" s="12" t="s">
        <v>670</v>
      </c>
      <c r="D31" s="12" t="s">
        <v>670</v>
      </c>
      <c r="E31" s="12" t="s">
        <v>670</v>
      </c>
      <c r="F31" s="12" t="s">
        <v>670</v>
      </c>
      <c r="G31" s="12" t="s">
        <v>670</v>
      </c>
      <c r="H31" s="12" t="s">
        <v>670</v>
      </c>
      <c r="I31" s="55" t="s">
        <v>266</v>
      </c>
    </row>
    <row r="32" spans="1:9" ht="12">
      <c r="A32" s="33" t="s">
        <v>592</v>
      </c>
      <c r="B32" s="12" t="s">
        <v>670</v>
      </c>
      <c r="C32" s="12" t="s">
        <v>670</v>
      </c>
      <c r="D32" s="12" t="s">
        <v>670</v>
      </c>
      <c r="E32" s="12" t="s">
        <v>670</v>
      </c>
      <c r="F32" s="12" t="s">
        <v>670</v>
      </c>
      <c r="G32" s="12" t="s">
        <v>670</v>
      </c>
      <c r="H32" s="12" t="s">
        <v>670</v>
      </c>
      <c r="I32" s="55" t="s">
        <v>266</v>
      </c>
    </row>
    <row r="33" spans="1:9" ht="12">
      <c r="A33" s="33" t="s">
        <v>596</v>
      </c>
      <c r="B33" s="12" t="s">
        <v>670</v>
      </c>
      <c r="C33" s="12" t="s">
        <v>670</v>
      </c>
      <c r="D33" s="12" t="s">
        <v>670</v>
      </c>
      <c r="E33" s="12" t="s">
        <v>670</v>
      </c>
      <c r="F33" s="12" t="s">
        <v>670</v>
      </c>
      <c r="G33" s="12" t="s">
        <v>670</v>
      </c>
      <c r="H33" s="12" t="s">
        <v>670</v>
      </c>
      <c r="I33" s="55" t="s">
        <v>266</v>
      </c>
    </row>
    <row r="34" spans="1:9" ht="12">
      <c r="A34" s="33" t="s">
        <v>669</v>
      </c>
      <c r="B34" s="12" t="s">
        <v>670</v>
      </c>
      <c r="C34" s="12" t="s">
        <v>670</v>
      </c>
      <c r="D34" s="12" t="s">
        <v>670</v>
      </c>
      <c r="E34" s="12" t="s">
        <v>670</v>
      </c>
      <c r="F34" s="12" t="s">
        <v>670</v>
      </c>
      <c r="G34" s="12" t="s">
        <v>670</v>
      </c>
      <c r="H34" s="12" t="s">
        <v>670</v>
      </c>
      <c r="I34" s="55" t="s">
        <v>266</v>
      </c>
    </row>
    <row r="35" spans="1:9" ht="12">
      <c r="A35" s="33" t="s">
        <v>601</v>
      </c>
      <c r="B35" s="12" t="s">
        <v>670</v>
      </c>
      <c r="C35" s="12" t="s">
        <v>670</v>
      </c>
      <c r="D35" s="12" t="s">
        <v>670</v>
      </c>
      <c r="E35" s="12" t="s">
        <v>670</v>
      </c>
      <c r="F35" s="12" t="s">
        <v>670</v>
      </c>
      <c r="G35" s="12" t="s">
        <v>670</v>
      </c>
      <c r="H35" s="12" t="s">
        <v>670</v>
      </c>
      <c r="I35" s="55" t="s">
        <v>266</v>
      </c>
    </row>
    <row r="36" spans="1:9" ht="12">
      <c r="A36" s="34" t="s">
        <v>915</v>
      </c>
      <c r="B36" s="12" t="s">
        <v>670</v>
      </c>
      <c r="C36" s="12" t="s">
        <v>670</v>
      </c>
      <c r="D36" s="12" t="s">
        <v>670</v>
      </c>
      <c r="E36" s="12" t="s">
        <v>670</v>
      </c>
      <c r="F36" s="12" t="s">
        <v>670</v>
      </c>
      <c r="G36" s="12" t="s">
        <v>670</v>
      </c>
      <c r="H36" s="12" t="s">
        <v>670</v>
      </c>
      <c r="I36" s="55" t="s">
        <v>266</v>
      </c>
    </row>
    <row r="37" spans="1:9" ht="12">
      <c r="A37" s="33" t="s">
        <v>917</v>
      </c>
      <c r="B37" s="12" t="s">
        <v>670</v>
      </c>
      <c r="C37" s="12" t="s">
        <v>670</v>
      </c>
      <c r="D37" s="12" t="s">
        <v>670</v>
      </c>
      <c r="E37" s="12" t="s">
        <v>670</v>
      </c>
      <c r="F37" s="12" t="s">
        <v>670</v>
      </c>
      <c r="G37" s="12" t="s">
        <v>670</v>
      </c>
      <c r="H37" s="12" t="s">
        <v>670</v>
      </c>
      <c r="I37" s="55" t="s">
        <v>266</v>
      </c>
    </row>
    <row r="38" spans="1:9" ht="12">
      <c r="A38" s="33" t="s">
        <v>919</v>
      </c>
      <c r="B38" s="12" t="s">
        <v>670</v>
      </c>
      <c r="C38" s="12" t="s">
        <v>670</v>
      </c>
      <c r="D38" s="12" t="s">
        <v>1776</v>
      </c>
      <c r="E38" s="12" t="s">
        <v>670</v>
      </c>
      <c r="F38" s="57" t="s">
        <v>1760</v>
      </c>
      <c r="G38" s="12" t="s">
        <v>670</v>
      </c>
      <c r="H38" s="12" t="s">
        <v>670</v>
      </c>
      <c r="I38" s="55" t="s">
        <v>266</v>
      </c>
    </row>
    <row r="39" spans="1:9" ht="12">
      <c r="A39" s="34" t="s">
        <v>921</v>
      </c>
      <c r="B39" s="12" t="s">
        <v>670</v>
      </c>
      <c r="C39" s="12" t="s">
        <v>670</v>
      </c>
      <c r="D39" s="12" t="s">
        <v>670</v>
      </c>
      <c r="E39" s="12" t="s">
        <v>670</v>
      </c>
      <c r="F39" s="12" t="s">
        <v>670</v>
      </c>
      <c r="G39" s="12" t="s">
        <v>670</v>
      </c>
      <c r="H39" s="12" t="s">
        <v>670</v>
      </c>
      <c r="I39" s="55" t="s">
        <v>266</v>
      </c>
    </row>
    <row r="40" spans="1:9" ht="12">
      <c r="A40" s="33" t="s">
        <v>1621</v>
      </c>
      <c r="B40" s="12" t="s">
        <v>670</v>
      </c>
      <c r="C40" s="12" t="s">
        <v>670</v>
      </c>
      <c r="D40" s="12" t="s">
        <v>1787</v>
      </c>
      <c r="E40" s="12" t="s">
        <v>670</v>
      </c>
      <c r="F40" s="12" t="s">
        <v>670</v>
      </c>
      <c r="G40" s="12" t="s">
        <v>670</v>
      </c>
      <c r="H40" s="12" t="s">
        <v>670</v>
      </c>
      <c r="I40" s="55" t="s">
        <v>266</v>
      </c>
    </row>
    <row r="41" spans="1:9" ht="12">
      <c r="A41" s="33" t="s">
        <v>1622</v>
      </c>
      <c r="B41" s="12" t="s">
        <v>670</v>
      </c>
      <c r="C41" s="12" t="s">
        <v>670</v>
      </c>
      <c r="D41" s="12" t="s">
        <v>1788</v>
      </c>
      <c r="E41" s="12" t="s">
        <v>670</v>
      </c>
      <c r="F41" s="12" t="s">
        <v>670</v>
      </c>
      <c r="G41" s="12" t="s">
        <v>670</v>
      </c>
      <c r="H41" s="12" t="s">
        <v>670</v>
      </c>
      <c r="I41" s="55" t="s">
        <v>266</v>
      </c>
    </row>
    <row r="42" spans="1:9" ht="12">
      <c r="A42" s="33" t="s">
        <v>926</v>
      </c>
      <c r="B42" s="12" t="s">
        <v>670</v>
      </c>
      <c r="C42" s="12" t="s">
        <v>670</v>
      </c>
      <c r="D42" s="12" t="s">
        <v>670</v>
      </c>
      <c r="E42" s="12" t="s">
        <v>670</v>
      </c>
      <c r="F42" s="12" t="s">
        <v>670</v>
      </c>
      <c r="G42" s="12" t="s">
        <v>670</v>
      </c>
      <c r="H42" s="12" t="s">
        <v>670</v>
      </c>
      <c r="I42" s="55" t="s">
        <v>266</v>
      </c>
    </row>
    <row r="43" spans="1:9" ht="12">
      <c r="A43" s="33" t="s">
        <v>928</v>
      </c>
      <c r="B43" s="12" t="s">
        <v>670</v>
      </c>
      <c r="C43" s="12" t="s">
        <v>670</v>
      </c>
      <c r="D43" s="12" t="s">
        <v>670</v>
      </c>
      <c r="E43" s="12" t="s">
        <v>670</v>
      </c>
      <c r="F43" s="12" t="s">
        <v>670</v>
      </c>
      <c r="G43" s="12" t="s">
        <v>670</v>
      </c>
      <c r="H43" s="12" t="s">
        <v>670</v>
      </c>
      <c r="I43" s="55" t="s">
        <v>266</v>
      </c>
    </row>
    <row r="44" spans="1:9" ht="12">
      <c r="A44" s="33" t="s">
        <v>930</v>
      </c>
      <c r="B44" s="12" t="s">
        <v>670</v>
      </c>
      <c r="C44" s="12" t="s">
        <v>670</v>
      </c>
      <c r="D44" s="12" t="s">
        <v>1791</v>
      </c>
      <c r="E44" s="12" t="s">
        <v>670</v>
      </c>
      <c r="F44" s="12" t="s">
        <v>670</v>
      </c>
      <c r="G44" s="12" t="s">
        <v>670</v>
      </c>
      <c r="H44" s="12" t="s">
        <v>670</v>
      </c>
      <c r="I44" s="55" t="s">
        <v>266</v>
      </c>
    </row>
    <row r="45" spans="1:9" ht="12">
      <c r="A45" s="33" t="s">
        <v>1266</v>
      </c>
      <c r="B45" s="12" t="s">
        <v>670</v>
      </c>
      <c r="C45" s="12" t="s">
        <v>670</v>
      </c>
      <c r="D45" s="12" t="s">
        <v>1792</v>
      </c>
      <c r="E45" s="12" t="s">
        <v>670</v>
      </c>
      <c r="F45" s="12" t="s">
        <v>670</v>
      </c>
      <c r="G45" s="12" t="s">
        <v>670</v>
      </c>
      <c r="H45" s="12" t="s">
        <v>670</v>
      </c>
      <c r="I45" s="55" t="s">
        <v>266</v>
      </c>
    </row>
    <row r="46" spans="1:9" ht="12">
      <c r="A46" s="33" t="s">
        <v>934</v>
      </c>
      <c r="B46" s="12" t="s">
        <v>670</v>
      </c>
      <c r="C46" s="12" t="s">
        <v>670</v>
      </c>
      <c r="D46" s="12" t="s">
        <v>1790</v>
      </c>
      <c r="E46" s="12" t="s">
        <v>670</v>
      </c>
      <c r="F46" s="12" t="s">
        <v>670</v>
      </c>
      <c r="G46" s="12" t="s">
        <v>670</v>
      </c>
      <c r="H46" s="12" t="s">
        <v>670</v>
      </c>
      <c r="I46" s="55" t="s">
        <v>266</v>
      </c>
    </row>
    <row r="47" spans="1:9" ht="12">
      <c r="A47" s="33" t="s">
        <v>936</v>
      </c>
      <c r="B47" s="12" t="s">
        <v>670</v>
      </c>
      <c r="C47" s="12" t="s">
        <v>670</v>
      </c>
      <c r="D47" s="12" t="s">
        <v>670</v>
      </c>
      <c r="E47" s="12" t="s">
        <v>670</v>
      </c>
      <c r="F47" s="12" t="s">
        <v>670</v>
      </c>
      <c r="G47" s="12" t="s">
        <v>670</v>
      </c>
      <c r="H47" s="12" t="s">
        <v>670</v>
      </c>
      <c r="I47" s="55" t="s">
        <v>266</v>
      </c>
    </row>
    <row r="48" spans="1:9" ht="12">
      <c r="A48" s="33" t="s">
        <v>667</v>
      </c>
      <c r="B48" s="12" t="s">
        <v>670</v>
      </c>
      <c r="C48" s="12" t="s">
        <v>670</v>
      </c>
      <c r="D48" s="12" t="s">
        <v>670</v>
      </c>
      <c r="E48" s="12" t="s">
        <v>670</v>
      </c>
      <c r="F48" s="12" t="s">
        <v>670</v>
      </c>
      <c r="G48" s="12" t="s">
        <v>670</v>
      </c>
      <c r="H48" s="12" t="s">
        <v>670</v>
      </c>
      <c r="I48" s="55" t="s">
        <v>266</v>
      </c>
    </row>
    <row r="49" spans="1:9" ht="12">
      <c r="A49" s="33" t="s">
        <v>607</v>
      </c>
      <c r="B49" s="12" t="s">
        <v>670</v>
      </c>
      <c r="C49" s="12" t="s">
        <v>670</v>
      </c>
      <c r="D49" s="12" t="s">
        <v>670</v>
      </c>
      <c r="E49" s="12" t="s">
        <v>670</v>
      </c>
      <c r="F49" s="12" t="s">
        <v>670</v>
      </c>
      <c r="G49" s="12" t="s">
        <v>670</v>
      </c>
      <c r="H49" s="12" t="s">
        <v>670</v>
      </c>
      <c r="I49" s="55" t="s">
        <v>266</v>
      </c>
    </row>
    <row r="50" spans="1:9" ht="12">
      <c r="A50" s="33" t="s">
        <v>609</v>
      </c>
      <c r="B50" s="12" t="s">
        <v>670</v>
      </c>
      <c r="C50" s="12" t="s">
        <v>670</v>
      </c>
      <c r="D50" s="12" t="s">
        <v>670</v>
      </c>
      <c r="E50" s="12" t="s">
        <v>670</v>
      </c>
      <c r="F50" s="12" t="s">
        <v>670</v>
      </c>
      <c r="G50" s="12" t="s">
        <v>670</v>
      </c>
      <c r="H50" s="12" t="s">
        <v>670</v>
      </c>
      <c r="I50" s="55" t="s">
        <v>266</v>
      </c>
    </row>
    <row r="51" spans="1:9" ht="12">
      <c r="A51" s="33" t="s">
        <v>610</v>
      </c>
      <c r="B51" s="12" t="s">
        <v>670</v>
      </c>
      <c r="C51" s="12" t="s">
        <v>670</v>
      </c>
      <c r="D51" s="12" t="s">
        <v>670</v>
      </c>
      <c r="E51" s="12" t="s">
        <v>670</v>
      </c>
      <c r="F51" s="12" t="s">
        <v>670</v>
      </c>
      <c r="G51" s="12" t="s">
        <v>670</v>
      </c>
      <c r="H51" s="12" t="s">
        <v>670</v>
      </c>
      <c r="I51" s="55" t="s">
        <v>266</v>
      </c>
    </row>
    <row r="52" spans="1:9" ht="12">
      <c r="A52" s="33" t="s">
        <v>611</v>
      </c>
      <c r="B52" s="12" t="s">
        <v>670</v>
      </c>
      <c r="C52" s="12" t="s">
        <v>670</v>
      </c>
      <c r="D52" s="12" t="s">
        <v>670</v>
      </c>
      <c r="E52" s="12" t="s">
        <v>670</v>
      </c>
      <c r="F52" s="12" t="s">
        <v>670</v>
      </c>
      <c r="G52" s="12" t="s">
        <v>670</v>
      </c>
      <c r="H52" s="12" t="s">
        <v>670</v>
      </c>
      <c r="I52" s="55" t="s">
        <v>266</v>
      </c>
    </row>
    <row r="53" spans="1:9" ht="12">
      <c r="A53" s="33" t="s">
        <v>946</v>
      </c>
      <c r="B53" s="12" t="s">
        <v>670</v>
      </c>
      <c r="C53" s="12" t="s">
        <v>670</v>
      </c>
      <c r="D53" s="12" t="s">
        <v>670</v>
      </c>
      <c r="E53" s="12" t="s">
        <v>670</v>
      </c>
      <c r="F53" s="12" t="s">
        <v>670</v>
      </c>
      <c r="G53" s="12" t="s">
        <v>670</v>
      </c>
      <c r="H53" s="12" t="s">
        <v>670</v>
      </c>
      <c r="I53" s="55" t="s">
        <v>266</v>
      </c>
    </row>
    <row r="54" spans="1:9" ht="12">
      <c r="A54" s="33" t="s">
        <v>612</v>
      </c>
      <c r="B54" s="12" t="s">
        <v>670</v>
      </c>
      <c r="C54" s="12" t="s">
        <v>670</v>
      </c>
      <c r="D54" s="12" t="s">
        <v>670</v>
      </c>
      <c r="E54" s="12" t="s">
        <v>670</v>
      </c>
      <c r="F54" s="12" t="s">
        <v>670</v>
      </c>
      <c r="G54" s="12" t="s">
        <v>670</v>
      </c>
      <c r="H54" s="12" t="s">
        <v>670</v>
      </c>
      <c r="I54" s="55" t="s">
        <v>266</v>
      </c>
    </row>
    <row r="55" spans="1:9" ht="12">
      <c r="A55" s="33" t="s">
        <v>613</v>
      </c>
      <c r="B55" s="12" t="s">
        <v>670</v>
      </c>
      <c r="C55" s="12" t="s">
        <v>670</v>
      </c>
      <c r="D55" s="12" t="s">
        <v>670</v>
      </c>
      <c r="E55" s="12" t="s">
        <v>670</v>
      </c>
      <c r="F55" s="12" t="s">
        <v>670</v>
      </c>
      <c r="G55" s="12" t="s">
        <v>670</v>
      </c>
      <c r="H55" s="12" t="s">
        <v>670</v>
      </c>
      <c r="I55" s="55" t="s">
        <v>266</v>
      </c>
    </row>
    <row r="56" spans="1:9" ht="12">
      <c r="A56" s="33" t="s">
        <v>615</v>
      </c>
      <c r="B56" s="12" t="s">
        <v>670</v>
      </c>
      <c r="C56" s="12" t="s">
        <v>670</v>
      </c>
      <c r="D56" s="12" t="s">
        <v>1761</v>
      </c>
      <c r="E56" s="12" t="s">
        <v>670</v>
      </c>
      <c r="F56" s="12" t="s">
        <v>670</v>
      </c>
      <c r="G56" s="12" t="s">
        <v>670</v>
      </c>
      <c r="H56" s="12" t="s">
        <v>670</v>
      </c>
      <c r="I56" s="55" t="s">
        <v>266</v>
      </c>
    </row>
    <row r="57" spans="1:9" ht="12">
      <c r="A57" s="33" t="s">
        <v>616</v>
      </c>
      <c r="B57" s="12" t="s">
        <v>1741</v>
      </c>
      <c r="C57" s="12" t="s">
        <v>670</v>
      </c>
      <c r="D57" s="12" t="s">
        <v>1742</v>
      </c>
      <c r="E57" s="12" t="s">
        <v>670</v>
      </c>
      <c r="F57" s="12" t="s">
        <v>670</v>
      </c>
      <c r="G57" s="12" t="s">
        <v>670</v>
      </c>
      <c r="H57" s="12" t="s">
        <v>670</v>
      </c>
      <c r="I57" s="55" t="s">
        <v>266</v>
      </c>
    </row>
    <row r="58" spans="1:9" ht="12">
      <c r="A58" s="33" t="s">
        <v>168</v>
      </c>
      <c r="B58" s="12" t="s">
        <v>1774</v>
      </c>
      <c r="C58" s="12" t="s">
        <v>670</v>
      </c>
      <c r="D58" s="12" t="s">
        <v>670</v>
      </c>
      <c r="E58" s="12" t="s">
        <v>670</v>
      </c>
      <c r="F58" s="12" t="s">
        <v>670</v>
      </c>
      <c r="G58" s="12" t="s">
        <v>670</v>
      </c>
      <c r="H58" s="12" t="s">
        <v>670</v>
      </c>
      <c r="I58" s="55" t="s">
        <v>266</v>
      </c>
    </row>
    <row r="59" spans="1:9" ht="12">
      <c r="A59" s="33" t="s">
        <v>115</v>
      </c>
      <c r="B59" s="12" t="s">
        <v>670</v>
      </c>
      <c r="C59" s="12" t="s">
        <v>670</v>
      </c>
      <c r="D59" s="12" t="s">
        <v>670</v>
      </c>
      <c r="E59" s="12" t="s">
        <v>670</v>
      </c>
      <c r="F59" s="12" t="s">
        <v>670</v>
      </c>
      <c r="G59" s="12" t="s">
        <v>670</v>
      </c>
      <c r="H59" s="12" t="s">
        <v>670</v>
      </c>
      <c r="I59" s="55" t="s">
        <v>266</v>
      </c>
    </row>
    <row r="60" spans="1:9" ht="12">
      <c r="A60" s="33" t="s">
        <v>49</v>
      </c>
      <c r="B60" s="12" t="s">
        <v>670</v>
      </c>
      <c r="C60" s="12" t="s">
        <v>670</v>
      </c>
      <c r="D60" s="12" t="s">
        <v>670</v>
      </c>
      <c r="E60" s="12" t="s">
        <v>670</v>
      </c>
      <c r="F60" s="12" t="s">
        <v>670</v>
      </c>
      <c r="G60" s="12" t="s">
        <v>670</v>
      </c>
      <c r="H60" s="12" t="s">
        <v>670</v>
      </c>
      <c r="I60" s="55" t="s">
        <v>266</v>
      </c>
    </row>
    <row r="61" spans="1:9" ht="12">
      <c r="A61" s="33" t="s">
        <v>620</v>
      </c>
      <c r="B61" s="12" t="s">
        <v>670</v>
      </c>
      <c r="C61" s="12" t="s">
        <v>670</v>
      </c>
      <c r="D61" s="12" t="s">
        <v>670</v>
      </c>
      <c r="E61" s="12" t="s">
        <v>670</v>
      </c>
      <c r="F61" s="12" t="s">
        <v>670</v>
      </c>
      <c r="G61" s="12" t="s">
        <v>670</v>
      </c>
      <c r="H61" s="12" t="s">
        <v>670</v>
      </c>
      <c r="I61" s="55" t="s">
        <v>266</v>
      </c>
    </row>
    <row r="62" spans="1:9" ht="12">
      <c r="A62" s="33" t="s">
        <v>99</v>
      </c>
      <c r="B62" s="12" t="s">
        <v>670</v>
      </c>
      <c r="C62" s="12" t="s">
        <v>670</v>
      </c>
      <c r="D62" s="12" t="s">
        <v>670</v>
      </c>
      <c r="E62" s="12" t="s">
        <v>670</v>
      </c>
      <c r="F62" s="12" t="s">
        <v>670</v>
      </c>
      <c r="G62" s="12" t="s">
        <v>670</v>
      </c>
      <c r="H62" s="12" t="s">
        <v>670</v>
      </c>
      <c r="I62" s="55" t="s">
        <v>266</v>
      </c>
    </row>
    <row r="63" spans="1:9" ht="12">
      <c r="A63" s="33" t="s">
        <v>119</v>
      </c>
      <c r="B63" s="12" t="s">
        <v>670</v>
      </c>
      <c r="C63" s="12" t="s">
        <v>670</v>
      </c>
      <c r="D63" s="12" t="s">
        <v>670</v>
      </c>
      <c r="E63" s="12" t="s">
        <v>670</v>
      </c>
      <c r="F63" s="12" t="s">
        <v>670</v>
      </c>
      <c r="G63" s="12" t="s">
        <v>670</v>
      </c>
      <c r="H63" s="12" t="s">
        <v>670</v>
      </c>
      <c r="I63" s="55" t="s">
        <v>266</v>
      </c>
    </row>
    <row r="64" spans="1:9" ht="12">
      <c r="A64" s="33" t="s">
        <v>625</v>
      </c>
      <c r="B64" s="12" t="s">
        <v>670</v>
      </c>
      <c r="C64" s="12" t="s">
        <v>670</v>
      </c>
      <c r="D64" s="12" t="s">
        <v>1785</v>
      </c>
      <c r="E64" s="12" t="s">
        <v>670</v>
      </c>
      <c r="F64" s="12" t="s">
        <v>670</v>
      </c>
      <c r="G64" s="12" t="s">
        <v>670</v>
      </c>
      <c r="H64" s="12" t="s">
        <v>670</v>
      </c>
      <c r="I64" s="55" t="s">
        <v>266</v>
      </c>
    </row>
    <row r="65" spans="1:9" ht="12">
      <c r="A65" s="33" t="s">
        <v>626</v>
      </c>
      <c r="B65" s="12" t="s">
        <v>670</v>
      </c>
      <c r="C65" s="12" t="s">
        <v>670</v>
      </c>
      <c r="D65" s="12" t="s">
        <v>1762</v>
      </c>
      <c r="E65" s="12" t="s">
        <v>670</v>
      </c>
      <c r="F65" s="12" t="s">
        <v>670</v>
      </c>
      <c r="G65" s="12" t="s">
        <v>670</v>
      </c>
      <c r="H65" s="12" t="s">
        <v>670</v>
      </c>
      <c r="I65" s="55" t="s">
        <v>266</v>
      </c>
    </row>
    <row r="66" spans="1:9" ht="12">
      <c r="A66" s="33" t="s">
        <v>121</v>
      </c>
      <c r="B66" s="12" t="s">
        <v>670</v>
      </c>
      <c r="C66" s="12" t="s">
        <v>670</v>
      </c>
      <c r="D66" s="12" t="s">
        <v>1789</v>
      </c>
      <c r="E66" s="12" t="s">
        <v>670</v>
      </c>
      <c r="F66" s="12" t="s">
        <v>670</v>
      </c>
      <c r="G66" s="12" t="s">
        <v>670</v>
      </c>
      <c r="H66" s="12" t="s">
        <v>670</v>
      </c>
      <c r="I66" s="55" t="s">
        <v>266</v>
      </c>
    </row>
    <row r="67" spans="1:9" ht="12">
      <c r="A67" s="33" t="s">
        <v>629</v>
      </c>
      <c r="B67" s="12" t="s">
        <v>670</v>
      </c>
      <c r="C67" s="12" t="s">
        <v>670</v>
      </c>
      <c r="D67" s="12" t="s">
        <v>670</v>
      </c>
      <c r="E67" s="12" t="s">
        <v>670</v>
      </c>
      <c r="F67" s="12" t="s">
        <v>670</v>
      </c>
      <c r="G67" s="12" t="s">
        <v>670</v>
      </c>
      <c r="H67" s="12" t="s">
        <v>670</v>
      </c>
      <c r="I67" s="55" t="s">
        <v>266</v>
      </c>
    </row>
    <row r="68" spans="1:9" s="15" customFormat="1" ht="12">
      <c r="A68" s="33" t="s">
        <v>50</v>
      </c>
      <c r="B68" s="12" t="s">
        <v>670</v>
      </c>
      <c r="C68" s="12" t="s">
        <v>670</v>
      </c>
      <c r="D68" s="12" t="s">
        <v>670</v>
      </c>
      <c r="E68" s="12" t="s">
        <v>670</v>
      </c>
      <c r="F68" s="12" t="s">
        <v>670</v>
      </c>
      <c r="G68" s="12" t="s">
        <v>670</v>
      </c>
      <c r="H68" s="12" t="s">
        <v>670</v>
      </c>
      <c r="I68" s="55" t="s">
        <v>266</v>
      </c>
    </row>
    <row r="69" spans="1:9" s="15" customFormat="1" ht="12">
      <c r="A69" s="33" t="s">
        <v>124</v>
      </c>
      <c r="B69" s="12" t="s">
        <v>670</v>
      </c>
      <c r="C69" s="12" t="s">
        <v>670</v>
      </c>
      <c r="D69" s="12" t="s">
        <v>670</v>
      </c>
      <c r="E69" s="12" t="s">
        <v>670</v>
      </c>
      <c r="F69" s="12" t="s">
        <v>670</v>
      </c>
      <c r="G69" s="12" t="s">
        <v>670</v>
      </c>
      <c r="H69" s="12" t="s">
        <v>670</v>
      </c>
      <c r="I69" s="55" t="s">
        <v>266</v>
      </c>
    </row>
    <row r="70" spans="1:9" ht="12">
      <c r="A70" s="33" t="s">
        <v>51</v>
      </c>
      <c r="B70" s="12" t="s">
        <v>670</v>
      </c>
      <c r="C70" s="12" t="s">
        <v>670</v>
      </c>
      <c r="D70" s="12" t="s">
        <v>670</v>
      </c>
      <c r="E70" s="12" t="s">
        <v>670</v>
      </c>
      <c r="F70" s="12" t="s">
        <v>670</v>
      </c>
      <c r="G70" s="12" t="s">
        <v>670</v>
      </c>
      <c r="H70" s="12" t="s">
        <v>670</v>
      </c>
      <c r="I70" s="55" t="s">
        <v>266</v>
      </c>
    </row>
    <row r="71" spans="1:9" ht="12">
      <c r="A71" s="33" t="s">
        <v>636</v>
      </c>
      <c r="B71" s="12" t="s">
        <v>670</v>
      </c>
      <c r="C71" s="12" t="s">
        <v>670</v>
      </c>
      <c r="D71" s="12" t="s">
        <v>1759</v>
      </c>
      <c r="E71" s="12" t="s">
        <v>670</v>
      </c>
      <c r="F71" s="12" t="s">
        <v>670</v>
      </c>
      <c r="G71" s="12" t="s">
        <v>670</v>
      </c>
      <c r="H71" s="12" t="s">
        <v>670</v>
      </c>
      <c r="I71" s="55" t="s">
        <v>266</v>
      </c>
    </row>
    <row r="72" spans="1:9" ht="12">
      <c r="A72" s="33" t="s">
        <v>48</v>
      </c>
      <c r="B72" s="12" t="s">
        <v>670</v>
      </c>
      <c r="C72" s="12" t="s">
        <v>670</v>
      </c>
      <c r="D72" s="12" t="s">
        <v>670</v>
      </c>
      <c r="E72" s="12" t="s">
        <v>670</v>
      </c>
      <c r="F72" s="12" t="s">
        <v>670</v>
      </c>
      <c r="G72" s="12" t="s">
        <v>670</v>
      </c>
      <c r="H72" s="12" t="s">
        <v>670</v>
      </c>
      <c r="I72" s="55" t="s">
        <v>266</v>
      </c>
    </row>
    <row r="73" spans="1:9" ht="12">
      <c r="A73" s="33" t="s">
        <v>638</v>
      </c>
      <c r="B73" s="12" t="s">
        <v>1773</v>
      </c>
      <c r="C73" s="12" t="s">
        <v>670</v>
      </c>
      <c r="D73" s="12" t="s">
        <v>1736</v>
      </c>
      <c r="E73" s="12" t="s">
        <v>670</v>
      </c>
      <c r="F73" s="12" t="s">
        <v>670</v>
      </c>
      <c r="G73" s="12" t="s">
        <v>670</v>
      </c>
      <c r="H73" s="12" t="s">
        <v>670</v>
      </c>
      <c r="I73" s="55" t="s">
        <v>266</v>
      </c>
    </row>
    <row r="74" spans="1:9" ht="12">
      <c r="A74" s="33" t="s">
        <v>640</v>
      </c>
      <c r="B74" s="12" t="s">
        <v>670</v>
      </c>
      <c r="C74" s="12" t="s">
        <v>670</v>
      </c>
      <c r="D74" s="12" t="s">
        <v>1793</v>
      </c>
      <c r="E74" s="12" t="s">
        <v>670</v>
      </c>
      <c r="F74" s="12" t="s">
        <v>670</v>
      </c>
      <c r="G74" s="12" t="s">
        <v>670</v>
      </c>
      <c r="H74" s="12" t="s">
        <v>670</v>
      </c>
      <c r="I74" s="55" t="s">
        <v>266</v>
      </c>
    </row>
    <row r="75" spans="1:9" ht="12">
      <c r="A75" s="33" t="s">
        <v>641</v>
      </c>
      <c r="B75" s="12" t="s">
        <v>670</v>
      </c>
      <c r="C75" s="12" t="s">
        <v>670</v>
      </c>
      <c r="D75" s="12" t="s">
        <v>1743</v>
      </c>
      <c r="E75" s="12" t="s">
        <v>670</v>
      </c>
      <c r="F75" s="12" t="s">
        <v>670</v>
      </c>
      <c r="G75" s="12" t="s">
        <v>670</v>
      </c>
      <c r="H75" s="12" t="s">
        <v>670</v>
      </c>
      <c r="I75" s="55" t="s">
        <v>266</v>
      </c>
    </row>
    <row r="76" spans="1:9" ht="12">
      <c r="A76" s="33" t="s">
        <v>642</v>
      </c>
      <c r="B76" s="12" t="s">
        <v>670</v>
      </c>
      <c r="C76" s="12" t="s">
        <v>670</v>
      </c>
      <c r="D76" s="12" t="s">
        <v>670</v>
      </c>
      <c r="E76" s="12" t="s">
        <v>670</v>
      </c>
      <c r="F76" s="12" t="s">
        <v>670</v>
      </c>
      <c r="G76" s="12" t="s">
        <v>670</v>
      </c>
      <c r="H76" s="12" t="s">
        <v>670</v>
      </c>
      <c r="I76" s="55" t="s">
        <v>266</v>
      </c>
    </row>
    <row r="77" spans="1:9" ht="12">
      <c r="A77" s="33" t="s">
        <v>128</v>
      </c>
      <c r="B77" s="12" t="s">
        <v>670</v>
      </c>
      <c r="C77" s="12" t="s">
        <v>670</v>
      </c>
      <c r="D77" s="12" t="s">
        <v>1771</v>
      </c>
      <c r="E77" s="12" t="s">
        <v>670</v>
      </c>
      <c r="F77" s="12" t="s">
        <v>670</v>
      </c>
      <c r="G77" s="12" t="s">
        <v>670</v>
      </c>
      <c r="H77" s="12" t="s">
        <v>670</v>
      </c>
      <c r="I77" s="55" t="s">
        <v>266</v>
      </c>
    </row>
    <row r="78" spans="1:9" ht="12">
      <c r="A78" s="33" t="s">
        <v>645</v>
      </c>
      <c r="B78" s="12" t="s">
        <v>670</v>
      </c>
      <c r="C78" s="12" t="s">
        <v>670</v>
      </c>
      <c r="D78" s="12" t="s">
        <v>670</v>
      </c>
      <c r="E78" s="12" t="s">
        <v>670</v>
      </c>
      <c r="F78" s="12" t="s">
        <v>670</v>
      </c>
      <c r="G78" s="12" t="s">
        <v>670</v>
      </c>
      <c r="H78" s="12" t="s">
        <v>670</v>
      </c>
      <c r="I78" s="55" t="s">
        <v>266</v>
      </c>
    </row>
    <row r="79" spans="1:9" ht="12">
      <c r="A79" s="33" t="s">
        <v>648</v>
      </c>
      <c r="B79" s="12" t="s">
        <v>670</v>
      </c>
      <c r="C79" s="12" t="s">
        <v>670</v>
      </c>
      <c r="D79" s="12" t="s">
        <v>670</v>
      </c>
      <c r="E79" s="12" t="s">
        <v>670</v>
      </c>
      <c r="F79" s="12" t="s">
        <v>670</v>
      </c>
      <c r="G79" s="12" t="s">
        <v>670</v>
      </c>
      <c r="H79" s="12" t="s">
        <v>670</v>
      </c>
      <c r="I79" s="55" t="s">
        <v>266</v>
      </c>
    </row>
    <row r="80" spans="1:9" ht="12">
      <c r="A80" s="33" t="s">
        <v>650</v>
      </c>
      <c r="B80" s="12" t="s">
        <v>670</v>
      </c>
      <c r="C80" s="12" t="s">
        <v>670</v>
      </c>
      <c r="D80" s="12" t="s">
        <v>670</v>
      </c>
      <c r="E80" s="12" t="s">
        <v>670</v>
      </c>
      <c r="F80" s="12" t="s">
        <v>670</v>
      </c>
      <c r="G80" s="12" t="s">
        <v>670</v>
      </c>
      <c r="H80" s="12" t="s">
        <v>670</v>
      </c>
      <c r="I80" s="55" t="s">
        <v>266</v>
      </c>
    </row>
    <row r="81" spans="1:9" ht="12">
      <c r="A81" s="33" t="s">
        <v>668</v>
      </c>
      <c r="B81" s="12" t="s">
        <v>670</v>
      </c>
      <c r="C81" s="12" t="s">
        <v>670</v>
      </c>
      <c r="D81" s="12" t="s">
        <v>670</v>
      </c>
      <c r="E81" s="12" t="s">
        <v>670</v>
      </c>
      <c r="F81" s="12" t="s">
        <v>670</v>
      </c>
      <c r="G81" s="12" t="s">
        <v>670</v>
      </c>
      <c r="H81" s="12" t="s">
        <v>670</v>
      </c>
      <c r="I81" s="55" t="s">
        <v>266</v>
      </c>
    </row>
    <row r="82" spans="1:9" ht="12">
      <c r="A82" s="33" t="s">
        <v>947</v>
      </c>
      <c r="B82" s="12" t="s">
        <v>670</v>
      </c>
      <c r="C82" s="12" t="s">
        <v>670</v>
      </c>
      <c r="D82" s="12" t="s">
        <v>670</v>
      </c>
      <c r="E82" s="12" t="s">
        <v>670</v>
      </c>
      <c r="F82" s="12" t="s">
        <v>670</v>
      </c>
      <c r="G82" s="12" t="s">
        <v>670</v>
      </c>
      <c r="H82" s="12" t="s">
        <v>670</v>
      </c>
      <c r="I82" s="55" t="s">
        <v>266</v>
      </c>
    </row>
    <row r="83" spans="1:9" ht="12">
      <c r="A83" s="33" t="s">
        <v>948</v>
      </c>
      <c r="B83" s="12" t="s">
        <v>670</v>
      </c>
      <c r="C83" s="12" t="s">
        <v>670</v>
      </c>
      <c r="D83" s="12" t="s">
        <v>670</v>
      </c>
      <c r="E83" s="12" t="s">
        <v>670</v>
      </c>
      <c r="F83" s="12" t="s">
        <v>670</v>
      </c>
      <c r="G83" s="12" t="s">
        <v>670</v>
      </c>
      <c r="H83" s="12" t="s">
        <v>670</v>
      </c>
      <c r="I83" s="55" t="s">
        <v>266</v>
      </c>
    </row>
    <row r="84" spans="1:9" ht="12">
      <c r="A84" s="33" t="s">
        <v>950</v>
      </c>
      <c r="B84" s="12" t="s">
        <v>670</v>
      </c>
      <c r="C84" s="12" t="s">
        <v>670</v>
      </c>
      <c r="D84" s="12" t="s">
        <v>670</v>
      </c>
      <c r="E84" s="12" t="s">
        <v>670</v>
      </c>
      <c r="F84" s="12" t="s">
        <v>670</v>
      </c>
      <c r="G84" s="12" t="s">
        <v>670</v>
      </c>
      <c r="H84" s="12" t="s">
        <v>670</v>
      </c>
      <c r="I84" s="55" t="s">
        <v>266</v>
      </c>
    </row>
    <row r="85" spans="1:9" ht="12">
      <c r="A85" s="33" t="s">
        <v>656</v>
      </c>
      <c r="B85" s="12" t="s">
        <v>670</v>
      </c>
      <c r="C85" s="12" t="s">
        <v>670</v>
      </c>
      <c r="D85" s="12" t="s">
        <v>670</v>
      </c>
      <c r="E85" s="12" t="s">
        <v>670</v>
      </c>
      <c r="F85" s="12" t="s">
        <v>670</v>
      </c>
      <c r="G85" s="12" t="s">
        <v>670</v>
      </c>
      <c r="H85" s="12" t="s">
        <v>670</v>
      </c>
      <c r="I85" s="55" t="s">
        <v>266</v>
      </c>
    </row>
    <row r="86" spans="1:9" ht="12">
      <c r="A86" s="33" t="s">
        <v>949</v>
      </c>
      <c r="B86" s="12" t="s">
        <v>670</v>
      </c>
      <c r="C86" s="12" t="s">
        <v>670</v>
      </c>
      <c r="D86" s="12" t="s">
        <v>670</v>
      </c>
      <c r="E86" s="12" t="s">
        <v>670</v>
      </c>
      <c r="F86" s="12" t="s">
        <v>670</v>
      </c>
      <c r="G86" s="12" t="s">
        <v>670</v>
      </c>
      <c r="H86" s="12" t="s">
        <v>670</v>
      </c>
      <c r="I86" s="55" t="s">
        <v>266</v>
      </c>
    </row>
    <row r="87" spans="1:9" s="16" customFormat="1" ht="12">
      <c r="A87" s="33" t="s">
        <v>951</v>
      </c>
      <c r="B87" s="12" t="s">
        <v>670</v>
      </c>
      <c r="C87" s="12" t="s">
        <v>670</v>
      </c>
      <c r="D87" s="12" t="s">
        <v>670</v>
      </c>
      <c r="E87" s="12" t="s">
        <v>670</v>
      </c>
      <c r="F87" s="12" t="s">
        <v>670</v>
      </c>
      <c r="G87" s="12" t="s">
        <v>670</v>
      </c>
      <c r="H87" s="12" t="s">
        <v>670</v>
      </c>
      <c r="I87" s="55" t="s">
        <v>266</v>
      </c>
    </row>
    <row r="88" spans="1:9" ht="12">
      <c r="A88" s="33" t="s">
        <v>952</v>
      </c>
      <c r="B88" s="12" t="s">
        <v>670</v>
      </c>
      <c r="C88" s="12" t="s">
        <v>670</v>
      </c>
      <c r="D88" s="12" t="s">
        <v>670</v>
      </c>
      <c r="E88" s="12" t="s">
        <v>670</v>
      </c>
      <c r="F88" s="12" t="s">
        <v>670</v>
      </c>
      <c r="G88" s="12" t="s">
        <v>670</v>
      </c>
      <c r="H88" s="12" t="s">
        <v>670</v>
      </c>
      <c r="I88" s="55" t="s">
        <v>266</v>
      </c>
    </row>
    <row r="89" spans="1:9" ht="12">
      <c r="A89" s="33" t="s">
        <v>658</v>
      </c>
      <c r="B89" s="12" t="s">
        <v>670</v>
      </c>
      <c r="C89" s="12" t="s">
        <v>670</v>
      </c>
      <c r="D89" s="12" t="s">
        <v>670</v>
      </c>
      <c r="E89" s="12" t="s">
        <v>670</v>
      </c>
      <c r="F89" s="12" t="s">
        <v>670</v>
      </c>
      <c r="G89" s="12" t="s">
        <v>670</v>
      </c>
      <c r="H89" s="12" t="s">
        <v>670</v>
      </c>
      <c r="I89" s="55" t="s">
        <v>266</v>
      </c>
    </row>
    <row r="90" spans="1:9" ht="12">
      <c r="A90" s="33" t="s">
        <v>660</v>
      </c>
      <c r="B90" s="12" t="s">
        <v>670</v>
      </c>
      <c r="C90" s="12" t="s">
        <v>670</v>
      </c>
      <c r="D90" s="12" t="s">
        <v>670</v>
      </c>
      <c r="E90" s="12" t="s">
        <v>670</v>
      </c>
      <c r="F90" s="12" t="s">
        <v>670</v>
      </c>
      <c r="G90" s="12" t="s">
        <v>670</v>
      </c>
      <c r="H90" s="12" t="s">
        <v>670</v>
      </c>
      <c r="I90" s="55" t="s">
        <v>266</v>
      </c>
    </row>
    <row r="91" spans="1:9" ht="12">
      <c r="A91" s="33" t="s">
        <v>1644</v>
      </c>
      <c r="B91" s="12" t="s">
        <v>670</v>
      </c>
      <c r="C91" s="12" t="s">
        <v>670</v>
      </c>
      <c r="D91" s="12" t="s">
        <v>670</v>
      </c>
      <c r="E91" s="12" t="s">
        <v>670</v>
      </c>
      <c r="F91" s="12" t="s">
        <v>670</v>
      </c>
      <c r="G91" s="12" t="s">
        <v>670</v>
      </c>
      <c r="H91" s="12" t="s">
        <v>670</v>
      </c>
      <c r="I91" s="55" t="s">
        <v>266</v>
      </c>
    </row>
    <row r="92" spans="1:9" ht="12">
      <c r="A92" s="32" t="s">
        <v>1645</v>
      </c>
      <c r="B92" s="12" t="s">
        <v>670</v>
      </c>
      <c r="C92" s="12" t="s">
        <v>670</v>
      </c>
      <c r="D92" s="12" t="s">
        <v>670</v>
      </c>
      <c r="E92" s="12" t="s">
        <v>670</v>
      </c>
      <c r="F92" s="12" t="s">
        <v>670</v>
      </c>
      <c r="G92" s="12" t="s">
        <v>670</v>
      </c>
      <c r="H92" s="12" t="s">
        <v>670</v>
      </c>
      <c r="I92" s="55" t="s">
        <v>266</v>
      </c>
    </row>
    <row r="93" spans="1:9" ht="12">
      <c r="A93" s="32" t="s">
        <v>1646</v>
      </c>
      <c r="B93" s="12" t="s">
        <v>670</v>
      </c>
      <c r="C93" s="12" t="s">
        <v>670</v>
      </c>
      <c r="D93" s="12" t="s">
        <v>670</v>
      </c>
      <c r="E93" s="12" t="s">
        <v>670</v>
      </c>
      <c r="F93" s="12" t="s">
        <v>670</v>
      </c>
      <c r="G93" s="12" t="s">
        <v>670</v>
      </c>
      <c r="H93" s="12" t="s">
        <v>670</v>
      </c>
      <c r="I93" s="55" t="s">
        <v>266</v>
      </c>
    </row>
    <row r="94" spans="1:9" ht="12">
      <c r="A94" s="32" t="s">
        <v>1647</v>
      </c>
      <c r="B94" s="12" t="s">
        <v>670</v>
      </c>
      <c r="C94" s="12" t="s">
        <v>670</v>
      </c>
      <c r="D94" s="12" t="s">
        <v>670</v>
      </c>
      <c r="E94" s="12" t="s">
        <v>670</v>
      </c>
      <c r="F94" s="12" t="s">
        <v>670</v>
      </c>
      <c r="G94" s="12" t="s">
        <v>670</v>
      </c>
      <c r="H94" s="12" t="s">
        <v>670</v>
      </c>
      <c r="I94" s="55" t="s">
        <v>266</v>
      </c>
    </row>
    <row r="95" spans="1:9" ht="12">
      <c r="A95" s="32" t="s">
        <v>1648</v>
      </c>
      <c r="B95" s="12" t="s">
        <v>670</v>
      </c>
      <c r="C95" s="12" t="s">
        <v>670</v>
      </c>
      <c r="D95" s="12" t="s">
        <v>670</v>
      </c>
      <c r="E95" s="12" t="s">
        <v>670</v>
      </c>
      <c r="F95" s="12" t="s">
        <v>670</v>
      </c>
      <c r="G95" s="12" t="s">
        <v>670</v>
      </c>
      <c r="H95" s="12" t="s">
        <v>670</v>
      </c>
      <c r="I95" s="55" t="s">
        <v>266</v>
      </c>
    </row>
    <row r="96" spans="1:9" ht="12">
      <c r="A96" s="32" t="s">
        <v>1649</v>
      </c>
      <c r="B96" s="12" t="s">
        <v>670</v>
      </c>
      <c r="C96" s="12" t="s">
        <v>670</v>
      </c>
      <c r="D96" s="12" t="s">
        <v>670</v>
      </c>
      <c r="E96" s="12" t="s">
        <v>670</v>
      </c>
      <c r="F96" s="12" t="s">
        <v>670</v>
      </c>
      <c r="G96" s="12" t="s">
        <v>670</v>
      </c>
      <c r="H96" s="12" t="s">
        <v>670</v>
      </c>
      <c r="I96" s="55" t="s">
        <v>266</v>
      </c>
    </row>
    <row r="97" spans="1:9" ht="12">
      <c r="A97" s="32" t="s">
        <v>1650</v>
      </c>
      <c r="B97" s="12" t="s">
        <v>670</v>
      </c>
      <c r="C97" s="12" t="s">
        <v>670</v>
      </c>
      <c r="D97" s="12" t="s">
        <v>670</v>
      </c>
      <c r="E97" s="12" t="s">
        <v>670</v>
      </c>
      <c r="F97" s="12" t="s">
        <v>670</v>
      </c>
      <c r="G97" s="12" t="s">
        <v>670</v>
      </c>
      <c r="H97" s="12" t="s">
        <v>670</v>
      </c>
      <c r="I97" s="55" t="s">
        <v>266</v>
      </c>
    </row>
    <row r="98" spans="1:9" ht="12">
      <c r="A98" s="32" t="s">
        <v>1651</v>
      </c>
      <c r="B98" s="12" t="s">
        <v>670</v>
      </c>
      <c r="C98" s="12" t="s">
        <v>670</v>
      </c>
      <c r="D98" s="12" t="s">
        <v>670</v>
      </c>
      <c r="E98" s="12" t="s">
        <v>670</v>
      </c>
      <c r="F98" s="12" t="s">
        <v>670</v>
      </c>
      <c r="G98" s="12" t="s">
        <v>670</v>
      </c>
      <c r="H98" s="12" t="s">
        <v>670</v>
      </c>
      <c r="I98" s="55" t="s">
        <v>266</v>
      </c>
    </row>
    <row r="99" spans="1:9" ht="12">
      <c r="A99" s="32" t="s">
        <v>1652</v>
      </c>
      <c r="B99" s="12" t="s">
        <v>670</v>
      </c>
      <c r="C99" s="12" t="s">
        <v>670</v>
      </c>
      <c r="D99" s="12" t="s">
        <v>670</v>
      </c>
      <c r="E99" s="12" t="s">
        <v>670</v>
      </c>
      <c r="F99" s="12" t="s">
        <v>670</v>
      </c>
      <c r="G99" s="12" t="s">
        <v>670</v>
      </c>
      <c r="H99" s="12" t="s">
        <v>670</v>
      </c>
      <c r="I99" s="55" t="s">
        <v>266</v>
      </c>
    </row>
    <row r="100" spans="1:9" ht="12">
      <c r="A100" s="32" t="s">
        <v>1653</v>
      </c>
      <c r="B100" s="12" t="s">
        <v>670</v>
      </c>
      <c r="C100" s="12" t="s">
        <v>670</v>
      </c>
      <c r="D100" s="12" t="s">
        <v>670</v>
      </c>
      <c r="E100" s="12" t="s">
        <v>670</v>
      </c>
      <c r="F100" s="12" t="s">
        <v>670</v>
      </c>
      <c r="G100" s="12" t="s">
        <v>670</v>
      </c>
      <c r="H100" s="12" t="s">
        <v>670</v>
      </c>
      <c r="I100" s="55" t="s">
        <v>266</v>
      </c>
    </row>
    <row r="101" spans="1:9" ht="12">
      <c r="A101" s="32" t="s">
        <v>1654</v>
      </c>
      <c r="B101" s="12" t="s">
        <v>670</v>
      </c>
      <c r="C101" s="12" t="s">
        <v>670</v>
      </c>
      <c r="D101" s="12" t="s">
        <v>670</v>
      </c>
      <c r="E101" s="12" t="s">
        <v>670</v>
      </c>
      <c r="F101" s="12" t="s">
        <v>670</v>
      </c>
      <c r="G101" s="12" t="s">
        <v>670</v>
      </c>
      <c r="H101" s="12" t="s">
        <v>670</v>
      </c>
      <c r="I101" s="55" t="s">
        <v>266</v>
      </c>
    </row>
    <row r="102" spans="1:9" ht="12">
      <c r="A102" s="33" t="s">
        <v>1655</v>
      </c>
      <c r="B102" s="12" t="s">
        <v>670</v>
      </c>
      <c r="C102" s="12" t="s">
        <v>670</v>
      </c>
      <c r="D102" s="12" t="s">
        <v>670</v>
      </c>
      <c r="E102" s="12" t="s">
        <v>670</v>
      </c>
      <c r="F102" s="12" t="s">
        <v>670</v>
      </c>
      <c r="G102" s="12" t="s">
        <v>670</v>
      </c>
      <c r="H102" s="12" t="s">
        <v>670</v>
      </c>
      <c r="I102" s="55" t="s">
        <v>266</v>
      </c>
    </row>
    <row r="103" spans="1:9" ht="12">
      <c r="A103" s="34" t="s">
        <v>1656</v>
      </c>
      <c r="B103" s="12" t="s">
        <v>670</v>
      </c>
      <c r="C103" s="12" t="s">
        <v>670</v>
      </c>
      <c r="D103" s="12" t="s">
        <v>670</v>
      </c>
      <c r="E103" s="12" t="s">
        <v>670</v>
      </c>
      <c r="F103" s="12" t="s">
        <v>670</v>
      </c>
      <c r="G103" s="12" t="s">
        <v>670</v>
      </c>
      <c r="H103" s="12" t="s">
        <v>670</v>
      </c>
      <c r="I103" s="55" t="s">
        <v>266</v>
      </c>
    </row>
    <row r="104" spans="1:9" ht="12">
      <c r="A104" s="33" t="s">
        <v>1657</v>
      </c>
      <c r="B104" s="12" t="s">
        <v>670</v>
      </c>
      <c r="C104" s="12" t="s">
        <v>670</v>
      </c>
      <c r="D104" s="12" t="s">
        <v>670</v>
      </c>
      <c r="E104" s="12" t="s">
        <v>670</v>
      </c>
      <c r="F104" s="12" t="s">
        <v>670</v>
      </c>
      <c r="G104" s="12" t="s">
        <v>670</v>
      </c>
      <c r="H104" s="12" t="s">
        <v>670</v>
      </c>
      <c r="I104" s="55" t="s">
        <v>266</v>
      </c>
    </row>
    <row r="105" spans="1:9" ht="12">
      <c r="A105" s="33" t="s">
        <v>1658</v>
      </c>
      <c r="B105" s="12" t="s">
        <v>670</v>
      </c>
      <c r="C105" s="12" t="s">
        <v>670</v>
      </c>
      <c r="D105" s="12" t="s">
        <v>670</v>
      </c>
      <c r="E105" s="12" t="s">
        <v>670</v>
      </c>
      <c r="F105" s="12" t="s">
        <v>670</v>
      </c>
      <c r="G105" s="12" t="s">
        <v>670</v>
      </c>
      <c r="H105" s="12" t="s">
        <v>670</v>
      </c>
      <c r="I105" s="55" t="s">
        <v>266</v>
      </c>
    </row>
    <row r="106" spans="1:9" ht="12">
      <c r="A106" s="34" t="s">
        <v>1659</v>
      </c>
      <c r="B106" s="12" t="s">
        <v>670</v>
      </c>
      <c r="C106" s="12" t="s">
        <v>670</v>
      </c>
      <c r="D106" s="12" t="s">
        <v>670</v>
      </c>
      <c r="E106" s="12" t="s">
        <v>670</v>
      </c>
      <c r="F106" s="12" t="s">
        <v>670</v>
      </c>
      <c r="G106" s="12" t="s">
        <v>670</v>
      </c>
      <c r="H106" s="12" t="s">
        <v>670</v>
      </c>
      <c r="I106" s="55" t="s">
        <v>266</v>
      </c>
    </row>
    <row r="107" spans="1:9" ht="12">
      <c r="A107" s="33" t="s">
        <v>1660</v>
      </c>
      <c r="B107" s="12" t="s">
        <v>670</v>
      </c>
      <c r="C107" s="12" t="s">
        <v>670</v>
      </c>
      <c r="D107" s="12" t="s">
        <v>670</v>
      </c>
      <c r="E107" s="12" t="s">
        <v>670</v>
      </c>
      <c r="F107" s="12" t="s">
        <v>670</v>
      </c>
      <c r="G107" s="12" t="s">
        <v>670</v>
      </c>
      <c r="H107" s="12" t="s">
        <v>670</v>
      </c>
      <c r="I107" s="55" t="s">
        <v>266</v>
      </c>
    </row>
    <row r="108" spans="1:9" ht="12">
      <c r="A108" s="33" t="s">
        <v>1661</v>
      </c>
      <c r="B108" s="12" t="s">
        <v>670</v>
      </c>
      <c r="C108" s="12" t="s">
        <v>670</v>
      </c>
      <c r="D108" s="12" t="s">
        <v>670</v>
      </c>
      <c r="E108" s="12" t="s">
        <v>670</v>
      </c>
      <c r="F108" s="12" t="s">
        <v>670</v>
      </c>
      <c r="G108" s="12" t="s">
        <v>670</v>
      </c>
      <c r="H108" s="12" t="s">
        <v>670</v>
      </c>
      <c r="I108" s="55" t="s">
        <v>266</v>
      </c>
    </row>
    <row r="109" spans="1:9" ht="12">
      <c r="A109" s="33" t="s">
        <v>1662</v>
      </c>
      <c r="B109" s="12" t="s">
        <v>670</v>
      </c>
      <c r="C109" s="12" t="s">
        <v>670</v>
      </c>
      <c r="D109" s="12" t="s">
        <v>670</v>
      </c>
      <c r="E109" s="12" t="s">
        <v>670</v>
      </c>
      <c r="F109" s="12" t="s">
        <v>670</v>
      </c>
      <c r="G109" s="12" t="s">
        <v>670</v>
      </c>
      <c r="H109" s="12" t="s">
        <v>670</v>
      </c>
      <c r="I109" s="55" t="s">
        <v>266</v>
      </c>
    </row>
    <row r="110" spans="1:9" ht="12">
      <c r="A110" s="33" t="s">
        <v>1663</v>
      </c>
      <c r="B110" s="12" t="s">
        <v>670</v>
      </c>
      <c r="C110" s="12" t="s">
        <v>670</v>
      </c>
      <c r="D110" s="12" t="s">
        <v>670</v>
      </c>
      <c r="E110" s="12" t="s">
        <v>670</v>
      </c>
      <c r="F110" s="12" t="s">
        <v>670</v>
      </c>
      <c r="G110" s="12" t="s">
        <v>670</v>
      </c>
      <c r="H110" s="12" t="s">
        <v>670</v>
      </c>
      <c r="I110" s="55" t="s">
        <v>266</v>
      </c>
    </row>
    <row r="111" spans="1:9" ht="12">
      <c r="A111" s="33" t="s">
        <v>1664</v>
      </c>
      <c r="B111" s="12" t="s">
        <v>670</v>
      </c>
      <c r="C111" s="12" t="s">
        <v>670</v>
      </c>
      <c r="D111" s="12" t="s">
        <v>670</v>
      </c>
      <c r="E111" s="12" t="s">
        <v>670</v>
      </c>
      <c r="F111" s="12" t="s">
        <v>670</v>
      </c>
      <c r="G111" s="12" t="s">
        <v>670</v>
      </c>
      <c r="H111" s="12" t="s">
        <v>670</v>
      </c>
      <c r="I111" s="55" t="s">
        <v>266</v>
      </c>
    </row>
    <row r="112" spans="1:9" ht="12">
      <c r="A112" s="33" t="s">
        <v>1665</v>
      </c>
      <c r="B112" s="12" t="s">
        <v>670</v>
      </c>
      <c r="C112" s="12" t="s">
        <v>670</v>
      </c>
      <c r="D112" s="12" t="s">
        <v>670</v>
      </c>
      <c r="E112" s="12" t="s">
        <v>670</v>
      </c>
      <c r="F112" s="12" t="s">
        <v>670</v>
      </c>
      <c r="G112" s="12" t="s">
        <v>670</v>
      </c>
      <c r="H112" s="12" t="s">
        <v>670</v>
      </c>
      <c r="I112" s="55" t="s">
        <v>266</v>
      </c>
    </row>
    <row r="113" spans="1:9" ht="12">
      <c r="A113" s="33" t="s">
        <v>1666</v>
      </c>
      <c r="B113" s="12" t="s">
        <v>670</v>
      </c>
      <c r="C113" s="12" t="s">
        <v>670</v>
      </c>
      <c r="D113" s="12" t="s">
        <v>670</v>
      </c>
      <c r="E113" s="12" t="s">
        <v>670</v>
      </c>
      <c r="F113" s="12" t="s">
        <v>670</v>
      </c>
      <c r="G113" s="12" t="s">
        <v>670</v>
      </c>
      <c r="H113" s="12" t="s">
        <v>670</v>
      </c>
      <c r="I113" s="55" t="s">
        <v>266</v>
      </c>
    </row>
    <row r="114" spans="1:9" ht="12">
      <c r="A114" s="33" t="s">
        <v>1667</v>
      </c>
      <c r="B114" s="12" t="s">
        <v>670</v>
      </c>
      <c r="C114" s="12" t="s">
        <v>670</v>
      </c>
      <c r="D114" s="12" t="s">
        <v>670</v>
      </c>
      <c r="E114" s="12" t="s">
        <v>670</v>
      </c>
      <c r="F114" s="12" t="s">
        <v>670</v>
      </c>
      <c r="G114" s="12" t="s">
        <v>670</v>
      </c>
      <c r="H114" s="12" t="s">
        <v>670</v>
      </c>
      <c r="I114" s="55" t="s">
        <v>266</v>
      </c>
    </row>
    <row r="115" spans="1:9" ht="12">
      <c r="A115" s="33" t="s">
        <v>1668</v>
      </c>
      <c r="B115" s="12" t="s">
        <v>670</v>
      </c>
      <c r="C115" s="12" t="s">
        <v>670</v>
      </c>
      <c r="D115" s="12" t="s">
        <v>670</v>
      </c>
      <c r="E115" s="12" t="s">
        <v>670</v>
      </c>
      <c r="F115" s="12" t="s">
        <v>670</v>
      </c>
      <c r="G115" s="12" t="s">
        <v>670</v>
      </c>
      <c r="H115" s="12" t="s">
        <v>670</v>
      </c>
      <c r="I115" s="55" t="s">
        <v>266</v>
      </c>
    </row>
    <row r="117" spans="1:9" s="15" customFormat="1">
      <c r="A117" s="11"/>
      <c r="B117" s="16"/>
      <c r="C117" s="16"/>
      <c r="D117" s="16"/>
      <c r="E117" s="16"/>
      <c r="F117" s="16"/>
      <c r="G117" s="16"/>
      <c r="H117" s="16"/>
      <c r="I117" s="16"/>
    </row>
    <row r="118" spans="1:9" s="15" customFormat="1">
      <c r="A118" s="56"/>
      <c r="B118" s="11"/>
      <c r="C118" s="11"/>
      <c r="D118" s="11"/>
      <c r="E118" s="11"/>
      <c r="F118" s="11"/>
      <c r="G118" s="11"/>
      <c r="H118" s="11"/>
      <c r="I118" s="11"/>
    </row>
    <row r="119" spans="1:9" s="15" customFormat="1">
      <c r="A119" s="11"/>
      <c r="B119" s="11"/>
      <c r="C119" s="11"/>
      <c r="D119" s="11"/>
      <c r="E119" s="11"/>
      <c r="F119" s="11"/>
      <c r="G119" s="11"/>
      <c r="H119" s="11"/>
      <c r="I119" s="11"/>
    </row>
    <row r="124" spans="1:9">
      <c r="B124" s="15"/>
      <c r="C124" s="15"/>
      <c r="D124" s="15"/>
      <c r="E124" s="15"/>
      <c r="F124" s="15"/>
      <c r="G124" s="15"/>
      <c r="H124" s="15"/>
      <c r="I124" s="15"/>
    </row>
    <row r="125" spans="1:9">
      <c r="B125" s="15"/>
      <c r="C125" s="15"/>
      <c r="D125" s="15"/>
      <c r="E125" s="15"/>
      <c r="F125" s="15"/>
      <c r="G125" s="15"/>
      <c r="H125" s="15"/>
      <c r="I125" s="15"/>
    </row>
    <row r="126" spans="1:9">
      <c r="B126" s="15"/>
      <c r="C126" s="15"/>
      <c r="D126" s="15"/>
      <c r="E126" s="15"/>
      <c r="F126" s="15"/>
      <c r="G126" s="15"/>
      <c r="H126" s="15"/>
      <c r="I126" s="15"/>
    </row>
  </sheetData>
  <autoFilter ref="A1:I90" xr:uid="{80C67FFC-3769-4A04-8E85-38E44C0567C3}"/>
  <phoneticPr fontId="4"/>
  <pageMargins left="0.7" right="0.7" top="0.75" bottom="0.75" header="0.3" footer="0.3"/>
  <pageSetup paperSize="9" scale="50" orientation="portrait" horizontalDpi="300" verticalDpi="300" r:id="rId1"/>
  <colBreaks count="1" manualBreakCount="1">
    <brk id="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DDA1-6A9E-438C-8D3B-26F8A2A75F0D}">
  <sheetPr>
    <tabColor theme="8" tint="0.79998168889431442"/>
  </sheetPr>
  <dimension ref="A1:H87"/>
  <sheetViews>
    <sheetView workbookViewId="0">
      <selection activeCell="F161" sqref="F161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8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  <c r="H1" s="61" t="s">
        <v>1805</v>
      </c>
    </row>
    <row r="2" spans="1:8" ht="1.9" customHeight="1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>|:---|:---|:---|:---|:---|</v>
      </c>
    </row>
    <row r="3" spans="1:8" ht="11.25" customHeight="1">
      <c r="A3" s="52"/>
      <c r="B3" s="52"/>
      <c r="C3" s="52"/>
      <c r="D3" s="10" t="s">
        <v>399</v>
      </c>
      <c r="E3" s="10" t="s">
        <v>1800</v>
      </c>
      <c r="F3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>||||F6|ペイン切替え|</v>
      </c>
    </row>
    <row r="4" spans="1:8" ht="11.25" customHeight="1">
      <c r="A4" s="52"/>
      <c r="B4" s="52"/>
      <c r="C4" s="52"/>
      <c r="D4" s="10" t="s">
        <v>345</v>
      </c>
      <c r="E4" s="10" t="s">
        <v>1801</v>
      </c>
      <c r="F4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>||||F9|マージモード切替え|</v>
      </c>
    </row>
    <row r="5" spans="1:8" ht="11.25" customHeight="1">
      <c r="A5" s="52"/>
      <c r="B5" s="52"/>
      <c r="C5" s="52"/>
      <c r="D5" s="10" t="s">
        <v>1798</v>
      </c>
      <c r="E5" s="10" t="s">
        <v>1799</v>
      </c>
      <c r="F5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>||||F7/F8|前/次の差異へ移動|</v>
      </c>
    </row>
    <row r="6" spans="1:8" ht="11.25" customHeight="1">
      <c r="A6" s="52" t="s">
        <v>0</v>
      </c>
      <c r="B6" s="52"/>
      <c r="C6" s="52"/>
      <c r="D6" s="10" t="s">
        <v>343</v>
      </c>
      <c r="E6" s="10" t="s">
        <v>1804</v>
      </c>
      <c r="F6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>|Ctrl|||F8|次のファイルへ移動|</v>
      </c>
    </row>
    <row r="7" spans="1:8" ht="11.25" customHeight="1">
      <c r="A7" s="52"/>
      <c r="B7" s="52"/>
      <c r="C7" s="52" t="s">
        <v>2</v>
      </c>
      <c r="D7" s="10" t="s">
        <v>497</v>
      </c>
      <c r="E7" s="10" t="s">
        <v>1802</v>
      </c>
      <c r="F7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>|||Alt|Home/End|最初/最後の差異へ移動|</v>
      </c>
    </row>
    <row r="8" spans="1:8" ht="11.25" customHeight="1">
      <c r="A8" s="52"/>
      <c r="B8" s="52"/>
      <c r="C8" s="52" t="s">
        <v>2</v>
      </c>
      <c r="D8" s="10" t="s">
        <v>1803</v>
      </c>
      <c r="E8" s="10" t="s">
        <v>1799</v>
      </c>
      <c r="F8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>|||Alt|Up/Down|前/次の差異へ移動|</v>
      </c>
    </row>
    <row r="9" spans="1:8" ht="11.25" customHeight="1">
      <c r="A9" s="52"/>
      <c r="B9" s="52"/>
      <c r="C9" s="52"/>
      <c r="D9" s="10"/>
      <c r="E9" s="10"/>
      <c r="F9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0" spans="1:8" ht="11.25" customHeight="1">
      <c r="A10" s="52"/>
      <c r="B10" s="52"/>
      <c r="C10" s="52"/>
      <c r="D10" s="10"/>
      <c r="E10" s="10"/>
      <c r="F10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1" spans="1:8" ht="11.25" customHeight="1">
      <c r="A11" s="52"/>
      <c r="B11" s="52"/>
      <c r="C11" s="52"/>
      <c r="D11" s="10"/>
      <c r="E11" s="10"/>
      <c r="F11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2" spans="1:8" ht="11.25" customHeight="1">
      <c r="A12" s="52"/>
      <c r="B12" s="52"/>
      <c r="C12" s="52"/>
      <c r="D12" s="10"/>
      <c r="E12" s="10"/>
      <c r="F12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3" spans="1:8" ht="11.25" customHeight="1">
      <c r="A13" s="52"/>
      <c r="B13" s="52"/>
      <c r="C13" s="52"/>
      <c r="D13" s="10"/>
      <c r="E13" s="10"/>
      <c r="F13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4" spans="1:8" ht="11.25" customHeight="1">
      <c r="A14" s="52"/>
      <c r="B14" s="52"/>
      <c r="C14" s="52"/>
      <c r="D14" s="10"/>
      <c r="E14" s="10"/>
      <c r="F14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5" spans="1:8" ht="11.25" customHeight="1">
      <c r="A15" s="52"/>
      <c r="B15" s="52"/>
      <c r="C15" s="52"/>
      <c r="D15" s="10"/>
      <c r="E15" s="10"/>
      <c r="F15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6" spans="1:8" ht="11.25" customHeight="1">
      <c r="A16" s="52"/>
      <c r="B16" s="52"/>
      <c r="C16" s="52"/>
      <c r="D16" s="10"/>
      <c r="E16" s="10"/>
      <c r="F16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7" spans="1:6" ht="11.25" customHeight="1">
      <c r="A17" s="52"/>
      <c r="B17" s="52"/>
      <c r="C17" s="52"/>
      <c r="D17" s="10"/>
      <c r="E17" s="10"/>
      <c r="F17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8" spans="1:6" ht="11.25" customHeight="1">
      <c r="A18" s="52"/>
      <c r="B18" s="52"/>
      <c r="C18" s="52"/>
      <c r="D18" s="10"/>
      <c r="E18" s="10"/>
      <c r="F18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19" spans="1:6" ht="11.25" customHeight="1">
      <c r="A19" s="52"/>
      <c r="B19" s="52"/>
      <c r="C19" s="52"/>
      <c r="D19" s="10"/>
      <c r="E19" s="10"/>
      <c r="F19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0" spans="1:6" ht="11.25" customHeight="1">
      <c r="A20" s="52"/>
      <c r="B20" s="52"/>
      <c r="C20" s="52"/>
      <c r="D20" s="10"/>
      <c r="E20" s="10"/>
      <c r="F20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1" spans="1:6" ht="11.25" customHeight="1">
      <c r="A21" s="52"/>
      <c r="B21" s="52"/>
      <c r="C21" s="52"/>
      <c r="D21" s="10"/>
      <c r="E21" s="10"/>
      <c r="F21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2" spans="1:6" ht="11.25" customHeight="1">
      <c r="A22" s="52"/>
      <c r="B22" s="52"/>
      <c r="C22" s="52"/>
      <c r="D22" s="10"/>
      <c r="E22" s="10"/>
      <c r="F22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3" spans="1:6" ht="11.25" customHeight="1">
      <c r="A23" s="52"/>
      <c r="B23" s="52"/>
      <c r="C23" s="52"/>
      <c r="D23" s="10"/>
      <c r="E23" s="10"/>
      <c r="F23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4" spans="1:6" ht="11.25" customHeight="1">
      <c r="A24" s="52"/>
      <c r="B24" s="52"/>
      <c r="C24" s="52"/>
      <c r="D24" s="10"/>
      <c r="E24" s="10"/>
      <c r="F24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5" spans="1:6" ht="11.25" customHeight="1">
      <c r="A25" s="52"/>
      <c r="B25" s="52"/>
      <c r="C25" s="52"/>
      <c r="D25" s="10"/>
      <c r="E25" s="10"/>
      <c r="F25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6" spans="1:6" ht="11.25" customHeight="1">
      <c r="A26" s="52"/>
      <c r="B26" s="52"/>
      <c r="C26" s="52"/>
      <c r="D26" s="10"/>
      <c r="E26" s="10"/>
      <c r="F26" s="5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7" spans="1:6" ht="11.25" customHeight="1">
      <c r="F27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8" spans="1:6" ht="11.25" customHeight="1">
      <c r="F28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29" spans="1:6" ht="11.25" customHeight="1">
      <c r="F29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0" spans="1:6" ht="11.25" customHeight="1">
      <c r="F30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1" spans="1:6" ht="11.25" customHeight="1">
      <c r="F31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2" spans="1:6" ht="11.25" customHeight="1">
      <c r="F32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3" spans="6:6" ht="11.25" customHeight="1">
      <c r="F33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4" spans="6:6" ht="11.25" customHeight="1">
      <c r="F34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5" spans="6:6" ht="11.25" customHeight="1">
      <c r="F35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6" spans="6:6" ht="11.25" customHeight="1">
      <c r="F36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7" spans="6:6" ht="11.25" customHeight="1">
      <c r="F37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8" spans="6:6" ht="11.25" customHeight="1">
      <c r="F38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39" spans="6:6" ht="11.25" customHeight="1">
      <c r="F39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0" spans="6:6" ht="11.25" customHeight="1">
      <c r="F40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1" spans="6:6" ht="11.25" customHeight="1">
      <c r="F41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2" spans="6:6" ht="11.25" customHeight="1">
      <c r="F42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3" spans="6:6" ht="11.25" customHeight="1">
      <c r="F43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4" spans="6:6" ht="11.25" customHeight="1">
      <c r="F44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5" spans="6:6" ht="11.25" customHeight="1">
      <c r="F45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6" spans="6:6" ht="11.25" customHeight="1">
      <c r="F46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7" spans="6:6" ht="11.25" customHeight="1">
      <c r="F47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8" spans="6:6" ht="11.25" customHeight="1">
      <c r="F48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49" spans="6:6" ht="11.25" customHeight="1">
      <c r="F49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0" spans="6:6" ht="11.25" customHeight="1">
      <c r="F50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1" spans="6:6" ht="11.25" customHeight="1">
      <c r="F51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2" spans="6:6" ht="11.25" customHeight="1">
      <c r="F52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3" spans="6:6" ht="11.25" customHeight="1">
      <c r="F53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4" spans="6:6" ht="11.25" customHeight="1">
      <c r="F54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5" spans="6:6" ht="11.25" customHeight="1">
      <c r="F55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6" spans="6:6" ht="11.25" customHeight="1">
      <c r="F56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7" spans="6:6" ht="11.25" customHeight="1">
      <c r="F57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8" spans="6:6" ht="11.25" customHeight="1">
      <c r="F58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59" spans="6:6" ht="11.25" customHeight="1">
      <c r="F59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0" spans="6:6" ht="11.25" customHeight="1">
      <c r="F60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1" spans="6:6" ht="11.25" customHeight="1">
      <c r="F61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2" spans="6:6" ht="11.25" customHeight="1">
      <c r="F62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3" spans="6:6" ht="11.25" customHeight="1">
      <c r="F63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4" spans="6:6" ht="11.25" customHeight="1">
      <c r="F64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5" spans="6:6" ht="11.25" customHeight="1">
      <c r="F65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6" spans="6:6" ht="11.25" customHeight="1">
      <c r="F66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7" spans="6:6" ht="11.25" customHeight="1">
      <c r="F67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8" spans="6:6" ht="11.25" customHeight="1">
      <c r="F68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69" spans="6:6" ht="11.25" customHeight="1">
      <c r="F69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0" spans="6:6" ht="11.25" customHeight="1">
      <c r="F70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1" spans="6:6" ht="11.25" customHeight="1">
      <c r="F71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2" spans="6:6" ht="11.25" customHeight="1">
      <c r="F72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3" spans="6:6" ht="11.25" customHeight="1">
      <c r="F73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4" spans="6:6" ht="11.25" customHeight="1">
      <c r="F74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5" spans="6:6" ht="11.25" customHeight="1">
      <c r="F75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6" spans="6:6" ht="11.25" customHeight="1">
      <c r="F76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7" spans="6:6" ht="11.25" customHeight="1">
      <c r="F77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8" spans="6:6" ht="11.25" customHeight="1">
      <c r="F78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79" spans="6:6" ht="11.25" customHeight="1">
      <c r="F79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0" spans="6:6" ht="11.25" customHeight="1">
      <c r="F80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1" spans="6:6" ht="11.25" customHeight="1">
      <c r="F81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2" spans="6:6" ht="11.25" customHeight="1">
      <c r="F82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3" spans="6:6" ht="11.25" customHeight="1">
      <c r="F83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4" spans="6:6" ht="11.25" customHeight="1">
      <c r="F84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5" spans="6:6" ht="11.25" customHeight="1">
      <c r="F85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6" spans="6:6" ht="11.25" customHeight="1">
      <c r="F86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  <row r="87" spans="6:6" ht="11.25" customHeight="1">
      <c r="F87" s="3" t="str">
        <f>IF(ISBLANK(テーブル1781011171819[[#This Row],[機能]]),"","|"&amp;テーブル1781011171819[[#This Row],[Ctrl]]&amp;"|"&amp;テーブル1781011171819[[#This Row],[Shift]]&amp;"|"&amp;テーブル1781011171819[[#This Row],[Alt]]&amp;"|"&amp;テーブル1781011171819[[#This Row],[Key]]&amp;"|"&amp;テーブル1781011171819[[#This Row],[機能]]&amp;"|")</f>
        <v/>
      </c>
    </row>
  </sheetData>
  <phoneticPr fontId="4"/>
  <dataValidations count="3">
    <dataValidation type="list" allowBlank="1" showInputMessage="1" sqref="A3:A87" xr:uid="{C0E7D042-1F04-484C-B6E8-0917BFA964C0}">
      <formula1>"Ctrl"</formula1>
    </dataValidation>
    <dataValidation type="list" allowBlank="1" showInputMessage="1" sqref="B3:B87" xr:uid="{20CACEDD-8AAE-404A-9095-E86A17BD0E9F}">
      <formula1>"Shift"</formula1>
    </dataValidation>
    <dataValidation type="list" allowBlank="1" showInputMessage="1" sqref="C3:C87" xr:uid="{540B919A-ED33-403A-A33F-2EA054FBA5D4}">
      <formula1>"Alt"</formula1>
    </dataValidation>
  </dataValidations>
  <hyperlinks>
    <hyperlink ref="H1" r:id="rId1" display="https://manual.winmerge.org/jp/Shortcut_keys.html" xr:uid="{18740BE9-C67B-4B81-B76B-FF288A083D9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5390-8DA6-47CD-A71D-4560BC1C6FA5}">
  <sheetPr>
    <tabColor theme="8" tint="0.79998168889431442"/>
  </sheetPr>
  <dimension ref="A1:F55"/>
  <sheetViews>
    <sheetView tabSelected="1" workbookViewId="0">
      <selection activeCell="E4" sqref="E4"/>
    </sheetView>
  </sheetViews>
  <sheetFormatPr defaultColWidth="2" defaultRowHeight="11.25" customHeight="1"/>
  <cols>
    <col min="1" max="3" width="6.625" style="1" customWidth="1"/>
    <col min="4" max="4" width="17.875" style="2" customWidth="1"/>
    <col min="5" max="5" width="42.75" style="2" customWidth="1"/>
    <col min="6" max="6" width="50.25" style="3" bestFit="1" customWidth="1"/>
    <col min="7" max="16384" width="2" style="3"/>
  </cols>
  <sheetData>
    <row r="1" spans="1:6" ht="11.25" customHeight="1">
      <c r="A1" s="1" t="s">
        <v>0</v>
      </c>
      <c r="B1" s="1" t="s">
        <v>1</v>
      </c>
      <c r="C1" s="1" t="s">
        <v>2</v>
      </c>
      <c r="D1" s="2" t="s">
        <v>96</v>
      </c>
      <c r="E1" s="2" t="s">
        <v>3</v>
      </c>
      <c r="F1" s="3" t="s">
        <v>195</v>
      </c>
    </row>
    <row r="2" spans="1:6" ht="1.9" customHeight="1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>|:---|:---|:---|:---|:---|</v>
      </c>
    </row>
    <row r="3" spans="1:6" ht="11.25" customHeight="1">
      <c r="D3" s="2" t="s">
        <v>55</v>
      </c>
      <c r="E3" s="2" t="s">
        <v>1816</v>
      </c>
      <c r="F3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>||||Tab|オブジェクトモード/編集モード切替|</v>
      </c>
    </row>
    <row r="4" spans="1:6" ht="11.25" customHeight="1">
      <c r="B4" s="1" t="s">
        <v>1</v>
      </c>
      <c r="D4" s="2" t="s">
        <v>297</v>
      </c>
      <c r="E4" s="2" t="s">
        <v>1817</v>
      </c>
      <c r="F4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>||Shift||Space|オブジェクトのモード(例: 移動/回転)切替え|</v>
      </c>
    </row>
    <row r="5" spans="1:6" ht="11.25" customHeight="1">
      <c r="F5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6" spans="1:6" ht="11.25" customHeight="1">
      <c r="F6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7" spans="1:6" ht="11.25" customHeight="1">
      <c r="F7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8" spans="1:6" ht="11.25" customHeight="1">
      <c r="F8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9" spans="1:6" ht="11.25" customHeight="1">
      <c r="F9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0" spans="1:6" ht="11.25" customHeight="1">
      <c r="F10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1" spans="1:6" ht="11.25" customHeight="1">
      <c r="F11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2" spans="1:6" ht="11.25" customHeight="1">
      <c r="F12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3" spans="1:6" ht="11.25" customHeight="1">
      <c r="F13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4" spans="1:6" ht="11.25" customHeight="1">
      <c r="F14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5" spans="1:6" ht="11.25" customHeight="1">
      <c r="F15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6" spans="1:6" ht="11.25" customHeight="1">
      <c r="F16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7" spans="6:6" ht="11.25" customHeight="1">
      <c r="F17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8" spans="6:6" ht="11.25" customHeight="1">
      <c r="F18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19" spans="6:6" ht="11.25" customHeight="1">
      <c r="F19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0" spans="6:6" ht="11.25" customHeight="1">
      <c r="F20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1" spans="6:6" ht="11.25" customHeight="1">
      <c r="F21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2" spans="6:6" ht="11.25" customHeight="1">
      <c r="F22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3" spans="6:6" ht="11.25" customHeight="1">
      <c r="F23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4" spans="6:6" ht="11.25" customHeight="1">
      <c r="F24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5" spans="6:6" ht="11.25" customHeight="1">
      <c r="F25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6" spans="6:6" ht="11.25" customHeight="1">
      <c r="F26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7" spans="6:6" ht="11.25" customHeight="1">
      <c r="F27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8" spans="6:6" ht="11.25" customHeight="1">
      <c r="F28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29" spans="6:6" ht="11.25" customHeight="1">
      <c r="F29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0" spans="6:6" ht="11.25" customHeight="1">
      <c r="F30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1" spans="6:6" ht="11.25" customHeight="1">
      <c r="F31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2" spans="6:6" ht="11.25" customHeight="1">
      <c r="F32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3" spans="6:6" ht="11.25" customHeight="1">
      <c r="F33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4" spans="6:6" ht="11.25" customHeight="1">
      <c r="F34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5" spans="6:6" ht="11.25" customHeight="1">
      <c r="F35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6" spans="6:6" ht="11.25" customHeight="1">
      <c r="F36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7" spans="6:6" ht="11.25" customHeight="1">
      <c r="F37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8" spans="6:6" ht="11.25" customHeight="1">
      <c r="F38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39" spans="6:6" ht="11.25" customHeight="1">
      <c r="F39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0" spans="6:6" ht="11.25" customHeight="1">
      <c r="F40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1" spans="6:6" ht="11.25" customHeight="1">
      <c r="F41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2" spans="6:6" ht="11.25" customHeight="1">
      <c r="F42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3" spans="6:6" ht="11.25" customHeight="1">
      <c r="F43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4" spans="6:6" ht="11.25" customHeight="1">
      <c r="F44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5" spans="6:6" ht="11.25" customHeight="1">
      <c r="F45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6" spans="6:6" ht="11.25" customHeight="1">
      <c r="F46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7" spans="6:6" ht="11.25" customHeight="1">
      <c r="F47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8" spans="6:6" ht="11.25" customHeight="1">
      <c r="F48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49" spans="6:6" ht="11.25" customHeight="1">
      <c r="F49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50" spans="6:6" ht="11.25" customHeight="1">
      <c r="F50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51" spans="6:6" ht="11.25" customHeight="1">
      <c r="F51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52" spans="6:6" ht="11.25" customHeight="1">
      <c r="F52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53" spans="6:6" ht="11.25" customHeight="1">
      <c r="F53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54" spans="6:6" ht="11.25" customHeight="1">
      <c r="F54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  <row r="55" spans="6:6" ht="11.25" customHeight="1">
      <c r="F55" s="3" t="str">
        <f>IF(ISBLANK(テーブル178101120[[#This Row],[機能]]),"","|"&amp;テーブル178101120[[#This Row],[Ctrl]]&amp;"|"&amp;テーブル178101120[[#This Row],[Shift]]&amp;"|"&amp;テーブル178101120[[#This Row],[Alt]]&amp;"|"&amp;テーブル178101120[[#This Row],[Key]]&amp;"|"&amp;テーブル178101120[[#This Row],[機能]]&amp;"|")</f>
        <v/>
      </c>
    </row>
  </sheetData>
  <phoneticPr fontId="4"/>
  <dataValidations count="3">
    <dataValidation type="list" allowBlank="1" showInputMessage="1" showErrorMessage="1" sqref="A3:A54" xr:uid="{2C5FAE5B-AA20-47EA-BBE9-C95054B7167F}">
      <formula1>"Ctrl"</formula1>
    </dataValidation>
    <dataValidation type="list" allowBlank="1" showInputMessage="1" showErrorMessage="1" sqref="B3:B54" xr:uid="{0238CCEF-0082-4F3E-90DA-CC9C8D68A2B1}">
      <formula1>"Shift"</formula1>
    </dataValidation>
    <dataValidation type="list" allowBlank="1" showInputMessage="1" showErrorMessage="1" sqref="C3:C54" xr:uid="{1B336403-E36A-4B26-A2E0-065840BDD751}">
      <formula1>"Alt"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32</vt:i4>
      </vt:variant>
    </vt:vector>
  </HeadingPairs>
  <TitlesOfParts>
    <vt:vector size="64" baseType="lpstr">
      <vt:lpstr>概要</vt:lpstr>
      <vt:lpstr>▽Windows</vt:lpstr>
      <vt:lpstr>▽Linuxシェル</vt:lpstr>
      <vt:lpstr>▽Outlook</vt:lpstr>
      <vt:lpstr>▽Excel</vt:lpstr>
      <vt:lpstr>▼Excel</vt:lpstr>
      <vt:lpstr>▽Excel(alt)</vt:lpstr>
      <vt:lpstr>▽Vbe</vt:lpstr>
      <vt:lpstr>▽Visio</vt:lpstr>
      <vt:lpstr>▽Word</vt:lpstr>
      <vt:lpstr>▼Word</vt:lpstr>
      <vt:lpstr>▽Firefox</vt:lpstr>
      <vt:lpstr>▽Thunderbird</vt:lpstr>
      <vt:lpstr>▽iThoughts</vt:lpstr>
      <vt:lpstr>▽Vim</vt:lpstr>
      <vt:lpstr>▼Vim</vt:lpstr>
      <vt:lpstr>▽AdobeReader</vt:lpstr>
      <vt:lpstr>▽XChangeViewer</vt:lpstr>
      <vt:lpstr>▼XChangeEditer</vt:lpstr>
      <vt:lpstr>▽X-Finder</vt:lpstr>
      <vt:lpstr>▼X-Finder</vt:lpstr>
      <vt:lpstr>▼秀丸</vt:lpstr>
      <vt:lpstr>▼Sakura</vt:lpstr>
      <vt:lpstr>▽RLogin</vt:lpstr>
      <vt:lpstr>▼RLogin</vt:lpstr>
      <vt:lpstr>▼WinTerm</vt:lpstr>
      <vt:lpstr>▼TeraTerm</vt:lpstr>
      <vt:lpstr>▽WinSCP</vt:lpstr>
      <vt:lpstr>▼VSCode</vt:lpstr>
      <vt:lpstr>▼VSCode(Ctrl+K)</vt:lpstr>
      <vt:lpstr>▽WinMerge</vt:lpstr>
      <vt:lpstr>▽Blender</vt:lpstr>
      <vt:lpstr>▽AdobeReader!Print_Area</vt:lpstr>
      <vt:lpstr>▽Blender!Print_Area</vt:lpstr>
      <vt:lpstr>▼Excel!Print_Area</vt:lpstr>
      <vt:lpstr>▽Excel!Print_Area</vt:lpstr>
      <vt:lpstr>'▽Excel(alt)'!Print_Area</vt:lpstr>
      <vt:lpstr>▽Firefox!Print_Area</vt:lpstr>
      <vt:lpstr>▽iThoughts!Print_Area</vt:lpstr>
      <vt:lpstr>▽Linuxシェル!Print_Area</vt:lpstr>
      <vt:lpstr>▽Outlook!Print_Area</vt:lpstr>
      <vt:lpstr>▼RLogin!Print_Area</vt:lpstr>
      <vt:lpstr>▽RLogin!Print_Area</vt:lpstr>
      <vt:lpstr>▼Sakura!Print_Area</vt:lpstr>
      <vt:lpstr>▼TeraTerm!Print_Area</vt:lpstr>
      <vt:lpstr>▽Thunderbird!Print_Area</vt:lpstr>
      <vt:lpstr>▽Vbe!Print_Area</vt:lpstr>
      <vt:lpstr>▼Vim!Print_Area</vt:lpstr>
      <vt:lpstr>▽Vim!Print_Area</vt:lpstr>
      <vt:lpstr>▽Visio!Print_Area</vt:lpstr>
      <vt:lpstr>▼VSCode!Print_Area</vt:lpstr>
      <vt:lpstr>'▼VSCode(Ctrl+K)'!Print_Area</vt:lpstr>
      <vt:lpstr>▽Windows!Print_Area</vt:lpstr>
      <vt:lpstr>▽WinMerge!Print_Area</vt:lpstr>
      <vt:lpstr>▽WinSCP!Print_Area</vt:lpstr>
      <vt:lpstr>▼WinTerm!Print_Area</vt:lpstr>
      <vt:lpstr>▼Word!Print_Area</vt:lpstr>
      <vt:lpstr>▽Word!Print_Area</vt:lpstr>
      <vt:lpstr>▼XChangeEditer!Print_Area</vt:lpstr>
      <vt:lpstr>▽XChangeViewer!Print_Area</vt:lpstr>
      <vt:lpstr>'▼X-Finder'!Print_Area</vt:lpstr>
      <vt:lpstr>'▽X-Finder'!Print_Area</vt:lpstr>
      <vt:lpstr>▼秀丸!Print_Area</vt:lpstr>
      <vt:lpstr>概要!Print_Area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2026-03-04T07:54:13Z</dcterms:modified>
</cp:coreProperties>
</file>