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3F09E7E8-E958-4F7E-A2DA-081D18ABEA8F}" xr6:coauthVersionLast="47" xr6:coauthVersionMax="47" xr10:uidLastSave="{00000000-0000-0000-0000-000000000000}"/>
  <bookViews>
    <workbookView xWindow="28815" yWindow="-5580" windowWidth="38385" windowHeight="41970" activeTab="6"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cmake" sheetId="52" r:id="rId8"/>
    <sheet name="正規表現" sheetId="49" r:id="rId9"/>
    <sheet name="重複チェック" sheetId="46" r:id="rId10"/>
  </sheets>
  <definedNames>
    <definedName name="_xlnm._FilterDatabase" localSheetId="3" hidden="1">bat!$A$2:$D$2</definedName>
    <definedName name="_xlnm._FilterDatabase" localSheetId="2" hidden="1">'c++'!$A$179:$H$179</definedName>
    <definedName name="_xlnm._FilterDatabase" localSheetId="7" hidden="1">cmake!$A$2:$I$244</definedName>
    <definedName name="_xlnm._FilterDatabase" localSheetId="6" hidden="1">git!$A$2:$G$122</definedName>
    <definedName name="_xlnm._FilterDatabase" localSheetId="5" hidden="1">ps!$A$2:$G$525</definedName>
    <definedName name="_xlnm._FilterDatabase" localSheetId="1" hidden="1">python!$A$287:$J$287</definedName>
    <definedName name="_xlnm._FilterDatabase" localSheetId="4" hidden="1">shell!$A$2:$G$571</definedName>
    <definedName name="_xlnm._FilterDatabase" localSheetId="0" hidden="1">'vbs,vba'!$A$2:$E$2</definedName>
    <definedName name="_xlnm._FilterDatabase" localSheetId="9" hidden="1">重複チェック!$A$2:$O$1003</definedName>
    <definedName name="_xlnm.Print_Area" localSheetId="3">bat!$A$1:$D$87</definedName>
    <definedName name="_xlnm.Print_Area" localSheetId="2">'c++'!$A$1:$E$314</definedName>
    <definedName name="_xlnm.Print_Area" localSheetId="7">cmake!$A$1:$F$244</definedName>
    <definedName name="_xlnm.Print_Area" localSheetId="6">git!$A$1:$D$122</definedName>
    <definedName name="_xlnm.Print_Area" localSheetId="5">ps!$A$1:$D$526</definedName>
    <definedName name="_xlnm.Print_Area" localSheetId="1">python!$A$1:$G$440</definedName>
    <definedName name="_xlnm.Print_Area" localSheetId="4">shell!$A$1:$D$572</definedName>
    <definedName name="_xlnm.Print_Area" localSheetId="0">'vbs,vba'!$A$1:$E$389</definedName>
  </definedNames>
  <calcPr calcId="181029"/>
</workbook>
</file>

<file path=xl/calcChain.xml><?xml version="1.0" encoding="utf-8"?>
<calcChain xmlns="http://schemas.openxmlformats.org/spreadsheetml/2006/main">
  <c r="G66" i="50" l="1"/>
  <c r="G222" i="47"/>
  <c r="I188" i="52"/>
  <c r="I187" i="52"/>
  <c r="I186" i="52"/>
  <c r="I185" i="52"/>
  <c r="I184" i="52"/>
  <c r="I183" i="52"/>
  <c r="I182" i="52"/>
  <c r="I181" i="52"/>
  <c r="I180" i="52"/>
  <c r="I179" i="52"/>
  <c r="I178" i="52"/>
  <c r="I177" i="52"/>
  <c r="I176" i="52"/>
  <c r="I175" i="52"/>
  <c r="I174" i="52"/>
  <c r="I173" i="52"/>
  <c r="I172" i="52"/>
  <c r="I171" i="52"/>
  <c r="I170" i="52"/>
  <c r="I169" i="52"/>
  <c r="I168" i="52"/>
  <c r="I167" i="52"/>
  <c r="I166" i="52"/>
  <c r="I165" i="52"/>
  <c r="I164" i="52"/>
  <c r="I163" i="52"/>
  <c r="I162" i="52"/>
  <c r="I161" i="52"/>
  <c r="I142" i="52"/>
  <c r="I121" i="52"/>
  <c r="I224" i="52"/>
  <c r="I223" i="52"/>
  <c r="I222" i="52"/>
  <c r="I221" i="52"/>
  <c r="I220" i="52"/>
  <c r="I219" i="52"/>
  <c r="I218" i="52"/>
  <c r="I217" i="52"/>
  <c r="I216" i="52"/>
  <c r="I215" i="52"/>
  <c r="I214" i="52"/>
  <c r="I213" i="52"/>
  <c r="I212" i="52"/>
  <c r="I211" i="52"/>
  <c r="I210" i="52"/>
  <c r="I209" i="52"/>
  <c r="I208" i="52"/>
  <c r="I207" i="52"/>
  <c r="I206" i="52"/>
  <c r="I205" i="52"/>
  <c r="I204" i="52"/>
  <c r="I203" i="52"/>
  <c r="I202" i="52"/>
  <c r="I201" i="52"/>
  <c r="I200" i="52"/>
  <c r="I199" i="52"/>
  <c r="I198" i="52"/>
  <c r="I197" i="52"/>
  <c r="I196" i="52"/>
  <c r="I195" i="52"/>
  <c r="I194" i="52"/>
  <c r="I193" i="52"/>
  <c r="I192" i="52"/>
  <c r="I191" i="52"/>
  <c r="I190" i="52"/>
  <c r="I189" i="52"/>
  <c r="I160" i="52"/>
  <c r="I159" i="52"/>
  <c r="I158" i="52"/>
  <c r="I157" i="52"/>
  <c r="I156" i="52"/>
  <c r="I155" i="52"/>
  <c r="I154" i="52"/>
  <c r="I153" i="52"/>
  <c r="I152" i="52"/>
  <c r="I151" i="52"/>
  <c r="I150" i="52"/>
  <c r="I149" i="52"/>
  <c r="I148" i="52"/>
  <c r="I147" i="52"/>
  <c r="I146" i="52"/>
  <c r="I145" i="52"/>
  <c r="I144" i="52"/>
  <c r="I143" i="52"/>
  <c r="I141" i="52"/>
  <c r="I140" i="52"/>
  <c r="I139" i="52"/>
  <c r="I138" i="52"/>
  <c r="I137" i="52"/>
  <c r="I136" i="52"/>
  <c r="I135" i="52"/>
  <c r="I134" i="52"/>
  <c r="I133" i="52"/>
  <c r="I132" i="52"/>
  <c r="I131" i="52"/>
  <c r="I130" i="52"/>
  <c r="I129" i="52"/>
  <c r="I128" i="52"/>
  <c r="I127" i="52"/>
  <c r="I126" i="52"/>
  <c r="I125" i="52"/>
  <c r="I124" i="52"/>
  <c r="I123" i="52"/>
  <c r="I122" i="52"/>
  <c r="I120" i="52"/>
  <c r="I119" i="52"/>
  <c r="I118" i="52"/>
  <c r="I117" i="52"/>
  <c r="I116" i="52"/>
  <c r="I106" i="52"/>
  <c r="I57" i="52"/>
  <c r="I3" i="52"/>
  <c r="I103" i="52"/>
  <c r="I102" i="52"/>
  <c r="I101" i="52"/>
  <c r="I100" i="52"/>
  <c r="I99" i="52"/>
  <c r="I98" i="52"/>
  <c r="I97" i="52"/>
  <c r="I96" i="52"/>
  <c r="I95" i="52"/>
  <c r="I94" i="52"/>
  <c r="I93" i="52"/>
  <c r="I92" i="52"/>
  <c r="I91" i="52"/>
  <c r="I90" i="52"/>
  <c r="I89" i="52"/>
  <c r="I88" i="52"/>
  <c r="I87" i="52"/>
  <c r="I86" i="52"/>
  <c r="I85" i="52"/>
  <c r="I84" i="52"/>
  <c r="I83" i="52"/>
  <c r="I82" i="52"/>
  <c r="I81" i="52"/>
  <c r="I80" i="52"/>
  <c r="I79" i="52"/>
  <c r="I78" i="52"/>
  <c r="I77" i="52"/>
  <c r="I76" i="52"/>
  <c r="I75" i="52"/>
  <c r="I74" i="52"/>
  <c r="I73" i="52"/>
  <c r="I72" i="52"/>
  <c r="I71" i="52"/>
  <c r="I70" i="52"/>
  <c r="I69" i="52"/>
  <c r="I68" i="52"/>
  <c r="I67" i="52"/>
  <c r="I66" i="52"/>
  <c r="I65" i="52"/>
  <c r="I64" i="52"/>
  <c r="I63" i="52"/>
  <c r="I62" i="52"/>
  <c r="I61" i="52"/>
  <c r="I60" i="52"/>
  <c r="I59" i="52"/>
  <c r="I58" i="52"/>
  <c r="I56" i="52"/>
  <c r="I55" i="52"/>
  <c r="I54" i="52"/>
  <c r="I53" i="52"/>
  <c r="I52" i="52"/>
  <c r="I51" i="52"/>
  <c r="I50" i="52"/>
  <c r="I49" i="52"/>
  <c r="I48" i="52"/>
  <c r="I47" i="52"/>
  <c r="I46" i="52"/>
  <c r="I45" i="52"/>
  <c r="I44" i="52"/>
  <c r="I43" i="52"/>
  <c r="I42" i="52"/>
  <c r="I41" i="52"/>
  <c r="I40" i="52"/>
  <c r="I39" i="52"/>
  <c r="I38" i="52"/>
  <c r="I37" i="52"/>
  <c r="I34" i="52"/>
  <c r="I33" i="52"/>
  <c r="I32" i="52"/>
  <c r="I31" i="52"/>
  <c r="I30" i="52"/>
  <c r="I29" i="52"/>
  <c r="I28" i="52"/>
  <c r="I27" i="52"/>
  <c r="I26" i="52"/>
  <c r="I25" i="52"/>
  <c r="I24" i="52"/>
  <c r="I23" i="52"/>
  <c r="I22" i="52"/>
  <c r="I21" i="52"/>
  <c r="I20" i="52"/>
  <c r="I19" i="52"/>
  <c r="I18" i="52"/>
  <c r="I17" i="52"/>
  <c r="I16" i="52"/>
  <c r="I15" i="52"/>
  <c r="I36" i="52"/>
  <c r="I35" i="52"/>
  <c r="I14" i="52"/>
  <c r="I13" i="52"/>
  <c r="I12" i="52"/>
  <c r="I11" i="52"/>
  <c r="I10" i="52"/>
  <c r="I9" i="52"/>
  <c r="I8" i="52"/>
  <c r="I7" i="52"/>
  <c r="I6" i="52"/>
  <c r="I5" i="52"/>
  <c r="I4" i="52"/>
  <c r="I244" i="52"/>
  <c r="I243" i="52"/>
  <c r="I242" i="52"/>
  <c r="I241" i="52"/>
  <c r="I240" i="52"/>
  <c r="I239" i="52"/>
  <c r="I238" i="52"/>
  <c r="I237" i="52"/>
  <c r="I236" i="52"/>
  <c r="I235" i="52"/>
  <c r="I234" i="52"/>
  <c r="I233" i="52"/>
  <c r="I232" i="52"/>
  <c r="I231" i="52"/>
  <c r="I230" i="52"/>
  <c r="I229" i="52"/>
  <c r="I228" i="52"/>
  <c r="I227" i="52"/>
  <c r="I226" i="52"/>
  <c r="I225" i="52"/>
  <c r="I115" i="52"/>
  <c r="I114" i="52"/>
  <c r="I113" i="52"/>
  <c r="I112" i="52"/>
  <c r="I111" i="52"/>
  <c r="I110" i="52"/>
  <c r="I109" i="52"/>
  <c r="I108" i="52"/>
  <c r="I107" i="52"/>
  <c r="I105" i="52"/>
  <c r="I104" i="52"/>
  <c r="G536" i="47"/>
  <c r="G535" i="47"/>
  <c r="G237" i="47"/>
  <c r="G277" i="47"/>
  <c r="G278" i="47"/>
  <c r="C107" i="50"/>
  <c r="G107"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9" i="47"/>
  <c r="E47" i="49"/>
  <c r="G106" i="50"/>
  <c r="G103"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9" i="47"/>
  <c r="G298"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5" i="50"/>
  <c r="G104" i="50"/>
  <c r="G102" i="50"/>
  <c r="G52" i="50"/>
  <c r="G236" i="47"/>
  <c r="G235" i="47"/>
  <c r="G19" i="50"/>
  <c r="C116" i="50"/>
  <c r="G291" i="47"/>
  <c r="G294" i="47"/>
  <c r="G99" i="47"/>
  <c r="G100" i="47"/>
  <c r="G98" i="47"/>
  <c r="G97" i="47"/>
  <c r="G96" i="47"/>
  <c r="G95" i="47"/>
  <c r="G112" i="50"/>
  <c r="G111" i="50"/>
  <c r="C161" i="43"/>
  <c r="G471" i="47"/>
  <c r="G470" i="47"/>
  <c r="G469" i="47"/>
  <c r="G468" i="47"/>
  <c r="G478" i="47"/>
  <c r="G477" i="47"/>
  <c r="G476" i="47"/>
  <c r="G475" i="47"/>
  <c r="G474" i="47"/>
  <c r="G473" i="47"/>
  <c r="G472" i="47"/>
  <c r="G467" i="47"/>
  <c r="G466" i="47"/>
  <c r="G465" i="47"/>
  <c r="G464" i="47"/>
  <c r="G461" i="47"/>
  <c r="C161" i="45"/>
  <c r="J161" i="45"/>
  <c r="C160" i="45"/>
  <c r="C159" i="45"/>
  <c r="J160" i="45"/>
  <c r="C158" i="45"/>
  <c r="J159" i="45"/>
  <c r="G418" i="47"/>
  <c r="J411" i="45"/>
  <c r="C421" i="45"/>
  <c r="J428" i="45"/>
  <c r="J427" i="45"/>
  <c r="J425" i="45"/>
  <c r="J426" i="45"/>
  <c r="J424" i="45"/>
  <c r="J423" i="45"/>
  <c r="J422" i="45"/>
  <c r="J421" i="45"/>
  <c r="J420" i="45"/>
  <c r="J419" i="45"/>
  <c r="C25" i="45"/>
  <c r="J30" i="45"/>
  <c r="J29" i="45"/>
  <c r="J212" i="45"/>
  <c r="J164" i="45"/>
  <c r="C165" i="45"/>
  <c r="J165" i="45"/>
  <c r="J163" i="45"/>
  <c r="J270" i="45"/>
  <c r="G419" i="47"/>
  <c r="G415" i="47"/>
  <c r="G416" i="47"/>
  <c r="G417" i="47"/>
  <c r="G414" i="47"/>
  <c r="J413" i="45"/>
  <c r="C405" i="45"/>
  <c r="G534" i="47"/>
  <c r="G533" i="47"/>
  <c r="G532" i="47"/>
  <c r="G531" i="47"/>
  <c r="C115" i="50"/>
  <c r="C166" i="47"/>
  <c r="C165" i="47"/>
  <c r="C55" i="49"/>
  <c r="L55" i="49"/>
  <c r="K55" i="49"/>
  <c r="H55" i="49"/>
  <c r="G55" i="49"/>
  <c r="J55" i="49"/>
  <c r="I55" i="49"/>
  <c r="E55" i="49"/>
  <c r="D55" i="49"/>
  <c r="B55" i="49"/>
  <c r="B47" i="49"/>
  <c r="L47" i="49"/>
  <c r="K47" i="49"/>
  <c r="H47" i="49"/>
  <c r="F47" i="49"/>
  <c r="G47" i="49"/>
  <c r="J47" i="49"/>
  <c r="I47" i="49"/>
  <c r="D47" i="49"/>
  <c r="C47" i="49"/>
  <c r="G75" i="47"/>
  <c r="G74" i="47"/>
  <c r="C565" i="47"/>
  <c r="G49" i="47"/>
  <c r="G386" i="47"/>
  <c r="C47" i="47"/>
  <c r="G50" i="47"/>
  <c r="G47" i="47"/>
  <c r="G101" i="50"/>
  <c r="C120" i="50"/>
  <c r="C119" i="50"/>
  <c r="C117" i="50"/>
  <c r="G113" i="50"/>
  <c r="G110" i="50"/>
  <c r="G109" i="50"/>
  <c r="G108" i="50"/>
  <c r="G114" i="50"/>
  <c r="G117" i="50"/>
  <c r="G116" i="50"/>
  <c r="G100"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5" i="50"/>
  <c r="G64" i="50"/>
  <c r="G63" i="50"/>
  <c r="G62" i="50"/>
  <c r="G61" i="50"/>
  <c r="G60" i="50"/>
  <c r="G59" i="50"/>
  <c r="G58" i="50"/>
  <c r="G57" i="50"/>
  <c r="G56" i="50"/>
  <c r="G55" i="50"/>
  <c r="G54" i="50"/>
  <c r="G53" i="50"/>
  <c r="G51" i="50"/>
  <c r="G50" i="50"/>
  <c r="G49" i="50"/>
  <c r="G48" i="50"/>
  <c r="G47" i="50"/>
  <c r="G46" i="50"/>
  <c r="G45" i="50"/>
  <c r="G44" i="50"/>
  <c r="G43" i="50"/>
  <c r="G42" i="50"/>
  <c r="G122" i="50"/>
  <c r="G121" i="50"/>
  <c r="G115" i="50"/>
  <c r="G120" i="50"/>
  <c r="G119" i="50"/>
  <c r="G118"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3" i="47"/>
  <c r="G296" i="47"/>
  <c r="G295" i="47"/>
  <c r="G290" i="47"/>
  <c r="G379" i="47"/>
  <c r="G378" i="47"/>
  <c r="G384"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3"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7" i="47"/>
  <c r="G79" i="44"/>
  <c r="G411" i="47"/>
  <c r="G404" i="47"/>
  <c r="G399" i="47"/>
  <c r="G405" i="47"/>
  <c r="G412" i="47"/>
  <c r="G410" i="47"/>
  <c r="G403" i="47"/>
  <c r="G409" i="47"/>
  <c r="G408" i="47"/>
  <c r="G407" i="47"/>
  <c r="G406" i="47"/>
  <c r="C168" i="47"/>
  <c r="G168" i="47"/>
  <c r="C169" i="47"/>
  <c r="G169" i="47"/>
  <c r="D177" i="43"/>
  <c r="D176" i="43"/>
  <c r="C176" i="43"/>
  <c r="C177" i="43"/>
  <c r="G157" i="47"/>
  <c r="H278" i="43"/>
  <c r="H279" i="43"/>
  <c r="H277" i="43"/>
  <c r="H276" i="43"/>
  <c r="H275" i="43"/>
  <c r="H274" i="43"/>
  <c r="H273" i="43"/>
  <c r="H272" i="43"/>
  <c r="G217" i="47"/>
  <c r="C375" i="43"/>
  <c r="G530" i="47"/>
  <c r="G529" i="47"/>
  <c r="C203" i="47"/>
  <c r="G203" i="47"/>
  <c r="G537" i="47"/>
  <c r="G550" i="47"/>
  <c r="G526" i="47"/>
  <c r="G527" i="47"/>
  <c r="G525" i="47"/>
  <c r="G545" i="47"/>
  <c r="G544" i="47"/>
  <c r="G241" i="47"/>
  <c r="G244" i="47"/>
  <c r="G251" i="47"/>
  <c r="G248" i="47"/>
  <c r="G249" i="47"/>
  <c r="C172" i="47"/>
  <c r="C171" i="47"/>
  <c r="G560" i="47"/>
  <c r="G93" i="47"/>
  <c r="G92" i="47"/>
  <c r="G91" i="47"/>
  <c r="G90" i="47"/>
  <c r="G89" i="47"/>
  <c r="G88" i="47"/>
  <c r="G76" i="47"/>
  <c r="G87" i="47"/>
  <c r="G86" i="47"/>
  <c r="G85" i="47"/>
  <c r="G84" i="47"/>
  <c r="G83" i="47"/>
  <c r="G82" i="47"/>
  <c r="G81" i="47"/>
  <c r="G80" i="47"/>
  <c r="G79" i="47"/>
  <c r="G78" i="47"/>
  <c r="G77" i="47"/>
  <c r="G171" i="47"/>
  <c r="G14" i="47"/>
  <c r="G564" i="47"/>
  <c r="G268" i="47"/>
  <c r="G271" i="47"/>
  <c r="G55" i="47"/>
  <c r="G54" i="47"/>
  <c r="G4" i="47"/>
  <c r="C499" i="47"/>
  <c r="G397" i="47"/>
  <c r="G380" i="47"/>
  <c r="G502"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63" i="47"/>
  <c r="G462" i="47"/>
  <c r="G460" i="47"/>
  <c r="G459" i="47"/>
  <c r="G458" i="47"/>
  <c r="G457" i="47"/>
  <c r="G456" i="47"/>
  <c r="G455" i="47"/>
  <c r="G454" i="47"/>
  <c r="G452" i="47"/>
  <c r="G451" i="47"/>
  <c r="G441" i="47"/>
  <c r="G440" i="47"/>
  <c r="G439" i="47"/>
  <c r="G438" i="47"/>
  <c r="G437" i="47"/>
  <c r="G436" i="47"/>
  <c r="G435" i="47"/>
  <c r="G434" i="47"/>
  <c r="G433" i="47"/>
  <c r="G432" i="47"/>
  <c r="G431" i="47"/>
  <c r="G430" i="47"/>
  <c r="G429" i="47"/>
  <c r="G428" i="47"/>
  <c r="G427" i="47"/>
  <c r="G426" i="47"/>
  <c r="G425" i="47"/>
  <c r="G396" i="47"/>
  <c r="G395" i="47"/>
  <c r="G394" i="47"/>
  <c r="G393" i="47"/>
  <c r="G392" i="47"/>
  <c r="G391" i="47"/>
  <c r="G390" i="47"/>
  <c r="G388" i="47"/>
  <c r="G387" i="47"/>
  <c r="G385" i="47"/>
  <c r="G383" i="47"/>
  <c r="G382" i="47"/>
  <c r="G381" i="47"/>
  <c r="G369" i="47"/>
  <c r="G368" i="47"/>
  <c r="G366"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7" i="47"/>
  <c r="G292" i="47"/>
  <c r="G567" i="47"/>
  <c r="G566" i="47"/>
  <c r="G565" i="47"/>
  <c r="G528" i="47"/>
  <c r="G563" i="47"/>
  <c r="G562" i="47"/>
  <c r="G561" i="47"/>
  <c r="G559" i="47"/>
  <c r="G540" i="47"/>
  <c r="G539" i="47"/>
  <c r="G538" i="47"/>
  <c r="G73" i="47"/>
  <c r="G558" i="47"/>
  <c r="G557" i="47"/>
  <c r="G556" i="47"/>
  <c r="G555" i="47"/>
  <c r="G554" i="47"/>
  <c r="G553" i="47"/>
  <c r="G519" i="47"/>
  <c r="G518" i="47"/>
  <c r="G517" i="47"/>
  <c r="G546" i="47"/>
  <c r="G543" i="47"/>
  <c r="G542" i="47"/>
  <c r="G541" i="47"/>
  <c r="G516" i="47"/>
  <c r="G377" i="47"/>
  <c r="G376" i="47"/>
  <c r="G375" i="47"/>
  <c r="G374" i="47"/>
  <c r="G373" i="47"/>
  <c r="G372" i="47"/>
  <c r="G371" i="47"/>
  <c r="G370" i="47"/>
  <c r="G515" i="47"/>
  <c r="G549" i="47"/>
  <c r="G548" i="47"/>
  <c r="G547" i="47"/>
  <c r="G514" i="47"/>
  <c r="G513" i="47"/>
  <c r="G512" i="47"/>
  <c r="G511" i="47"/>
  <c r="G510" i="47"/>
  <c r="G509" i="47"/>
  <c r="G508" i="47"/>
  <c r="G507" i="47"/>
  <c r="G506" i="47"/>
  <c r="G505" i="47"/>
  <c r="G504" i="47"/>
  <c r="G503" i="47"/>
  <c r="G288" i="47"/>
  <c r="G287" i="47"/>
  <c r="G286" i="47"/>
  <c r="G285" i="47"/>
  <c r="G284" i="47"/>
  <c r="G283" i="47"/>
  <c r="G282" i="47"/>
  <c r="G281" i="47"/>
  <c r="G280" i="47"/>
  <c r="C240" i="47"/>
  <c r="C167" i="47"/>
  <c r="C226"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4" i="47"/>
  <c r="G423" i="47"/>
  <c r="G422" i="47"/>
  <c r="G421" i="47"/>
  <c r="G420" i="47"/>
  <c r="G240" i="47"/>
  <c r="G165" i="47"/>
  <c r="G167" i="47"/>
  <c r="G226" i="47"/>
  <c r="G209" i="47"/>
  <c r="G225" i="47"/>
  <c r="G208" i="47"/>
  <c r="G172" i="47"/>
  <c r="G170" i="47"/>
  <c r="G164" i="47"/>
  <c r="G163" i="47"/>
  <c r="G166" i="47"/>
  <c r="G162" i="47"/>
  <c r="G210" i="47"/>
  <c r="G231" i="47"/>
  <c r="G207" i="47"/>
  <c r="G230" i="47"/>
  <c r="G229" i="47"/>
  <c r="G228" i="47"/>
  <c r="G227" i="47"/>
  <c r="G520" i="47"/>
  <c r="G524" i="47"/>
  <c r="G523" i="47"/>
  <c r="G522" i="47"/>
  <c r="G72" i="47"/>
  <c r="G71" i="47"/>
  <c r="G68" i="47"/>
  <c r="G69" i="47"/>
  <c r="G521" i="47"/>
  <c r="G552" i="47"/>
  <c r="G551" i="47"/>
  <c r="G413" i="47"/>
  <c r="G402" i="47"/>
  <c r="G401" i="47"/>
  <c r="G400" i="47"/>
  <c r="G398" i="47"/>
  <c r="G67" i="47"/>
  <c r="G66" i="47"/>
  <c r="G65" i="47"/>
  <c r="G255" i="47"/>
  <c r="G254" i="47"/>
  <c r="G253" i="47"/>
  <c r="G252" i="47"/>
  <c r="G250" i="47"/>
  <c r="G247" i="47"/>
  <c r="G246" i="47"/>
  <c r="G245" i="47"/>
  <c r="G243" i="47"/>
  <c r="G242" i="47"/>
  <c r="G224" i="47"/>
  <c r="G223" i="47"/>
  <c r="G221" i="47"/>
  <c r="G220" i="47"/>
  <c r="G219" i="47"/>
  <c r="G239" i="47"/>
  <c r="G218" i="47"/>
  <c r="G216" i="47"/>
  <c r="G215" i="47"/>
  <c r="G238" i="47"/>
  <c r="G214" i="47"/>
  <c r="G213" i="47"/>
  <c r="G234" i="47"/>
  <c r="G212" i="47"/>
  <c r="G211" i="47"/>
  <c r="G233" i="47"/>
  <c r="G232" i="47"/>
  <c r="G569" i="47"/>
  <c r="G568" i="47"/>
  <c r="G279" i="47"/>
  <c r="G276" i="47"/>
  <c r="G275" i="47"/>
  <c r="G274" i="47"/>
  <c r="G273" i="47"/>
  <c r="G272" i="47"/>
  <c r="G270" i="47"/>
  <c r="G269" i="47"/>
  <c r="G267" i="47"/>
  <c r="G266" i="47"/>
  <c r="G265" i="47"/>
  <c r="G264" i="47"/>
  <c r="G263" i="47"/>
  <c r="G262" i="47"/>
  <c r="G261" i="47"/>
  <c r="G260" i="47"/>
  <c r="G259" i="47"/>
  <c r="G258" i="47"/>
  <c r="G257" i="47"/>
  <c r="G256" i="47"/>
  <c r="G5" i="47"/>
  <c r="G570" i="47"/>
  <c r="G571"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1" i="47"/>
  <c r="F452" i="47" s="1"/>
  <c r="F453" i="47" l="1"/>
  <c r="F454" i="47" s="1"/>
  <c r="F455" i="47" s="1"/>
  <c r="F456" i="47" s="1"/>
  <c r="F457" i="47" s="1"/>
  <c r="F458" i="47" s="1"/>
  <c r="F459" i="47" s="1"/>
  <c r="F460" i="47" s="1"/>
  <c r="F461" i="47" l="1"/>
  <c r="F462" i="47" s="1"/>
  <c r="F463" i="47" s="1"/>
  <c r="F464" i="47" l="1"/>
  <c r="F465" i="47" s="1"/>
  <c r="F466" i="47" s="1"/>
  <c r="F467" i="47" s="1"/>
  <c r="F468" i="47" l="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s="1"/>
  <c r="F535" i="47" l="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F569" i="47" s="1"/>
  <c r="F570" i="47" s="1"/>
  <c r="F571" i="47" s="1"/>
  <c r="I15" i="45"/>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l="1"/>
  <c r="C651" i="46"/>
  <c r="C659" i="46"/>
  <c r="C655" i="46"/>
  <c r="C652" i="46"/>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3" i="44" l="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F26" i="44" s="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230" i="46" s="1"/>
  <c r="D821" i="46"/>
  <c r="D820" i="46"/>
  <c r="D817" i="46"/>
  <c r="D825" i="46"/>
  <c r="D228" i="46"/>
  <c r="D586" i="46"/>
  <c r="D689" i="46"/>
  <c r="D830" i="46"/>
  <c r="D824" i="46"/>
  <c r="D138" i="46"/>
  <c r="D833" i="46"/>
  <c r="D198" i="46"/>
  <c r="D826" i="46"/>
  <c r="D214" i="46"/>
  <c r="D811" i="46"/>
  <c r="D475" i="46"/>
  <c r="D941" i="46"/>
  <c r="D697" i="46"/>
  <c r="D823" i="46"/>
  <c r="D320" i="46"/>
  <c r="D634" i="46"/>
  <c r="D240" i="46"/>
  <c r="D663" i="46"/>
  <c r="D671" i="46"/>
  <c r="D591" i="46"/>
  <c r="D810" i="46"/>
  <c r="D866" i="46"/>
  <c r="D740" i="46"/>
  <c r="D541" i="46"/>
  <c r="D818" i="46"/>
  <c r="D407" i="46"/>
  <c r="D397" i="46"/>
  <c r="D595" i="46"/>
  <c r="D682" i="46"/>
  <c r="D982" i="46"/>
  <c r="D242" i="46"/>
  <c r="D411" i="46"/>
  <c r="D666" i="46"/>
  <c r="D632" i="46"/>
  <c r="D654" i="46"/>
  <c r="D67" i="46"/>
  <c r="D861" i="46"/>
  <c r="D838" i="46"/>
  <c r="D865" i="46"/>
  <c r="D691" i="46"/>
  <c r="D354" i="46"/>
  <c r="D548" i="46"/>
  <c r="D279" i="46"/>
  <c r="D287" i="46"/>
  <c r="D680" i="46"/>
  <c r="D551" i="46"/>
  <c r="D582" i="46"/>
  <c r="D673" i="46"/>
  <c r="D493" i="46"/>
  <c r="D262" i="46"/>
  <c r="D639" i="46"/>
  <c r="D438" i="46"/>
  <c r="D303" i="46"/>
  <c r="D834" i="46"/>
  <c r="D290" i="46"/>
  <c r="D416" i="46"/>
  <c r="D391" i="46"/>
  <c r="D58" i="46"/>
  <c r="D683" i="46"/>
  <c r="D222" i="46"/>
  <c r="D576" i="46"/>
  <c r="D842" i="46"/>
  <c r="D479" i="46"/>
  <c r="D516" i="46"/>
  <c r="D495" i="46"/>
  <c r="D995" i="46"/>
  <c r="D899" i="46"/>
  <c r="D110" i="46"/>
  <c r="D609" i="46"/>
  <c r="D175" i="46"/>
  <c r="D545" i="46"/>
  <c r="D77" i="46"/>
  <c r="D440" i="46"/>
  <c r="D146" i="46"/>
  <c r="D658" i="46"/>
  <c r="D832" i="46"/>
  <c r="D47" i="46"/>
  <c r="D121" i="46"/>
  <c r="D882" i="46"/>
  <c r="D875" i="46"/>
  <c r="D401" i="46"/>
  <c r="D219" i="46"/>
  <c r="D849" i="46"/>
  <c r="D894" i="46"/>
  <c r="D850" i="46"/>
  <c r="D567" i="46"/>
  <c r="F2" i="47"/>
  <c r="F3" i="47" s="1"/>
  <c r="F4" i="47" s="1"/>
  <c r="F5" i="47" s="1"/>
  <c r="F6" i="47" s="1"/>
  <c r="F7" i="47" s="1"/>
  <c r="F8" i="47" s="1"/>
  <c r="F9" i="47" s="1"/>
  <c r="F10" i="47" s="1"/>
  <c r="F11" i="47" s="1"/>
  <c r="F12" i="47" s="1"/>
  <c r="D264" i="46"/>
  <c r="D698" i="46"/>
  <c r="D20" i="46"/>
  <c r="D518" i="46"/>
  <c r="D167" i="46"/>
  <c r="D472" i="46"/>
  <c r="D381" i="46"/>
  <c r="D86" i="46"/>
  <c r="D496" i="46"/>
  <c r="D422" i="46"/>
  <c r="D828" i="46"/>
  <c r="D896" i="46"/>
  <c r="D547" i="46"/>
  <c r="D473" i="46"/>
  <c r="D317" i="46"/>
  <c r="D394" i="46"/>
  <c r="D903" i="46"/>
  <c r="D621" i="46"/>
  <c r="D269" i="46"/>
  <c r="D652" i="46"/>
  <c r="D60" i="46"/>
  <c r="D268" i="46"/>
  <c r="D125" i="46"/>
  <c r="D369" i="46"/>
  <c r="D73" i="46"/>
  <c r="D684" i="46"/>
  <c r="D927" i="46"/>
  <c r="D385" i="46"/>
  <c r="D730" i="46"/>
  <c r="D431" i="46"/>
  <c r="D421" i="46"/>
  <c r="D737" i="46"/>
  <c r="D357" i="46"/>
  <c r="D885" i="46"/>
  <c r="D184" i="46"/>
  <c r="D724" i="46"/>
  <c r="D197" i="46"/>
  <c r="D703" i="46"/>
  <c r="D191" i="46"/>
  <c r="D827" i="46"/>
  <c r="D723" i="46"/>
  <c r="D677" i="46"/>
  <c r="D650" i="46"/>
  <c r="D375" i="46"/>
  <c r="D530" i="46"/>
  <c r="D909" i="46"/>
  <c r="D223" i="46"/>
  <c r="D80" i="46"/>
  <c r="D11" i="46"/>
  <c r="D919" i="46"/>
  <c r="D39" i="46"/>
  <c r="D966" i="46"/>
  <c r="D628" i="46"/>
  <c r="D253" i="46"/>
  <c r="D996" i="46"/>
  <c r="D131" i="46"/>
  <c r="D206" i="46"/>
  <c r="D531" i="46"/>
  <c r="D880" i="46"/>
  <c r="D335" i="46"/>
  <c r="D109" i="46"/>
  <c r="D984" i="46"/>
  <c r="D878" i="46"/>
  <c r="D734" i="46"/>
  <c r="D509" i="46"/>
  <c r="D914" i="46"/>
  <c r="D270" i="46"/>
  <c r="D450" i="46"/>
  <c r="D946" i="46"/>
  <c r="D556" i="46"/>
  <c r="D1000" i="46"/>
  <c r="D454" i="46"/>
  <c r="D819" i="46"/>
  <c r="D633" i="46"/>
  <c r="D669" i="46"/>
  <c r="D722" i="46"/>
  <c r="D169" i="46"/>
  <c r="D667" i="46"/>
  <c r="D491" i="46"/>
  <c r="D648" i="46"/>
  <c r="D728" i="46"/>
  <c r="D971" i="46"/>
  <c r="D741" i="46"/>
  <c r="D213" i="46"/>
  <c r="D273" i="46"/>
  <c r="D494" i="46"/>
  <c r="D950" i="46"/>
  <c r="D874" i="46"/>
  <c r="D517" i="46"/>
  <c r="D853" i="46" l="1"/>
  <c r="D561" i="46"/>
  <c r="D453" i="46"/>
  <c r="D378" i="46"/>
  <c r="D549" i="46"/>
  <c r="D432" i="46"/>
  <c r="D598" i="46"/>
  <c r="D170" i="46"/>
  <c r="D540" i="46"/>
  <c r="D539" i="46"/>
  <c r="D446" i="46"/>
  <c r="D203" i="46"/>
  <c r="D854" i="46"/>
  <c r="D298" i="46"/>
  <c r="D444" i="46"/>
  <c r="D645" i="46"/>
  <c r="D42" i="46"/>
  <c r="D15" i="46"/>
  <c r="D877" i="46"/>
  <c r="D979" i="46"/>
  <c r="D293" i="46"/>
  <c r="D718" i="46"/>
  <c r="D837" i="46"/>
  <c r="D452" i="46"/>
  <c r="D602" i="46"/>
  <c r="D14" i="46"/>
  <c r="D30" i="46"/>
  <c r="D173" i="46"/>
  <c r="D84" i="46"/>
  <c r="D442" i="46"/>
  <c r="D105" i="46"/>
  <c r="D388" i="46"/>
  <c r="D35" i="46"/>
  <c r="D488" i="46"/>
  <c r="D564" i="46"/>
  <c r="D278" i="46"/>
  <c r="D508" i="46"/>
  <c r="D292" i="46"/>
  <c r="D68" i="46"/>
  <c r="D75" i="46"/>
  <c r="D182" i="46"/>
  <c r="D266" i="46"/>
  <c r="D642" i="46"/>
  <c r="D325" i="46"/>
  <c r="D178" i="46"/>
  <c r="D980" i="46"/>
  <c r="D316" i="46"/>
  <c r="D720" i="46"/>
  <c r="D133" i="46"/>
  <c r="D291" i="46"/>
  <c r="D127" i="46"/>
  <c r="D891" i="46"/>
  <c r="D566" i="46"/>
  <c r="D483" i="46"/>
  <c r="D220" i="46"/>
  <c r="D515" i="46"/>
  <c r="D4" i="46"/>
  <c r="D225" i="46"/>
  <c r="D938" i="46"/>
  <c r="D529" i="46"/>
  <c r="D873" i="46"/>
  <c r="D897" i="46"/>
  <c r="D489" i="46"/>
  <c r="D439" i="46"/>
  <c r="D323" i="46"/>
  <c r="D895" i="46"/>
  <c r="D552" i="46"/>
  <c r="D587" i="46"/>
  <c r="D373" i="46"/>
  <c r="D428" i="46"/>
  <c r="D708" i="46"/>
  <c r="D583" i="46"/>
  <c r="D581" i="46"/>
  <c r="D1003" i="46"/>
  <c r="D165" i="46"/>
  <c r="D640" i="46"/>
  <c r="D117" i="46"/>
  <c r="D527" i="46"/>
  <c r="D370" i="46"/>
  <c r="D260" i="46"/>
  <c r="D858" i="46"/>
  <c r="D150" i="46"/>
  <c r="D593" i="46"/>
  <c r="D246" i="46"/>
  <c r="D542" i="46"/>
  <c r="D983" i="46"/>
  <c r="D952" i="46"/>
  <c r="D965" i="46"/>
  <c r="D366" i="46"/>
  <c r="D991" i="46"/>
  <c r="D149" i="46"/>
  <c r="D37" i="46"/>
  <c r="D704" i="46"/>
  <c r="D304" i="46"/>
  <c r="D707" i="46"/>
  <c r="D414" i="46"/>
  <c r="D380" i="46"/>
  <c r="D285" i="46"/>
  <c r="D342" i="46"/>
  <c r="D143" i="46"/>
  <c r="D498" i="46"/>
  <c r="D83" i="46"/>
  <c r="D636" i="46"/>
  <c r="D63" i="46"/>
  <c r="D538" i="46"/>
  <c r="D115" i="46"/>
  <c r="D181" i="46"/>
  <c r="D907" i="46"/>
  <c r="D623" i="46"/>
  <c r="D900" i="46"/>
  <c r="D592" i="46"/>
  <c r="D868" i="46"/>
  <c r="D10" i="46"/>
  <c r="D451" i="46"/>
  <c r="D362" i="46"/>
  <c r="D300" i="46"/>
  <c r="D981" i="46"/>
  <c r="D358" i="46"/>
  <c r="D237" i="46"/>
  <c r="D603" i="46"/>
  <c r="D208" i="46"/>
  <c r="D526" i="46"/>
  <c r="D417" i="46"/>
  <c r="D134" i="46"/>
  <c r="D960" i="46"/>
  <c r="D56" i="46"/>
  <c r="D886" i="46"/>
  <c r="D31" i="46"/>
  <c r="D79" i="46"/>
  <c r="D565" i="46"/>
  <c r="D676" i="46"/>
  <c r="D523" i="46"/>
  <c r="D308" i="46"/>
  <c r="D257" i="46"/>
  <c r="D255" i="46"/>
  <c r="D534" i="46"/>
  <c r="D926" i="46"/>
  <c r="D887" i="46"/>
  <c r="D259" i="46"/>
  <c r="D575" i="46"/>
  <c r="D717" i="46"/>
  <c r="D232" i="46"/>
  <c r="D987" i="46"/>
  <c r="D589" i="46"/>
  <c r="D275" i="46"/>
  <c r="D9" i="46"/>
  <c r="D604" i="46"/>
  <c r="D81" i="46"/>
  <c r="D497" i="46"/>
  <c r="D415" i="46"/>
  <c r="D371" i="46"/>
  <c r="D276" i="46"/>
  <c r="D186" i="46"/>
  <c r="D144" i="46"/>
  <c r="D409" i="46"/>
  <c r="D330" i="46"/>
  <c r="D510" i="46"/>
  <c r="D379" i="46"/>
  <c r="D177" i="46"/>
  <c r="D884" i="46"/>
  <c r="D519" i="46"/>
  <c r="D840" i="46"/>
  <c r="D922" i="46"/>
  <c r="D511" i="46"/>
  <c r="D254" i="46"/>
  <c r="D558" i="46"/>
  <c r="D458" i="46"/>
  <c r="D53" i="46"/>
  <c r="D738" i="46"/>
  <c r="D888" i="46"/>
  <c r="D714" i="46"/>
  <c r="D716" i="46"/>
  <c r="D36" i="46"/>
  <c r="D13" i="46"/>
  <c r="D447" i="46"/>
  <c r="D231" i="46"/>
  <c r="D389" i="46"/>
  <c r="D846" i="46"/>
  <c r="D931" i="46"/>
  <c r="D665" i="46"/>
  <c r="D572" i="46"/>
  <c r="D954" i="46"/>
  <c r="D646" i="46"/>
  <c r="D424" i="46"/>
  <c r="D129" i="46"/>
  <c r="D726" i="46"/>
  <c r="D406" i="46"/>
  <c r="D990" i="46"/>
  <c r="D514" i="46"/>
  <c r="D244" i="46"/>
  <c r="D252" i="46"/>
  <c r="D630" i="46"/>
  <c r="D258" i="46"/>
  <c r="D637" i="46"/>
  <c r="D499" i="46"/>
  <c r="D319" i="46"/>
  <c r="D618" i="46"/>
  <c r="D976" i="46"/>
  <c r="D601" i="46"/>
  <c r="D23" i="46"/>
  <c r="D474" i="46"/>
  <c r="D445" i="46"/>
  <c r="D356" i="46"/>
  <c r="D994" i="46"/>
  <c r="D306" i="46"/>
  <c r="D864" i="46"/>
  <c r="D940" i="46"/>
  <c r="D116" i="46"/>
  <c r="D29" i="46"/>
  <c r="D568" i="46"/>
  <c r="D168" i="46"/>
  <c r="D649" i="46"/>
  <c r="D536" i="46"/>
  <c r="D465" i="46"/>
  <c r="D174" i="46"/>
  <c r="D631" i="46"/>
  <c r="D993" i="46"/>
  <c r="D456" i="46"/>
  <c r="D201" i="46"/>
  <c r="D238" i="46"/>
  <c r="D139" i="46"/>
  <c r="D937" i="46"/>
  <c r="D921" i="46"/>
  <c r="D7" i="46"/>
  <c r="D573" i="46"/>
  <c r="D78" i="46"/>
  <c r="D614" i="46"/>
  <c r="D890" i="46"/>
  <c r="D928" i="46"/>
  <c r="D95" i="46"/>
  <c r="D948" i="46"/>
  <c r="D50" i="46"/>
  <c r="D486" i="46"/>
  <c r="D436" i="46"/>
  <c r="D712" i="46"/>
  <c r="D535" i="46"/>
  <c r="D871" i="46"/>
  <c r="D932" i="46"/>
  <c r="D331" i="46"/>
  <c r="D852" i="46"/>
  <c r="D180" i="46"/>
  <c r="D701" i="46"/>
  <c r="D430" i="46"/>
  <c r="D233" i="46"/>
  <c r="D40" i="46"/>
  <c r="D383" i="46"/>
  <c r="D281" i="46"/>
  <c r="D210" i="46"/>
  <c r="D872" i="46"/>
  <c r="D955" i="46"/>
  <c r="D119"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D956" i="46"/>
  <c r="D629" i="46"/>
  <c r="D32" i="46"/>
  <c r="D543" i="46"/>
  <c r="D719" i="46"/>
  <c r="D661" i="46"/>
  <c r="D289" i="46"/>
  <c r="D606" i="46"/>
  <c r="D973" i="46"/>
  <c r="D692" i="46"/>
  <c r="D91" i="46"/>
  <c r="D936" i="46"/>
  <c r="D997" i="46"/>
  <c r="D215" i="46"/>
  <c r="D209" i="46"/>
  <c r="D280" i="46"/>
  <c r="D836" i="46"/>
  <c r="D584" i="46"/>
  <c r="D348" i="46"/>
  <c r="D466" i="46"/>
  <c r="D869" i="46"/>
  <c r="D166" i="46"/>
  <c r="D904" i="46"/>
  <c r="D608" i="46"/>
  <c r="D605" i="46"/>
  <c r="D402" i="46"/>
  <c r="D939" i="46"/>
  <c r="D85" i="46"/>
  <c r="D463" i="46"/>
  <c r="D512" i="46"/>
  <c r="D596" i="46"/>
  <c r="D597" i="46"/>
  <c r="D500" i="46"/>
  <c r="D59" i="46"/>
  <c r="D693" i="46"/>
  <c r="D653" i="46"/>
  <c r="D977" i="46"/>
  <c r="D992" i="46"/>
  <c r="D328" i="46"/>
  <c r="D21" i="46"/>
  <c r="D123" i="46"/>
  <c r="D635" i="46"/>
  <c r="D681" i="46"/>
  <c r="D340" i="46"/>
  <c r="D339" i="46"/>
  <c r="D559" i="46"/>
  <c r="D580" i="46"/>
  <c r="D664" i="46"/>
  <c r="D471" i="46"/>
  <c r="D470" i="46"/>
  <c r="D594" i="46"/>
  <c r="D176" i="46"/>
  <c r="D163" i="46"/>
  <c r="D245" i="46"/>
  <c r="D343" i="46"/>
  <c r="D185" i="46"/>
  <c r="D721" i="46"/>
  <c r="D403" i="46"/>
  <c r="D570" i="46"/>
  <c r="D374" i="46"/>
  <c r="D309" i="46"/>
  <c r="D74" i="46"/>
  <c r="D8" i="46"/>
  <c r="D136" i="46"/>
  <c r="D277" i="46"/>
  <c r="D199" i="46"/>
  <c r="D610" i="46"/>
  <c r="D624" i="46"/>
  <c r="D906" i="46"/>
  <c r="D913" i="46"/>
  <c r="D142" i="46"/>
  <c r="D434" i="46"/>
  <c r="D120" i="46"/>
  <c r="D19" i="46"/>
  <c r="D710" i="46"/>
  <c r="D975" i="46"/>
  <c r="D161" i="46"/>
  <c r="D334" i="46"/>
  <c r="D398" i="46"/>
  <c r="D368" i="46"/>
  <c r="D571" i="46"/>
  <c r="D555" i="46"/>
  <c r="D920" i="46"/>
  <c r="D468" i="46"/>
  <c r="D647" i="46"/>
  <c r="D423" i="46"/>
  <c r="D917" i="46"/>
  <c r="D377" i="46"/>
  <c r="D296" i="46"/>
  <c r="D192" i="46"/>
  <c r="D190" i="46"/>
  <c r="D958" i="46"/>
  <c r="D55" i="46"/>
  <c r="D485" i="46"/>
  <c r="D588" i="46"/>
  <c r="D310" i="46"/>
  <c r="D367" i="46"/>
  <c r="D521" i="46"/>
  <c r="D347" i="46"/>
  <c r="D735" i="46"/>
  <c r="D962" i="46"/>
  <c r="D881" i="46"/>
  <c r="D662" i="46"/>
  <c r="D229" i="46"/>
  <c r="D351" i="46"/>
  <c r="D297" i="46"/>
  <c r="D901" i="46"/>
  <c r="D324" i="46"/>
  <c r="D579" i="46"/>
  <c r="D599" i="46"/>
  <c r="D626" i="46"/>
  <c r="D918" i="46"/>
  <c r="D478" i="46"/>
  <c r="D690" i="46"/>
  <c r="D152" i="46"/>
  <c r="D25" i="46"/>
  <c r="D563" i="46"/>
  <c r="D733" i="46"/>
  <c r="D93" i="46"/>
  <c r="D916" i="46"/>
  <c r="D76" i="46"/>
  <c r="D302" i="46"/>
  <c r="D732" i="46"/>
  <c r="D768" i="46"/>
  <c r="H2" i="52"/>
  <c r="D27" i="46"/>
  <c r="D171" i="46"/>
  <c r="D382" i="46"/>
  <c r="D418" i="46"/>
  <c r="D426" i="46"/>
  <c r="D313" i="46"/>
  <c r="D148" i="46"/>
  <c r="D70" i="46"/>
  <c r="D108" i="46"/>
  <c r="D467" i="46"/>
  <c r="D211" i="46"/>
  <c r="D912" i="46"/>
  <c r="D141" i="46"/>
  <c r="D844" i="46"/>
  <c r="D600" i="46"/>
  <c r="D312" i="46"/>
  <c r="D998" i="46"/>
  <c r="D82" i="46"/>
  <c r="D590" i="46"/>
  <c r="D236" i="46"/>
  <c r="D972" i="46"/>
  <c r="D651" i="46"/>
  <c r="D122" i="46"/>
  <c r="D69" i="46"/>
  <c r="D560" i="46"/>
  <c r="D870" i="46"/>
  <c r="D271" i="46"/>
  <c r="D578" i="46"/>
  <c r="D968" i="46"/>
  <c r="D949" i="46"/>
  <c r="D164" i="46"/>
  <c r="D537" i="46"/>
  <c r="D251" i="46"/>
  <c r="D925" i="46"/>
  <c r="D263" i="46"/>
  <c r="D322" i="46"/>
  <c r="D314" i="46"/>
  <c r="D18" i="46"/>
  <c r="D221" i="46"/>
  <c r="D638" i="46"/>
  <c r="D963" i="46"/>
  <c r="D546" i="46"/>
  <c r="D487" i="46"/>
  <c r="D969" i="46"/>
  <c r="D365" i="46"/>
  <c r="D265" i="46"/>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66" i="50" l="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F106" i="50" s="1"/>
  <c r="F107" i="50" s="1"/>
  <c r="F108" i="50" s="1"/>
  <c r="F109" i="50" s="1"/>
  <c r="F110" i="50" s="1"/>
  <c r="F111" i="50" s="1"/>
  <c r="F112" i="50" s="1"/>
  <c r="F113" i="50" s="1"/>
  <c r="F114" i="50" s="1"/>
  <c r="F115" i="50" s="1"/>
  <c r="F116" i="50" s="1"/>
  <c r="F117" i="50" s="1"/>
  <c r="F118" i="50" s="1"/>
  <c r="F119" i="50" s="1"/>
  <c r="F120" i="50" s="1"/>
  <c r="F121" i="50" s="1"/>
  <c r="F122" i="50" s="1"/>
  <c r="F14" i="47"/>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l="1"/>
  <c r="F223" i="47" s="1"/>
  <c r="F224" i="47" s="1"/>
  <c r="F225" i="47" s="1"/>
  <c r="F226" i="47" s="1"/>
  <c r="F227" i="47" s="1"/>
  <c r="F228" i="47" s="1"/>
  <c r="F229" i="47" s="1"/>
  <c r="F230" i="47" s="1"/>
  <c r="F231" i="47" s="1"/>
  <c r="F232" i="47" s="1"/>
  <c r="F233" i="47" s="1"/>
  <c r="F234" i="47" s="1"/>
  <c r="F235" i="47" s="1"/>
  <c r="F236" i="47" s="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F279"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80"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1" i="47" l="1"/>
  <c r="F282" i="47" l="1"/>
  <c r="F283" i="47" l="1"/>
  <c r="F284" i="47" l="1"/>
  <c r="F285" i="47" l="1"/>
  <c r="F286" i="47" l="1"/>
  <c r="F287" i="47" l="1"/>
  <c r="F288" i="47" l="1"/>
  <c r="F289" i="47" l="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F441" i="47" s="1"/>
  <c r="E252" i="46" s="1"/>
  <c r="F252" i="46" s="1"/>
  <c r="E132" i="46" l="1"/>
  <c r="F132" i="46" s="1"/>
  <c r="I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I744" i="46" s="1"/>
  <c r="E137" i="46"/>
  <c r="F137" i="46" s="1"/>
  <c r="I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L4" i="46" s="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 r="H3" i="52" l="1"/>
  <c r="H4" i="52" s="1"/>
  <c r="H5" i="52" s="1"/>
  <c r="H6" i="52" s="1"/>
  <c r="H7" i="52" s="1"/>
  <c r="H8" i="52" s="1"/>
  <c r="H9" i="52" l="1"/>
  <c r="H10" i="52" s="1"/>
  <c r="H11" i="52" s="1"/>
  <c r="H12" i="52" s="1"/>
  <c r="H13" i="52" s="1"/>
  <c r="H14" i="52" s="1"/>
  <c r="H15" i="52" s="1"/>
  <c r="H16" i="52" s="1"/>
  <c r="H17" i="52" s="1"/>
  <c r="H18" i="52" s="1"/>
  <c r="H19" i="52" s="1"/>
  <c r="H20" i="52" s="1"/>
  <c r="H21" i="52" s="1"/>
  <c r="H22" i="52" s="1"/>
  <c r="H23" i="52" s="1"/>
  <c r="H24" i="52" s="1"/>
  <c r="H25" i="52" s="1"/>
  <c r="H26" i="52" s="1"/>
  <c r="H27" i="52" s="1"/>
  <c r="H28" i="52" s="1"/>
  <c r="H29" i="52" s="1"/>
  <c r="H30" i="52" s="1"/>
  <c r="H31" i="52" s="1"/>
  <c r="H32" i="52" s="1"/>
  <c r="H33" i="52" s="1"/>
  <c r="H34" i="52" s="1"/>
  <c r="H35" i="52" s="1"/>
  <c r="H36" i="52" s="1"/>
  <c r="H37" i="52" s="1"/>
  <c r="H38" i="52" s="1"/>
  <c r="H39" i="52" s="1"/>
  <c r="H40" i="52" s="1"/>
  <c r="H41" i="52" s="1"/>
  <c r="H42" i="52" s="1"/>
  <c r="H43" i="52" s="1"/>
  <c r="H44" i="52" s="1"/>
  <c r="H45" i="52" s="1"/>
  <c r="H46" i="52" s="1"/>
  <c r="H47" i="52" s="1"/>
  <c r="H48" i="52" s="1"/>
  <c r="H49" i="52" s="1"/>
  <c r="H50" i="52" s="1"/>
  <c r="H51" i="52" s="1"/>
  <c r="H52" i="52" s="1"/>
  <c r="H53" i="52" s="1"/>
  <c r="H54" i="52" s="1"/>
  <c r="H55" i="52" s="1"/>
  <c r="H56" i="52" s="1"/>
  <c r="H57" i="52" s="1"/>
  <c r="H58" i="52" s="1"/>
  <c r="H59" i="52" s="1"/>
  <c r="H60" i="52" s="1"/>
  <c r="H61" i="52" s="1"/>
  <c r="H62" i="52" s="1"/>
  <c r="H63" i="52" s="1"/>
  <c r="H64" i="52" s="1"/>
  <c r="H65" i="52" s="1"/>
  <c r="H66" i="52" s="1"/>
  <c r="H67" i="52" s="1"/>
  <c r="H68" i="52" s="1"/>
  <c r="H69" i="52" s="1"/>
  <c r="H70" i="52" s="1"/>
  <c r="H71" i="52" s="1"/>
  <c r="H72" i="52" s="1"/>
  <c r="H73" i="52" s="1"/>
  <c r="H74" i="52" s="1"/>
  <c r="H75" i="52" s="1"/>
  <c r="H76" i="52" s="1"/>
  <c r="H77" i="52" s="1"/>
  <c r="H78" i="52" s="1"/>
  <c r="H79" i="52" s="1"/>
  <c r="H80" i="52" s="1"/>
  <c r="H81" i="52" s="1"/>
  <c r="H82" i="52" s="1"/>
  <c r="H83" i="52" s="1"/>
  <c r="H84" i="52" s="1"/>
  <c r="H85" i="52" s="1"/>
  <c r="H86" i="52" s="1"/>
  <c r="H87" i="52" s="1"/>
  <c r="H88" i="52" s="1"/>
  <c r="H89" i="52" s="1"/>
  <c r="H90" i="52" s="1"/>
  <c r="H91" i="52" s="1"/>
  <c r="H92" i="52" s="1"/>
  <c r="H93" i="52" s="1"/>
  <c r="H94" i="52" s="1"/>
  <c r="H95" i="52" s="1"/>
  <c r="H96" i="52" s="1"/>
  <c r="H97" i="52" s="1"/>
  <c r="H98" i="52" s="1"/>
  <c r="H99" i="52" s="1"/>
  <c r="H100" i="52" s="1"/>
  <c r="H101" i="52" s="1"/>
  <c r="H102" i="52" s="1"/>
  <c r="H103" i="52" s="1"/>
  <c r="H104" i="52" s="1"/>
  <c r="H105" i="52" s="1"/>
  <c r="H106" i="52" s="1"/>
  <c r="H107" i="52" s="1"/>
  <c r="H108" i="52" s="1"/>
  <c r="H109" i="52" s="1"/>
  <c r="H110" i="52" s="1"/>
  <c r="H111" i="52" s="1"/>
  <c r="H112" i="52" s="1"/>
  <c r="H113" i="52" s="1"/>
  <c r="H114" i="52" s="1"/>
  <c r="H115" i="52" s="1"/>
  <c r="H116" i="52" s="1"/>
  <c r="H117" i="52" s="1"/>
  <c r="H118" i="52" s="1"/>
  <c r="H119" i="52" s="1"/>
  <c r="H120" i="52" s="1"/>
  <c r="H121" i="52" s="1"/>
  <c r="H122" i="52" s="1"/>
  <c r="H123" i="52" s="1"/>
  <c r="H124" i="52" s="1"/>
  <c r="H125" i="52" s="1"/>
  <c r="H126" i="52" s="1"/>
  <c r="H127" i="52" s="1"/>
  <c r="H128" i="52" s="1"/>
  <c r="H129" i="52" s="1"/>
  <c r="H130" i="52" s="1"/>
  <c r="H131" i="52" s="1"/>
  <c r="H132" i="52" s="1"/>
  <c r="H133" i="52" s="1"/>
  <c r="H134" i="52" s="1"/>
  <c r="H135" i="52" s="1"/>
  <c r="H136" i="52" s="1"/>
  <c r="H137" i="52" s="1"/>
  <c r="H138" i="52" s="1"/>
  <c r="H139" i="52" s="1"/>
  <c r="H140" i="52" s="1"/>
  <c r="H141" i="52" s="1"/>
  <c r="H142" i="52" l="1"/>
  <c r="H143" i="52" s="1"/>
  <c r="H144" i="52" s="1"/>
  <c r="H145" i="52" s="1"/>
  <c r="H146" i="52" s="1"/>
  <c r="H147" i="52" s="1"/>
  <c r="H148" i="52" s="1"/>
  <c r="H149" i="52" s="1"/>
  <c r="H150" i="52" s="1"/>
  <c r="H151" i="52" s="1"/>
  <c r="H152" i="52" s="1"/>
  <c r="H153" i="52" s="1"/>
  <c r="H154" i="52" s="1"/>
  <c r="H155" i="52" s="1"/>
  <c r="H156" i="52" s="1"/>
  <c r="H157" i="52" s="1"/>
  <c r="H158" i="52" s="1"/>
  <c r="H159" i="52" s="1"/>
  <c r="H160" i="52" s="1"/>
  <c r="H161" i="52" l="1"/>
  <c r="H162" i="52" s="1"/>
  <c r="H163" i="52" s="1"/>
  <c r="H164" i="52" s="1"/>
  <c r="H165" i="52" s="1"/>
  <c r="H166" i="52" s="1"/>
  <c r="H167" i="52" s="1"/>
  <c r="H168" i="52" s="1"/>
  <c r="H169" i="52" s="1"/>
  <c r="H170" i="52" s="1"/>
  <c r="H171" i="52" s="1"/>
  <c r="H172" i="52" s="1"/>
  <c r="H173" i="52" s="1"/>
  <c r="H174" i="52" s="1"/>
  <c r="H175" i="52" s="1"/>
  <c r="H176" i="52" s="1"/>
  <c r="H177" i="52" s="1"/>
  <c r="H178" i="52" s="1"/>
  <c r="H179" i="52" s="1"/>
  <c r="H180" i="52" s="1"/>
  <c r="H181" i="52" s="1"/>
  <c r="H182" i="52" s="1"/>
  <c r="H183" i="52" s="1"/>
  <c r="H184" i="52" s="1"/>
  <c r="H185" i="52" s="1"/>
  <c r="H186" i="52" s="1"/>
  <c r="H187" i="52" s="1"/>
  <c r="H188" i="52" s="1"/>
  <c r="H189" i="52" s="1"/>
  <c r="H190" i="52" s="1"/>
  <c r="H191" i="52" s="1"/>
  <c r="H192" i="52" s="1"/>
  <c r="H193" i="52" s="1"/>
  <c r="H194" i="52" s="1"/>
  <c r="H195" i="52" s="1"/>
  <c r="H196" i="52" s="1"/>
  <c r="H197" i="52" s="1"/>
  <c r="H198" i="52" s="1"/>
  <c r="H199" i="52" s="1"/>
  <c r="H200" i="52" s="1"/>
  <c r="H201" i="52" s="1"/>
  <c r="H202" i="52" s="1"/>
  <c r="H203" i="52" s="1"/>
  <c r="H204" i="52" s="1"/>
  <c r="H205" i="52" s="1"/>
  <c r="H206" i="52" s="1"/>
  <c r="H207" i="52" s="1"/>
  <c r="H208" i="52" s="1"/>
  <c r="H209" i="52" s="1"/>
  <c r="H210" i="52" s="1"/>
  <c r="H211" i="52" s="1"/>
  <c r="H212" i="52" s="1"/>
  <c r="H213" i="52" s="1"/>
  <c r="H214" i="52" s="1"/>
  <c r="H215" i="52" s="1"/>
  <c r="H216" i="52" s="1"/>
  <c r="H217" i="52" s="1"/>
  <c r="H218" i="52" s="1"/>
  <c r="H219" i="52" s="1"/>
  <c r="H220" i="52" s="1"/>
  <c r="H221" i="52" s="1"/>
  <c r="H222" i="52" s="1"/>
  <c r="H223" i="52" s="1"/>
  <c r="H224" i="52" s="1"/>
  <c r="H225" i="52" s="1"/>
  <c r="H226" i="52" s="1"/>
  <c r="H227" i="52" s="1"/>
  <c r="H228" i="52" s="1"/>
  <c r="H229" i="52" s="1"/>
  <c r="H230" i="52" s="1"/>
  <c r="H231" i="52" s="1"/>
  <c r="H232" i="52" s="1"/>
  <c r="H233" i="52" s="1"/>
  <c r="H234" i="52" s="1"/>
  <c r="H235" i="52" s="1"/>
  <c r="H236" i="52" s="1"/>
  <c r="H237" i="52" s="1"/>
  <c r="H238" i="52" s="1"/>
  <c r="H239" i="52" s="1"/>
  <c r="H240" i="52" s="1"/>
  <c r="H241" i="52" s="1"/>
  <c r="H242" i="52" s="1"/>
  <c r="H243" i="52" s="1"/>
  <c r="H244" i="5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8"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5"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6"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9"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4"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8"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60"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3"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7"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5"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<sst xmlns="http://schemas.openxmlformats.org/spreadsheetml/2006/main" count="10847" uniqueCount="4059">
  <si>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</si>
  <si>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</si>
  <si>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</si>
  <si>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</si>
  <si>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</si>
  <si>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</si>
  <si>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</si>
  <si>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</si>
  <si>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</si>
  <si>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</si>
  <si>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</si>
  <si>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</si>
  <si>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</si>
  <si>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</si>
  <si>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</si>
  <si>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</si>
  <si>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</si>
  <si>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</si>
  <si>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</si>
  <si>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</si>
  <si>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</si>
  <si>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</si>
  <si>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</si>
  <si>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</si>
  <si>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</si>
  <si>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</si>
  <si>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</si>
  <si>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</si>
  <si>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</si>
  <si>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</si>
  <si>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</si>
  <si>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</si>
  <si>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</si>
  <si>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</si>
  <si>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</si>
  <si>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</si>
  <si>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</si>
  <si>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</si>
  <si>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</si>
  <si>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</si>
  <si>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</si>
  <si>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</si>
  <si>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</si>
  <si>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</si>
  <si>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</si>
  <si>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</si>
  <si>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</si>
  <si>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</si>
  <si>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</si>
  <si>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</si>
  <si>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</si>
  <si>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</si>
  <si>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</si>
  <si>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</si>
  <si>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</si>
  <si>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</si>
  <si>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</si>
  <si>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</si>
  <si>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</si>
  <si>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</si>
  <si>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</si>
  <si>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</si>
  <si>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</si>
  <si>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</si>
  <si>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</si>
  <si>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</si>
  <si>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</si>
  <si>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</si>
  <si>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</si>
  <si>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</si>
  <si>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</si>
  <si>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</si>
  <si>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</si>
  <si>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</si>
  <si>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</si>
  <si>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</si>
  <si>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</si>
  <si>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</si>
  <si>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</si>
  <si>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</si>
  <si>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</si>
  <si>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</si>
  <si>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</si>
  <si>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</si>
  <si>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</si>
  <si>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</si>
  <si>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</si>
  <si>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</si>
  <si>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</si>
  <si>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</si>
  <si>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</si>
  <si>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</si>
  <si>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</si>
  <si>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</si>
  <si>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</si>
  <si>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</si>
  <si>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</si>
  <si>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</si>
  <si>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</si>
  <si>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</si>
  <si>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</si>
  <si>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</si>
  <si>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</si>
  <si>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</si>
  <si>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</si>
  <si>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</si>
  <si>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</si>
  <si>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</si>
  <si>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</si>
  <si>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</si>
  <si>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</si>
  <si>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</si>
  <si>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</si>
  <si>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</si>
  <si>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</si>
  <si>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</si>
  <si>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</si>
  <si>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</si>
  <si>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</si>
  <si>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</si>
  <si>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</si>
  <si>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</si>
  <si>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</si>
  <si>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</si>
  <si>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</si>
  <si>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</si>
  <si>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</si>
  <si>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</si>
  <si>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</si>
  <si>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</si>
  <si>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</si>
  <si>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</si>
  <si>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</si>
  <si>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</si>
  <si>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</si>
  <si>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</si>
  <si>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</si>
  <si>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</si>
  <si>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</si>
  <si>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</si>
  <si>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</si>
  <si>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</si>
  <si>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</si>
  <si>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</si>
  <si>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</si>
  <si>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</si>
  <si>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</si>
  <si>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</si>
  <si>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</si>
  <si>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</si>
  <si>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</si>
  <si>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</si>
  <si>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</si>
  <si>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</si>
  <si>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</si>
  <si>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</si>
  <si>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</si>
  <si>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</si>
  <si>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</si>
  <si>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</si>
  <si>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</si>
  <si>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</si>
  <si>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</si>
  <si>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</si>
  <si>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</si>
  <si>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</si>
  <si>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</si>
  <si>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</si>
  <si>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</si>
  <si>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</si>
  <si>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</si>
  <si>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</si>
  <si>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</si>
  <si>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</si>
  <si>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</si>
  <si>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</si>
  <si>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</si>
  <si>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</si>
  <si>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</si>
  <si>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</si>
  <si>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</si>
  <si>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</si>
  <si>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</si>
  <si>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</si>
  <si>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</si>
  <si>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</si>
  <si>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</si>
  <si>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</si>
  <si>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</si>
  <si>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</si>
  <si>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</si>
  <si>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</si>
  <si>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</si>
  <si>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</si>
  <si>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</si>
  <si>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</si>
  <si>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</si>
  <si>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</si>
  <si>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</si>
  <si>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</si>
  <si>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</si>
  <si>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</si>
  <si>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</si>
  <si>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</si>
  <si>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</si>
  <si>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</si>
  <si>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</si>
  <si>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</si>
  <si>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</si>
  <si>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</si>
  <si>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</si>
  <si>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</si>
  <si>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</si>
  <si>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</si>
  <si>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</si>
  <si>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</si>
  <si>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</si>
  <si>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</si>
  <si>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</si>
  <si>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</si>
  <si>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</si>
  <si>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</si>
  <si>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</si>
  <si>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</si>
  <si>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</si>
  <si>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</si>
  <si>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</si>
  <si>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</si>
  <si>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</si>
  <si>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</si>
  <si>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</si>
  <si>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</si>
  <si>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</si>
  <si>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</si>
  <si>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</si>
  <si>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</si>
  <si>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</si>
  <si>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</si>
  <si>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</si>
  <si>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</si>
  <si>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</si>
  <si>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</si>
  <si>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</si>
  <si>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</si>
  <si>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</si>
  <si>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</si>
  <si>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</si>
  <si>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</si>
  <si>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</si>
  <si>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</si>
  <si>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</si>
  <si>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</si>
  <si>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</si>
  <si>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</si>
  <si>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</si>
  <si>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</si>
  <si>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</si>
  <si>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</si>
  <si>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</si>
  <si>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</si>
  <si>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</si>
  <si>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</si>
  <si>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</si>
  <si>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</si>
  <si>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</si>
  <si>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</si>
  <si>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</si>
  <si>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</si>
  <si>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</si>
  <si>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</si>
  <si>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</si>
  <si>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</si>
  <si>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</si>
  <si>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</si>
  <si>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</si>
  <si>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</si>
  <si>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</si>
  <si>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</si>
  <si>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</si>
  <si>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</si>
  <si>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</si>
  <si>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</si>
  <si>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</si>
  <si>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</si>
  <si>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</si>
  <si>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</si>
  <si>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</si>
  <si>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</si>
  <si>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</si>
  <si>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</si>
  <si>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</si>
  <si>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</si>
  <si>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</si>
  <si>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</si>
  <si>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</si>
  <si>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</si>
  <si>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</si>
  <si>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</si>
  <si>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</si>
  <si>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</si>
  <si>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</si>
  <si>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</si>
  <si>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</si>
  <si>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</si>
  <si>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</si>
  <si>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</si>
  <si>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</si>
  <si>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</si>
  <si>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</si>
  <si>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</si>
  <si>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</si>
  <si>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</si>
  <si>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</si>
  <si>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</si>
  <si>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</si>
  <si>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</si>
  <si>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</si>
  <si>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</si>
  <si>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</si>
  <si>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</si>
  <si>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</si>
  <si>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</si>
  <si>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</si>
  <si>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</si>
  <si>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</si>
  <si>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</si>
  <si>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</si>
  <si>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</si>
  <si>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</si>
  <si>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</si>
  <si>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</si>
  <si>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</si>
  <si>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</si>
  <si>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</si>
  <si>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</si>
  <si>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</si>
  <si>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</si>
  <si>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</si>
  <si>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</si>
  <si>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</si>
  <si>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</si>
  <si>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</si>
  <si>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</si>
  <si>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</si>
  <si>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</si>
  <si>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</si>
  <si>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</si>
  <si>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</si>
  <si>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</si>
  <si>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</si>
  <si>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</si>
  <si>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</si>
  <si>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</si>
  <si>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</si>
  <si>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</si>
  <si>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</si>
  <si>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</si>
  <si>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</si>
  <si>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</si>
  <si>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</si>
  <si>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</si>
  <si>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</si>
  <si>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</si>
  <si>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</si>
  <si>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</si>
  <si>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</si>
  <si>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</si>
  <si>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</si>
  <si>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</si>
  <si>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</si>
  <si>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</si>
  <si>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</si>
  <si>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</si>
  <si>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</si>
  <si>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</si>
  <si>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</si>
  <si>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</si>
  <si>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</si>
  <si>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</si>
  <si>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</si>
  <si>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</si>
  <si>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</si>
  <si>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</si>
  <si>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</si>
  <si>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</si>
  <si>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</si>
  <si>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</si>
  <si>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</si>
  <si>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</si>
  <si>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</si>
  <si>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</si>
  <si>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</si>
  <si>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</si>
  <si>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</si>
  <si>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</si>
  <si>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</si>
  <si>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</si>
  <si>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</si>
  <si>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</si>
  <si>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</si>
  <si>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</si>
  <si>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</si>
  <si>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</si>
  <si>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</si>
  <si>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</si>
  <si>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</si>
  <si>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</si>
  <si>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</si>
  <si>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</si>
  <si>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</si>
  <si>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</si>
  <si>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</si>
  <si>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</si>
  <si>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</si>
  <si>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</si>
  <si>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</si>
  <si>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</si>
  <si>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</si>
  <si>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</si>
  <si>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</si>
  <si>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</si>
  <si>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</si>
  <si>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</si>
  <si>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</si>
  <si>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</si>
  <si>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</si>
  <si>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</si>
  <si>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</si>
  <si>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</si>
  <si>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</si>
  <si>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</si>
  <si>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</si>
  <si>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</si>
  <si>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</si>
  <si>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</si>
  <si>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</si>
  <si>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</si>
  <si>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</si>
  <si>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</si>
  <si>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</si>
  <si>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</si>
  <si>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</si>
  <si>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</si>
  <si>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</si>
  <si>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</si>
  <si>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</si>
  <si>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</si>
  <si>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</si>
  <si>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</si>
  <si>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</si>
  <si>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</si>
  <si>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</si>
  <si>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</si>
  <si>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</si>
  <si>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</si>
  <si>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</si>
  <si>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</si>
  <si>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</si>
  <si>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</si>
  <si>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</si>
  <si>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</si>
  <si>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</si>
  <si>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</si>
  <si>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</si>
  <si>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</si>
  <si>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</si>
  <si>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</si>
  <si>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</si>
  <si>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</si>
  <si>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</si>
  <si>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</si>
  <si>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</si>
  <si>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</si>
  <si>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</si>
  <si>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</si>
  <si>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</si>
  <si>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</si>
  <si>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</si>
  <si>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</si>
  <si>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</si>
  <si>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</si>
  <si>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</si>
  <si>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</si>
  <si>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</si>
  <si>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</si>
  <si>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</si>
  <si>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</si>
  <si>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</si>
  <si>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</si>
  <si>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</si>
  <si>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</si>
  <si>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</si>
  <si>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</si>
  <si>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</si>
  <si>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</si>
  <si>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</si>
  <si>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</si>
  <si>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</si>
  <si>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</si>
  <si>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</si>
  <si>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</si>
  <si>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</si>
  <si>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</si>
  <si>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</si>
  <si>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</si>
  <si>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</si>
  <si>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</si>
  <si>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</si>
  <si>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</si>
  <si>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</si>
  <si>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</si>
  <si>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</si>
  <si>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</si>
  <si>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</si>
  <si>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</si>
  <si>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</si>
  <si>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</si>
  <si>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</si>
  <si>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</si>
  <si>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</si>
  <si>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</si>
  <si>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</si>
  <si>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</si>
  <si>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</si>
  <si>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</si>
  <si>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</si>
  <si>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</si>
  <si>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</si>
  <si>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</si>
  <si>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</si>
  <si>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</si>
  <si>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</si>
  <si>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</si>
  <si>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</si>
  <si>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</si>
  <si>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</si>
  <si>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</si>
  <si>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</si>
  <si>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</si>
  <si>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</si>
  <si>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</si>
  <si>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</si>
  <si>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</si>
  <si>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</si>
  <si>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</si>
  <si>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</si>
  <si>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</si>
  <si>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</si>
  <si>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</si>
  <si>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</si>
  <si>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</si>
  <si>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</si>
  <si>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</si>
  <si>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</si>
  <si>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</si>
  <si>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</si>
  <si>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</si>
  <si>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</si>
  <si>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</si>
  <si>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</si>
  <si>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</si>
  <si>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</si>
  <si>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</si>
  <si>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</si>
  <si>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</si>
  <si>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</si>
  <si>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</si>
  <si>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</si>
  <si>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</si>
  <si>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</si>
  <si>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</si>
  <si>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</si>
  <si>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</si>
  <si>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</si>
  <si>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</si>
  <si>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</si>
  <si>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</si>
  <si>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</si>
  <si>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</si>
  <si>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</si>
  <si>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</si>
  <si>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</si>
  <si>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</si>
  <si>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</si>
  <si>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</si>
  <si>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</si>
  <si>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</si>
  <si>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</si>
  <si>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</si>
  <si>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</si>
  <si>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</si>
  <si>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</si>
  <si>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</si>
  <si>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</si>
  <si>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</si>
  <si>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</si>
  <si>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</si>
  <si>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</si>
  <si>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</si>
  <si>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</si>
  <si>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</si>
  <si>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</si>
  <si>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</si>
  <si>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</si>
  <si>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</si>
  <si>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</si>
  <si>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</si>
  <si>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</si>
  <si>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</si>
  <si>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</si>
  <si>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</si>
  <si>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</si>
  <si>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</si>
  <si>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</si>
  <si>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</si>
  <si>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</si>
  <si>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</si>
  <si>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</si>
  <si>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</si>
  <si>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</si>
  <si>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</si>
  <si>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</si>
  <si>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</si>
  <si>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</si>
  <si>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</si>
  <si>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</si>
  <si>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</si>
  <si>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</si>
  <si>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</si>
  <si>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</si>
  <si>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</si>
  <si>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</si>
  <si>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</si>
  <si>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</si>
  <si>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</si>
  <si>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</si>
  <si>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</si>
  <si>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</si>
  <si>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</si>
  <si>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</si>
  <si>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</si>
  <si>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</si>
  <si>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</si>
  <si>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</si>
  <si>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</si>
  <si>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</si>
  <si>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</si>
  <si>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</si>
  <si>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</si>
  <si>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</si>
  <si>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</si>
  <si>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</si>
  <si>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</si>
  <si>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</si>
  <si>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</si>
  <si>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</si>
  <si>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</si>
  <si>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</si>
  <si>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</si>
  <si>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</si>
  <si>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</si>
  <si>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</si>
  <si>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</si>
  <si>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</si>
  <si>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</si>
  <si>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</si>
  <si>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</si>
  <si>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</si>
  <si>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</si>
  <si>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</si>
  <si>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</si>
  <si>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</si>
  <si>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</si>
  <si>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</si>
  <si>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</si>
  <si>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</si>
  <si>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</si>
  <si>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</si>
  <si>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</si>
  <si>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</si>
  <si>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</si>
  <si>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</si>
  <si>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</si>
  <si>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</si>
  <si>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</si>
  <si>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</si>
  <si>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</si>
  <si>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</si>
  <si>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</si>
  <si>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</si>
  <si>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</si>
  <si>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</si>
  <si>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</si>
  <si>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</si>
  <si>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</si>
  <si>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</si>
  <si>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</si>
  <si>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</si>
  <si>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</si>
  <si>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</si>
  <si>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</si>
  <si>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</si>
  <si>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</si>
  <si>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</si>
  <si>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</si>
  <si>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</si>
  <si>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</si>
  <si>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</si>
  <si>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</si>
  <si>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</si>
  <si>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</si>
  <si>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</si>
  <si>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</si>
  <si>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</si>
  <si>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</si>
  <si>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</si>
  <si>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</si>
  <si>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</si>
  <si>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</si>
  <si>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</si>
  <si>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</si>
  <si>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</si>
  <si>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</si>
  <si>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</si>
  <si>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</si>
  <si>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</si>
  <si>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</si>
  <si>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</si>
  <si>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</si>
  <si>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</si>
  <si>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</si>
  <si>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</si>
  <si>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</si>
  <si>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</si>
  <si>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</si>
  <si>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</si>
  <si>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</si>
  <si>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</si>
  <si>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</si>
  <si>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</si>
  <si>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</si>
  <si>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</si>
  <si>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</si>
  <si>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</si>
  <si>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</si>
  <si>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</si>
  <si>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</si>
  <si>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</si>
  <si>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</si>
  <si>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</si>
  <si>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</si>
  <si>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</si>
  <si>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</si>
  <si>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</si>
  <si>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</si>
  <si>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</si>
  <si>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</si>
  <si>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</si>
  <si>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</si>
  <si>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</si>
  <si>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</si>
  <si>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</si>
  <si>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</si>
  <si>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</si>
  <si>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</si>
  <si>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</si>
  <si>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</si>
  <si>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</si>
  <si>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</si>
  <si>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</si>
  <si>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</si>
  <si>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</si>
  <si>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</si>
  <si>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</si>
  <si>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</si>
  <si>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</si>
  <si>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</si>
  <si>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</si>
  <si>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</si>
  <si>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</si>
  <si>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</si>
  <si>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</si>
  <si>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</si>
  <si>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</si>
  <si>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</si>
  <si>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</si>
  <si>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</si>
  <si>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</si>
  <si>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</si>
  <si>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</si>
  <si>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</si>
  <si>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</si>
  <si>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</si>
  <si>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</si>
  <si>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</si>
  <si>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</si>
  <si>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</si>
  <si>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</si>
  <si>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</si>
  <si>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</si>
  <si>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</si>
  <si>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</si>
  <si>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</si>
  <si>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</si>
  <si>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</si>
  <si>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</si>
  <si>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</si>
  <si>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</si>
  <si>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</si>
  <si>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</si>
  <si>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</si>
  <si>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</si>
  <si>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</si>
  <si>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</si>
  <si>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</si>
  <si>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</si>
  <si>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</si>
  <si>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</si>
  <si>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</si>
  <si>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</si>
  <si>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</si>
  <si>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</si>
  <si>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</si>
  <si>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</si>
  <si>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</si>
  <si>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</si>
  <si>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</si>
  <si>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</si>
  <si>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</si>
  <si>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</si>
  <si>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</si>
  <si>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</si>
  <si>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</si>
  <si>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</si>
  <si>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</si>
  <si>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</si>
  <si>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</si>
  <si>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</si>
  <si>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</si>
  <si>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</si>
  <si>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</si>
  <si>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</si>
  <si>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</si>
  <si>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</si>
  <si>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</si>
  <si>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</si>
  <si>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</si>
  <si>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</si>
  <si>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</si>
  <si>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</si>
  <si>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</si>
  <si>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</si>
  <si>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</si>
  <si>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</si>
  <si>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</si>
  <si>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</si>
  <si>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</si>
  <si>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</si>
  <si>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</si>
  <si>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</si>
  <si>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</si>
  <si>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</si>
  <si>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</si>
  <si>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</si>
  <si>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</si>
  <si>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</si>
  <si>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</si>
  <si>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</si>
  <si>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</si>
  <si>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</si>
  <si>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</si>
  <si>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</si>
  <si>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</si>
  <si>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</si>
  <si>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</si>
  <si>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</si>
  <si>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</si>
  <si>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</si>
  <si>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</si>
  <si>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</si>
  <si>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</si>
  <si>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</si>
  <si>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</si>
  <si>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</si>
  <si>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</si>
  <si>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</si>
  <si>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</si>
  <si>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</si>
  <si>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</si>
  <si>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</si>
  <si>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</si>
  <si>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</si>
  <si>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</si>
  <si>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</si>
  <si>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</si>
  <si>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</si>
  <si>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</si>
  <si>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</si>
  <si>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</si>
  <si>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</si>
  <si>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</si>
  <si>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</si>
  <si>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</si>
  <si>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</si>
  <si>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</si>
  <si>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</si>
  <si>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</si>
  <si>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</si>
  <si>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</si>
  <si>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</si>
  <si>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</si>
  <si>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</si>
  <si>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</si>
  <si>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</si>
  <si>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</si>
  <si>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</si>
  <si>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</si>
  <si>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</si>
  <si>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</si>
  <si>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</si>
  <si>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</si>
  <si>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</si>
  <si>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</si>
  <si>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</si>
  <si>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</si>
  <si>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</si>
  <si>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</si>
  <si>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</si>
  <si>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</si>
  <si>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</si>
  <si>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</si>
  <si>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</si>
  <si>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</si>
  <si>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</si>
  <si>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</si>
  <si>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</si>
  <si>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</si>
  <si>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</si>
  <si>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</si>
  <si>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</si>
  <si>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</si>
  <si>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</si>
  <si>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</si>
  <si>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</si>
  <si>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</si>
  <si>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</si>
  <si>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</si>
  <si>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</si>
  <si>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</si>
  <si>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</si>
  <si>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</si>
  <si>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</si>
  <si>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</si>
  <si>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</si>
  <si>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</si>
  <si>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</si>
  <si>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</si>
  <si>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</si>
  <si>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</si>
  <si>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</si>
  <si>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</si>
  <si>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</si>
  <si>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</si>
  <si>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</si>
  <si>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</si>
  <si>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</si>
  <si>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</si>
  <si>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</si>
  <si>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</si>
  <si>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</si>
  <si>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</si>
  <si>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</si>
  <si>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</si>
  <si>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</si>
  <si>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</si>
  <si>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</si>
  <si>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</si>
  <si>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</si>
  <si>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</si>
  <si>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</si>
  <si>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</si>
  <si>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</si>
  <si>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</si>
  <si>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</si>
  <si>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</si>
  <si>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</si>
  <si>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</si>
  <si>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</si>
  <si>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</si>
  <si>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</si>
  <si>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</si>
  <si>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</si>
  <si>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</si>
  <si>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</si>
  <si>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</si>
  <si>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</si>
  <si>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</si>
  <si>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</si>
  <si>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</si>
  <si>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</si>
  <si>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</si>
  <si>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</si>
  <si>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</si>
  <si>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</si>
  <si>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</si>
  <si>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</si>
  <si>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</si>
  <si>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</si>
  <si>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</si>
  <si>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</si>
  <si>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</si>
  <si>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</si>
  <si>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</si>
  <si>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</si>
  <si>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</si>
  <si>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</si>
  <si>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</si>
  <si>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</si>
  <si>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</si>
  <si>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</si>
  <si>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</si>
  <si>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</si>
  <si>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</si>
  <si>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</si>
  <si>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</si>
  <si>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</si>
  <si>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</si>
  <si>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</si>
  <si>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</si>
  <si>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</si>
  <si>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</si>
  <si>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</si>
  <si>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</si>
  <si>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</si>
  <si>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</si>
  <si>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</si>
  <si>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</si>
  <si>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</si>
  <si>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</si>
  <si>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</si>
  <si>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</si>
  <si>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</si>
  <si>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</si>
  <si>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</si>
  <si>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</si>
  <si>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</si>
  <si>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</si>
  <si>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</si>
  <si>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</si>
  <si>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</si>
  <si>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</si>
  <si>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</si>
  <si>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</si>
  <si>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</si>
  <si>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</si>
  <si>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</si>
  <si>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</si>
  <si>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</si>
  <si>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</si>
  <si>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</si>
  <si>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</si>
  <si>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</si>
  <si>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</si>
  <si>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</si>
  <si>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</si>
  <si>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</si>
  <si>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</si>
  <si>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</si>
  <si>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</si>
  <si>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</si>
  <si>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</si>
  <si>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</si>
  <si>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</si>
  <si>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</si>
  <si>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</si>
  <si>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</si>
  <si>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</si>
  <si>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</si>
  <si>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</si>
  <si>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</si>
  <si>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</si>
  <si>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</si>
  <si>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</si>
  <si>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</si>
  <si>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</si>
  <si>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</si>
  <si>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</si>
  <si>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</si>
  <si>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</si>
  <si>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</si>
  <si>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</si>
  <si>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</si>
  <si>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</si>
  <si>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</si>
  <si>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</si>
  <si>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</si>
  <si>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</si>
  <si>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</si>
  <si>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</si>
  <si>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</si>
  <si>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</si>
  <si>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</si>
  <si>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</si>
  <si>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</si>
  <si>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</si>
  <si>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</si>
  <si>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</si>
  <si>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</si>
  <si>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</si>
  <si>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</si>
  <si>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</si>
  <si>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</si>
  <si>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</si>
  <si>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</si>
  <si>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</si>
  <si>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</si>
  <si>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</si>
  <si>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</si>
  <si>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</si>
  <si>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</si>
  <si>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</si>
  <si>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</si>
  <si>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</si>
  <si>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</si>
  <si>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</si>
  <si>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</si>
  <si>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</si>
  <si>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</si>
  <si>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</si>
  <si>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</si>
  <si>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</si>
  <si>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</si>
  <si>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</si>
  <si>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</si>
  <si>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</si>
  <si>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</si>
  <si>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</si>
  <si>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</si>
  <si>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</si>
  <si>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</si>
  <si>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</si>
  <si>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</si>
  <si>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</si>
  <si>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</si>
  <si>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</si>
  <si>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</si>
  <si>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</si>
  <si>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</si>
  <si>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</si>
  <si>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</si>
  <si>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</si>
  <si>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</si>
  <si>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</si>
  <si>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</si>
  <si>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</si>
  <si>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</si>
  <si>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</si>
  <si>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</si>
  <si>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</si>
  <si>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</si>
  <si>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</si>
  <si>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</si>
  <si>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</si>
  <si>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</si>
  <si>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</si>
  <si>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</si>
  <si>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</si>
  <si>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</si>
  <si>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</si>
  <si>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</si>
  <si>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</si>
  <si>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</si>
  <si>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</si>
  <si>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</si>
  <si>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</si>
  <si>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</si>
  <si>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</si>
  <si>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</si>
  <si>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</si>
  <si>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</si>
  <si>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</si>
  <si>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</si>
  <si>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</si>
  <si>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</si>
  <si>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</si>
  <si>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</si>
  <si>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</si>
  <si>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</si>
  <si>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</si>
  <si>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</si>
  <si>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</si>
  <si>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</si>
  <si>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</si>
  <si>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</si>
  <si>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</si>
  <si>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</si>
  <si>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</si>
  <si>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</si>
  <si>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</si>
  <si>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</si>
  <si>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</si>
  <si>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</si>
  <si>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</si>
  <si>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</si>
  <si>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</si>
  <si>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</si>
  <si>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</si>
  <si>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</si>
  <si>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</si>
  <si>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</si>
  <si>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</si>
  <si>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</si>
  <si>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</si>
  <si>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</si>
  <si>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</si>
  <si>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</si>
  <si>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</si>
  <si>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</si>
  <si>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</si>
  <si>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</si>
  <si>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</si>
  <si>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</si>
  <si>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</si>
  <si>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</si>
  <si>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</si>
  <si>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</si>
  <si>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</si>
  <si>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</si>
  <si>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</si>
  <si>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</si>
  <si>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</si>
  <si>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</si>
  <si>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</si>
  <si>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</si>
  <si>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</si>
  <si>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</si>
  <si>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</si>
  <si>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</si>
  <si>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</si>
  <si>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</si>
  <si>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</si>
  <si>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</si>
  <si>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</si>
  <si>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</si>
  <si>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</si>
  <si>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</si>
  <si>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</si>
  <si>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</si>
  <si>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</si>
  <si>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</si>
  <si>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</si>
  <si>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</si>
  <si>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</si>
  <si>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</si>
  <si>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</si>
  <si>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</si>
  <si>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</si>
  <si>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</si>
  <si>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</si>
  <si>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</si>
  <si>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</si>
  <si>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</si>
  <si>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</si>
  <si>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</si>
  <si>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</si>
  <si>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</si>
  <si>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</si>
  <si>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</si>
  <si>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</si>
  <si>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</si>
  <si>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</si>
  <si>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</si>
  <si>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</si>
  <si>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</si>
  <si>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</si>
  <si>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</si>
  <si>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</si>
  <si>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</si>
  <si>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</si>
  <si>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</si>
  <si>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</si>
  <si>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</si>
  <si>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</si>
  <si>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</si>
  <si>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</si>
  <si>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</si>
  <si>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</si>
  <si>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</si>
  <si>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</si>
  <si>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</si>
  <si>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</si>
  <si>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</si>
  <si>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</si>
  <si>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</si>
  <si>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</si>
  <si>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</si>
  <si>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</si>
  <si>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</si>
  <si>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</si>
  <si>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</si>
  <si>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</si>
  <si>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</si>
  <si>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</si>
  <si>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</si>
  <si>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</si>
  <si>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</si>
  <si>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</si>
  <si>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</si>
  <si>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</si>
  <si>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</si>
  <si>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</si>
  <si>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</si>
  <si>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</si>
  <si>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</si>
  <si>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</si>
  <si>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</si>
  <si>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</si>
  <si>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</si>
  <si>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</si>
  <si>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</si>
  <si>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</si>
  <si>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</si>
  <si>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</si>
  <si>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</si>
  <si>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</si>
  <si>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</si>
  <si>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</si>
  <si>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</si>
  <si>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</si>
  <si>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</si>
  <si>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</si>
  <si>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</si>
  <si>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</si>
  <si>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</si>
  <si>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</si>
  <si>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</si>
  <si>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</si>
  <si>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</si>
  <si>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</si>
  <si>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</si>
  <si>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</si>
  <si>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</si>
  <si>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</si>
  <si>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</si>
  <si>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</si>
  <si>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</si>
  <si>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</si>
  <si>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</si>
  <si>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</si>
  <si>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</si>
  <si>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</si>
  <si>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</si>
  <si>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</si>
  <si>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</si>
  <si>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</si>
  <si>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</si>
  <si>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</si>
  <si>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</si>
  <si>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</si>
  <si>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</si>
  <si>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</si>
  <si>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</si>
  <si>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</si>
  <si>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</si>
  <si>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</si>
  <si>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</si>
  <si>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</si>
  <si>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</si>
  <si>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</si>
  <si>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</si>
  <si>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</si>
  <si>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</si>
  <si>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</si>
  <si>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</si>
  <si>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</si>
  <si>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</si>
  <si>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</si>
  <si>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</si>
  <si>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</si>
  <si>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</si>
  <si>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</si>
  <si>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</si>
  <si>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</si>
  <si>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</si>
  <si>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</si>
  <si>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</si>
  <si>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</si>
  <si>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</si>
  <si>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</si>
  <si>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</si>
  <si>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</si>
  <si>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</si>
  <si>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</si>
  <si>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</si>
  <si>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</si>
  <si>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</si>
  <si>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</si>
  <si>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</si>
  <si>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</si>
  <si>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</si>
  <si>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</si>
  <si>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</si>
  <si>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</si>
  <si>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</si>
  <si>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</si>
  <si>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</si>
  <si>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</si>
  <si>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</si>
  <si>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</si>
  <si>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</si>
  <si>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</si>
  <si>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</si>
  <si>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</si>
  <si>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</si>
  <si>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</si>
  <si>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</si>
  <si>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</si>
  <si>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</si>
  <si>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</si>
  <si>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</si>
  <si>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</si>
  <si>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</si>
  <si>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</si>
  <si>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</si>
  <si>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</si>
  <si>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</si>
  <si>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</si>
  <si>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</si>
  <si>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</si>
  <si>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</si>
  <si>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</si>
  <si>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</si>
  <si>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</si>
  <si>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</si>
  <si>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</si>
  <si>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</si>
  <si>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</si>
  <si>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</si>
  <si>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</si>
  <si>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</si>
  <si>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</si>
  <si>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</si>
  <si>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</si>
  <si>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</si>
  <si>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</si>
  <si>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</si>
  <si>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</si>
  <si>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</si>
  <si>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</si>
  <si>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</si>
  <si>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</si>
  <si>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</si>
  <si>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</si>
  <si>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</si>
  <si>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</si>
  <si>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</si>
  <si>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</si>
  <si>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</si>
  <si>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</si>
  <si>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</si>
  <si>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</si>
  <si>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</si>
  <si>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</si>
  <si>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</si>
  <si>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</si>
  <si>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</si>
  <si>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</si>
  <si>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</si>
  <si>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</si>
  <si>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</si>
  <si>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</si>
  <si>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</si>
  <si>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</si>
  <si>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</si>
  <si>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</si>
  <si>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</si>
  <si>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</si>
  <si>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</si>
  <si>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</si>
  <si>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</si>
  <si>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</si>
  <si>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</si>
  <si>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</si>
  <si>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</si>
  <si>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</si>
  <si>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</si>
  <si>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</si>
  <si>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</si>
  <si>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</si>
  <si>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</si>
  <si>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</si>
  <si>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</si>
  <si>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</si>
  <si>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</si>
  <si>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</si>
  <si>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</si>
  <si>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</si>
  <si>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</si>
  <si>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</si>
  <si>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</si>
  <si>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</si>
  <si>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</si>
  <si>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</si>
  <si>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</si>
  <si>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</si>
  <si>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</si>
  <si>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</si>
  <si>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</si>
  <si>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</si>
  <si>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</si>
  <si>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</si>
  <si>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</si>
  <si>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</si>
  <si>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</si>
  <si>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</si>
  <si>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</si>
  <si>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</si>
  <si>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</si>
  <si>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</si>
  <si>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</si>
  <si>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</si>
  <si>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</si>
  <si>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</si>
  <si>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</si>
  <si>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</si>
  <si>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</si>
  <si>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</si>
  <si>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</si>
  <si>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</si>
  <si>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</si>
  <si>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</si>
  <si>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</si>
  <si>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</si>
  <si>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</si>
  <si>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</si>
  <si>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</si>
  <si>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</si>
  <si>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</si>
  <si>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</si>
  <si>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</si>
  <si>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</si>
  <si>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</si>
  <si>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</si>
  <si>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</si>
  <si>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</si>
  <si>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</si>
  <si>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</si>
  <si>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</si>
  <si>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</si>
  <si>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</si>
  <si>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</si>
  <si>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</si>
  <si>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</si>
  <si>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</si>
  <si>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</si>
  <si>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</si>
  <si>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</si>
  <si>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</si>
  <si>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</si>
  <si>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</si>
  <si>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</si>
  <si>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</si>
  <si>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</si>
  <si>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</si>
  <si>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</si>
  <si>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</si>
  <si>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</si>
  <si>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</si>
  <si>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</si>
  <si>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</si>
  <si>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</si>
  <si>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</si>
  <si>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</si>
  <si>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</si>
  <si>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</si>
  <si>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</si>
  <si>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</si>
  <si>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</si>
  <si>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</si>
  <si>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</si>
  <si>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</si>
  <si>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</si>
  <si>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</si>
  <si>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</si>
  <si>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</si>
  <si>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</si>
  <si>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</si>
  <si>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</si>
  <si>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</si>
  <si>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</si>
  <si>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</si>
  <si>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</si>
  <si>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</si>
  <si>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</si>
  <si>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</si>
  <si>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</si>
  <si>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</si>
  <si>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</si>
  <si>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</si>
  <si>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</si>
  <si>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</si>
  <si>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</si>
  <si>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</si>
  <si>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</si>
  <si>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</si>
  <si>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</si>
  <si>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</si>
  <si>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</si>
  <si>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</si>
  <si>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</si>
  <si>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</si>
  <si>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</si>
  <si>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</si>
  <si>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</si>
  <si>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</si>
  <si>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</si>
  <si>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</si>
  <si>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</si>
  <si>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</si>
  <si>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</si>
  <si>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</si>
  <si>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</si>
  <si>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</si>
  <si>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</si>
  <si>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</si>
  <si>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</si>
  <si>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</si>
  <si>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</si>
  <si>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</si>
  <si>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</si>
  <si>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</si>
  <si>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</si>
  <si>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</si>
  <si>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</si>
  <si>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</si>
  <si>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</si>
  <si>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</si>
  <si>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</si>
  <si>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</si>
  <si>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</si>
  <si>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</si>
  <si>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</si>
  <si>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</si>
  <si>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</si>
  <si>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</si>
  <si>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</si>
  <si>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</si>
  <si>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</si>
  <si>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</si>
  <si>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</si>
  <si>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</si>
  <si>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</si>
  <si>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</si>
  <si>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</si>
  <si>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</si>
  <si>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</si>
  <si>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</si>
  <si>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</si>
  <si>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</si>
  <si>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</si>
  <si>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</si>
  <si>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</si>
  <si>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</si>
  <si>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</si>
  <si>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</si>
  <si>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</si>
  <si>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</si>
  <si>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</si>
  <si>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</si>
  <si>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</si>
  <si>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</si>
  <si>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</si>
  <si>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</si>
  <si>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</si>
  <si>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</si>
  <si>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</si>
  <si>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</si>
  <si>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</si>
  <si>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</si>
  <si>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</si>
  <si>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</si>
  <si>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</si>
  <si>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</si>
  <si>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</si>
  <si>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</si>
  <si>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</si>
  <si>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</si>
  <si>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</si>
  <si>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</si>
  <si>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</si>
  <si>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</si>
  <si>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</si>
  <si>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</si>
  <si>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</si>
  <si>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</si>
  <si>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</si>
  <si>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</si>
  <si>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</si>
  <si>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</si>
  <si>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</si>
  <si>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</si>
  <si>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</si>
  <si>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</si>
  <si>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</si>
  <si>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</si>
  <si>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</si>
  <si>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</si>
  <si>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</si>
  <si>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</si>
  <si>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</si>
  <si>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</si>
  <si>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</si>
  <si>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</si>
  <si>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</si>
  <si>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</si>
  <si>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</si>
  <si>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</si>
  <si>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</si>
  <si>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</si>
  <si>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</si>
  <si>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</si>
  <si>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</si>
  <si>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</si>
  <si>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</si>
  <si>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</si>
  <si>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</si>
  <si>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</si>
  <si>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</si>
  <si>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</si>
  <si>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</si>
  <si>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</si>
  <si>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</si>
  <si>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</si>
  <si>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</si>
  <si>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</si>
  <si>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</si>
  <si>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</si>
  <si>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</si>
  <si>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</si>
  <si>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</si>
  <si>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</si>
  <si>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</si>
  <si>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</si>
  <si>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</si>
  <si>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</si>
  <si>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</si>
  <si>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</si>
  <si>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</si>
  <si>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</si>
  <si>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</si>
  <si>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</si>
  <si>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</si>
  <si>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</si>
  <si>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</si>
  <si>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</si>
  <si>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</si>
  <si>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</si>
  <si>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</si>
  <si>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</si>
  <si>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</si>
  <si>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</si>
  <si>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</si>
  <si>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</si>
  <si>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</si>
  <si>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</si>
  <si>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</si>
  <si>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</si>
  <si>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</si>
  <si>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</si>
  <si>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</si>
  <si>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</si>
  <si>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</si>
  <si>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</si>
  <si>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</si>
  <si>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</si>
  <si>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</si>
  <si>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</si>
  <si>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</si>
  <si>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</si>
  <si>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</si>
  <si>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</si>
  <si>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</si>
  <si>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</si>
  <si>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</si>
  <si>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</si>
  <si>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</si>
  <si>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</si>
  <si>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</si>
  <si>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</si>
  <si>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</si>
  <si>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</si>
  <si>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</si>
  <si>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</si>
  <si>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</si>
  <si>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</si>
  <si>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</si>
  <si>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</si>
  <si>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</si>
  <si>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</si>
  <si>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</si>
  <si>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</si>
  <si>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</si>
  <si>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</si>
  <si>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</si>
  <si>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</si>
  <si>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</si>
  <si>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</si>
  <si>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</si>
  <si>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</si>
  <si>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</si>
  <si>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</si>
  <si>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</si>
  <si>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</si>
  <si>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</si>
  <si>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</si>
  <si>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</si>
  <si>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</si>
  <si>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</si>
  <si>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</si>
  <si>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</si>
  <si>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</si>
  <si>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</si>
  <si>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</si>
  <si>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</si>
  <si>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</si>
  <si>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</si>
  <si>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</si>
  <si>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</si>
  <si>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</si>
  <si>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</si>
  <si>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</si>
  <si>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</si>
  <si>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</si>
  <si>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</si>
  <si>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</si>
  <si>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</si>
  <si>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</si>
  <si>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</si>
  <si>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</si>
  <si>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</si>
  <si>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</si>
  <si>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</si>
  <si>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</si>
  <si>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</si>
  <si>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</si>
  <si>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</si>
  <si>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</si>
  <si>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</si>
  <si>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</si>
  <si>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</si>
  <si>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</si>
  <si>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</si>
  <si>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</si>
  <si>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</si>
  <si>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</si>
  <si>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</si>
  <si>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</si>
  <si>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</si>
  <si>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</si>
  <si>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</si>
  <si>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</si>
  <si>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</si>
  <si>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</si>
  <si>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</si>
  <si>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</si>
  <si>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</si>
  <si>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</si>
  <si>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</si>
  <si>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</si>
  <si>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</si>
  <si>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</si>
  <si>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</si>
  <si>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</si>
  <si>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</si>
  <si>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</si>
  <si>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</si>
  <si>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</si>
  <si>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</si>
  <si>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</si>
  <si>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</si>
  <si>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</si>
  <si>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</si>
  <si>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</si>
  <si>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</si>
  <si>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</si>
  <si>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</si>
  <si>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</si>
  <si>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</si>
  <si>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</si>
  <si>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</si>
  <si>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</si>
  <si>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</si>
  <si>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</si>
  <si>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</si>
  <si>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</si>
  <si>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</si>
  <si>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</si>
  <si>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</si>
  <si>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</si>
  <si>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</si>
  <si>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</si>
  <si>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</si>
  <si>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</si>
  <si>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</si>
  <si>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</si>
  <si>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</si>
  <si>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</si>
  <si>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</si>
  <si>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</si>
  <si>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</si>
  <si>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</si>
  <si>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</si>
  <si>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</si>
  <si>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</si>
  <si>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</si>
  <si>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</si>
  <si>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</si>
  <si>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</si>
  <si>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</si>
  <si>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</si>
  <si>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</si>
  <si>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</si>
  <si>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</si>
  <si>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</si>
  <si>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</si>
  <si>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</si>
  <si>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</si>
  <si>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</si>
  <si>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</si>
  <si>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</si>
  <si>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</si>
  <si>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</si>
  <si>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</si>
  <si>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</si>
  <si>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</si>
  <si>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</si>
  <si>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</si>
  <si>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</si>
  <si>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</si>
  <si>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</si>
  <si>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</si>
  <si>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</si>
  <si>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</si>
  <si>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</si>
  <si>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</si>
  <si>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</si>
  <si>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</si>
  <si>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</si>
  <si>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</si>
  <si>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</si>
  <si>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</si>
  <si>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</si>
  <si>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</si>
  <si>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</si>
  <si>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</si>
  <si>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</si>
  <si>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</si>
  <si>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</si>
  <si>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</si>
  <si>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</si>
  <si>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</si>
  <si>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</si>
  <si>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</si>
  <si>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</si>
  <si>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</si>
  <si>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</si>
  <si>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</si>
  <si>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</si>
  <si>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</si>
  <si>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</si>
  <si>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</si>
  <si>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</si>
  <si>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</si>
  <si>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</si>
  <si>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</si>
  <si>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</si>
  <si>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</si>
  <si>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</si>
  <si>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</si>
  <si>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</si>
  <si>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</si>
  <si>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</si>
  <si>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</si>
  <si>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</si>
  <si>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</si>
  <si>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</si>
  <si>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</si>
  <si>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</si>
  <si>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</si>
  <si>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</si>
  <si>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</si>
  <si>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</si>
  <si>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</si>
  <si>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</si>
  <si>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</si>
  <si>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</si>
  <si>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</si>
  <si>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</si>
  <si>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</si>
  <si>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</si>
  <si>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</si>
  <si>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</si>
  <si>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</si>
  <si>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</si>
  <si>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</si>
  <si>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</si>
  <si>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</si>
  <si>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</si>
  <si>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</si>
  <si>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</si>
  <si>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</si>
  <si>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</si>
  <si>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</si>
  <si>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</si>
  <si>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</si>
  <si>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</si>
  <si>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</si>
  <si>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</si>
  <si>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</si>
  <si>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</si>
  <si>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</si>
  <si>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</si>
  <si>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</si>
  <si>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</si>
  <si>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</si>
  <si>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</si>
  <si>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</si>
  <si>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</si>
  <si>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</si>
  <si>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</si>
  <si>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</si>
  <si>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</si>
  <si>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</si>
  <si>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</si>
  <si>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</si>
  <si>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</si>
  <si>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</si>
  <si>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</si>
  <si>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</si>
  <si>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</si>
  <si>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</si>
  <si>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</si>
  <si>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</si>
  <si>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</si>
  <si>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</si>
  <si>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</si>
  <si>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</si>
  <si>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</si>
  <si>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</si>
  <si>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</si>
  <si>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</si>
  <si>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</si>
  <si>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</si>
  <si>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</si>
  <si>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</si>
  <si>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</si>
  <si>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</si>
  <si>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</si>
  <si>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</si>
  <si>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</si>
  <si>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</si>
  <si>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</si>
  <si>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</si>
  <si>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</si>
  <si>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</si>
  <si>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</si>
  <si>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</si>
  <si>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</si>
  <si>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</si>
  <si>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</si>
  <si>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</si>
  <si>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</si>
  <si>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</si>
  <si>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</si>
  <si>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</si>
  <si>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</si>
  <si>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</si>
  <si>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</si>
  <si>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</si>
  <si>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</si>
  <si>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</si>
  <si>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</si>
  <si>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</si>
  <si>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</si>
  <si>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</si>
  <si>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</si>
  <si>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</si>
  <si>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</si>
  <si>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</si>
  <si>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</si>
  <si>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</si>
  <si>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</si>
  <si>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</si>
  <si>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</si>
  <si>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</si>
  <si>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</si>
  <si>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</si>
  <si>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</si>
  <si>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</si>
  <si>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</si>
  <si>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</si>
  <si>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</si>
  <si>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</si>
  <si>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</si>
  <si>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</si>
  <si>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</si>
  <si>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</si>
  <si>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</si>
  <si>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</si>
  <si>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</si>
  <si>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</si>
  <si>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</si>
  <si>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</si>
  <si>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</si>
  <si>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</si>
  <si>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</si>
  <si>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</si>
  <si>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</si>
  <si>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</si>
  <si>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</si>
  <si>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</si>
  <si>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</si>
  <si>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</si>
  <si>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</si>
  <si>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</si>
  <si>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</si>
  <si>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</si>
  <si>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</si>
  <si>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</si>
  <si>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</si>
  <si>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</si>
  <si>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</si>
  <si>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</si>
  <si>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</si>
  <si>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</si>
  <si>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</si>
  <si>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</si>
  <si>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</si>
  <si>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</si>
  <si>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</si>
  <si>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</si>
  <si>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</si>
  <si>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</si>
  <si>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</si>
  <si>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</si>
  <si>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</si>
  <si>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</si>
  <si>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</si>
  <si>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</si>
  <si>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</si>
  <si>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</si>
  <si>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</si>
  <si>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</si>
  <si>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</si>
  <si>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</si>
  <si>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</si>
  <si>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</si>
  <si>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</si>
  <si>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</si>
  <si>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</si>
  <si>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</si>
  <si>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</si>
  <si>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</si>
  <si>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</si>
  <si>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</si>
  <si>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</si>
  <si>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</si>
  <si>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</si>
  <si>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</si>
  <si>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</si>
  <si>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</si>
  <si>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</si>
  <si>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</si>
  <si>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</si>
  <si>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</si>
  <si>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</si>
  <si>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</si>
  <si>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</si>
  <si>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</si>
  <si>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</si>
  <si>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</si>
  <si>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</si>
  <si>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</si>
  <si>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</si>
  <si>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</si>
  <si>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</si>
  <si>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</si>
  <si>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</si>
  <si>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</si>
  <si>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</si>
  <si>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</si>
  <si>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</si>
  <si>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</si>
  <si>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</si>
  <si>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</si>
  <si>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</si>
  <si>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</si>
  <si>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</si>
  <si>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</si>
  <si>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</si>
  <si>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</si>
  <si>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</si>
  <si>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</si>
  <si>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</si>
  <si>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</si>
  <si>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</si>
  <si>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</si>
  <si>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</si>
  <si>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</si>
  <si>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</si>
  <si>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</si>
  <si>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</si>
  <si>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</si>
  <si>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</si>
  <si>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</si>
  <si>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</si>
  <si>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</si>
  <si>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</si>
  <si>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</si>
  <si>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</si>
  <si>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</si>
  <si>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</si>
  <si>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</si>
  <si>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</si>
  <si>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</si>
  <si>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</si>
  <si>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</si>
  <si>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</si>
  <si>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</si>
  <si>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</si>
  <si>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</si>
  <si>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</si>
  <si>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</si>
  <si>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</si>
  <si>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</si>
  <si>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</si>
  <si>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</si>
  <si>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</si>
  <si>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</si>
  <si>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</si>
  <si>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</si>
  <si>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</si>
  <si>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</si>
  <si>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</si>
  <si>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</si>
  <si>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</si>
  <si>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</si>
  <si>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</si>
  <si>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</si>
  <si>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</si>
  <si>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</si>
  <si>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</si>
  <si>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</si>
  <si>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</si>
  <si>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</si>
  <si>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</si>
  <si>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</si>
  <si>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</si>
  <si>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</si>
  <si>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</si>
  <si>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</si>
  <si>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</si>
  <si>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</si>
  <si>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</si>
  <si>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</si>
  <si>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</si>
  <si>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</si>
  <si>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</si>
  <si>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</si>
  <si>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</si>
  <si>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</si>
  <si>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</si>
  <si>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</si>
  <si>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</si>
  <si>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</si>
  <si>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</si>
  <si>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</si>
  <si>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</si>
  <si>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</si>
  <si>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</si>
  <si>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</si>
  <si>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</si>
  <si>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</si>
  <si>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</si>
  <si>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</si>
  <si>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</si>
  <si>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</si>
  <si>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</si>
  <si>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</si>
  <si>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</si>
  <si>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</si>
  <si>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</si>
  <si>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</si>
  <si>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</si>
  <si>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</si>
  <si>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</si>
  <si>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</si>
  <si>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</si>
  <si>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</si>
  <si>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</si>
  <si>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</si>
  <si>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</si>
  <si>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</si>
  <si>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</si>
  <si>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</si>
  <si>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</si>
  <si>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</si>
  <si>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</si>
  <si>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</si>
  <si>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</si>
  <si>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</si>
  <si>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</si>
  <si>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</si>
  <si>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</si>
  <si>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</si>
  <si>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</si>
  <si>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</si>
  <si>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</si>
  <si>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</si>
  <si>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</si>
  <si>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</si>
  <si>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</si>
  <si>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</si>
  <si>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</si>
  <si>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</si>
  <si>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</si>
  <si>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</si>
  <si>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</si>
  <si>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</si>
  <si>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</si>
  <si>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</si>
  <si>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</si>
  <si>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</si>
  <si>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</si>
  <si>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</si>
  <si>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</si>
  <si>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</si>
  <si>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</si>
  <si>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</si>
  <si>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</si>
  <si>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</si>
  <si>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</si>
  <si>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</si>
  <si>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</si>
  <si>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</si>
  <si>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</si>
  <si>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</si>
  <si>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</si>
  <si>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</si>
  <si>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</si>
  <si>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</si>
  <si>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</si>
  <si>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</si>
  <si>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</si>
  <si>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</si>
  <si>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</si>
  <si>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</si>
  <si>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</si>
  <si>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</si>
  <si>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</si>
  <si>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</si>
  <si>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</si>
  <si>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</si>
  <si>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</si>
  <si>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</si>
  <si>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</si>
  <si>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</si>
  <si>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</si>
  <si>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</si>
  <si>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</si>
  <si>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</si>
  <si>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</si>
  <si>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</si>
  <si>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</si>
  <si>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</si>
  <si>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</si>
  <si>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</si>
  <si>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</si>
  <si>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</si>
  <si>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</si>
  <si>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</si>
  <si>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</si>
  <si>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</si>
  <si>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</si>
  <si>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</si>
  <si>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</si>
  <si>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</si>
  <si>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</si>
  <si>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</si>
  <si>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</si>
  <si>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</si>
  <si>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</si>
  <si>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</si>
  <si>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</si>
  <si>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</si>
  <si>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</si>
  <si>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</si>
  <si>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</si>
  <si>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</si>
  <si>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</si>
  <si>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</si>
  <si>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</si>
  <si>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</si>
  <si>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</si>
  <si>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</si>
  <si>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</si>
  <si>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</si>
  <si>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</si>
  <si>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</si>
  <si>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</si>
  <si>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</si>
  <si>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</si>
  <si>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</si>
  <si>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</si>
  <si>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</si>
  <si>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</si>
  <si>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</si>
  <si>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</si>
  <si>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</si>
  <si>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</si>
  <si>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</si>
  <si>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</si>
  <si>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</si>
  <si>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</si>
  <si>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</si>
  <si>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</si>
  <si>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</si>
  <si>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</si>
  <si>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</si>
  <si>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</si>
  <si>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</si>
  <si>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</si>
  <si>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</si>
  <si>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</si>
  <si>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</si>
  <si>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</si>
  <si>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</si>
  <si>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</si>
  <si>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</si>
  <si>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</si>
  <si>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</si>
  <si>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</si>
  <si>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</si>
  <si>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</si>
  <si>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</si>
  <si>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</si>
  <si>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</si>
  <si>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</si>
  <si>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</si>
  <si>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</si>
  <si>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</si>
  <si>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</si>
  <si>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</si>
  <si>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</si>
  <si>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</si>
  <si>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</si>
  <si>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</si>
  <si>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</si>
  <si>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</si>
  <si>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</si>
  <si>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</si>
  <si>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</si>
  <si>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</si>
  <si>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</si>
  <si>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</si>
  <si>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</si>
  <si>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</si>
  <si>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</si>
  <si>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</si>
  <si>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</si>
  <si>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</si>
  <si>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</si>
  <si>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</si>
  <si>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</si>
  <si>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</si>
  <si>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</si>
  <si>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</si>
  <si>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</si>
  <si>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</si>
  <si>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</si>
  <si>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</si>
  <si>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</si>
  <si>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</si>
  <si>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</si>
  <si>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</si>
  <si>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</si>
  <si>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</si>
  <si>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</si>
  <si>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</si>
  <si>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</si>
  <si>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</si>
  <si>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</si>
  <si>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</si>
  <si>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</si>
  <si>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</si>
  <si>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</si>
  <si>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</si>
  <si>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</si>
  <si>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</si>
  <si>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</si>
  <si>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</si>
  <si>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</si>
  <si>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</si>
  <si>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</si>
  <si>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</si>
  <si>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</si>
  <si>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</si>
  <si>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</si>
  <si>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</si>
  <si>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</si>
  <si>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</si>
  <si>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</si>
  <si>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</si>
  <si>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</si>
  <si>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</si>
  <si>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</si>
  <si>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</si>
  <si>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</si>
  <si>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</si>
  <si>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</si>
  <si>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</si>
  <si>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</si>
  <si>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</si>
  <si>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</si>
  <si>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</si>
  <si>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</si>
  <si>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</si>
  <si>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</si>
  <si>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</si>
  <si>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</si>
  <si>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</si>
  <si>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</si>
  <si>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</si>
  <si>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</si>
  <si>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</si>
  <si>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</si>
  <si>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</si>
  <si>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</si>
  <si>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</si>
  <si>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</si>
  <si>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</si>
  <si>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</si>
  <si>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</si>
  <si>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</si>
  <si>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</si>
  <si>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</si>
  <si>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</si>
  <si>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</si>
  <si>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</si>
  <si>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</si>
  <si>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</si>
  <si>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</si>
  <si>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</si>
  <si>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</si>
  <si>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</si>
  <si>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</si>
  <si>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</si>
  <si>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</si>
  <si>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</si>
  <si>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</si>
  <si>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</si>
  <si>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</si>
  <si>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</si>
  <si>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</si>
  <si>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</si>
  <si>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</si>
  <si>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</si>
  <si>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</si>
  <si>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</si>
  <si>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</si>
  <si>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</si>
  <si>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</si>
  <si>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</si>
  <si>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</si>
  <si>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</si>
  <si>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</si>
  <si>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</si>
  <si>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</si>
  <si>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</si>
  <si>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</si>
  <si>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</si>
  <si>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</si>
  <si>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</si>
  <si>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</si>
  <si>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</si>
  <si>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</si>
  <si>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</si>
  <si>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</si>
  <si>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</si>
  <si>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</si>
  <si>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</si>
  <si>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</si>
  <si>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</si>
  <si>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</si>
  <si>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</si>
  <si>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</si>
  <si>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</si>
  <si>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</si>
  <si>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</si>
  <si>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</si>
  <si>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</si>
  <si>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</si>
  <si>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</si>
  <si>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</si>
  <si>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</si>
  <si>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</si>
  <si>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</si>
  <si>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</si>
  <si>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</si>
  <si>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</si>
  <si>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</si>
  <si>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</si>
  <si>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</si>
  <si>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</si>
  <si>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</si>
  <si>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</si>
  <si>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</si>
  <si>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</si>
  <si>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</si>
  <si>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</si>
  <si>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</si>
  <si>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</si>
  <si>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</si>
  <si>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</si>
  <si>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</si>
  <si>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</si>
  <si>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</si>
  <si>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</si>
  <si>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</si>
  <si>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</si>
  <si>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</si>
  <si>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</si>
  <si>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</si>
  <si>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</si>
  <si>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</si>
  <si>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</si>
  <si>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</si>
  <si>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</si>
  <si>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</si>
  <si>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</si>
  <si>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</si>
  <si>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</si>
  <si>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</si>
  <si>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</si>
  <si>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</si>
  <si>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</si>
  <si>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</si>
  <si>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</si>
  <si>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</si>
  <si>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</si>
  <si>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</si>
  <si>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</si>
  <si>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</si>
  <si>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</si>
  <si>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</si>
  <si>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</si>
  <si>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</si>
  <si>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</si>
  <si>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</si>
  <si>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</si>
  <si>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</si>
  <si>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</si>
  <si>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</si>
  <si>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</si>
  <si>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</si>
  <si>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</si>
  <si>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</si>
  <si>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</si>
  <si>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</si>
  <si>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</si>
  <si>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</si>
  <si>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</si>
  <si>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</si>
  <si>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</si>
  <si>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</si>
  <si>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</si>
  <si>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</si>
  <si>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</si>
  <si>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</si>
  <si>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</si>
  <si>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</si>
  <si>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</si>
  <si>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</si>
  <si>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</si>
  <si>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</si>
  <si>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</si>
  <si>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</si>
  <si>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</si>
  <si>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</si>
  <si>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</si>
  <si>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</si>
  <si>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</si>
  <si>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</si>
  <si>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</si>
  <si>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</si>
  <si>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</si>
  <si>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</si>
  <si>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</si>
  <si>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</si>
  <si>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</si>
  <si>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</si>
  <si>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</si>
  <si>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</si>
  <si>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</si>
  <si>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</si>
  <si>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</si>
  <si>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</si>
  <si>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</si>
  <si>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</si>
  <si>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</si>
  <si>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</si>
  <si>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</si>
  <si>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</si>
  <si>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</si>
  <si>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</si>
  <si>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</si>
  <si>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</si>
  <si>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</si>
  <si>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</si>
  <si>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</si>
  <si>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</si>
  <si>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</si>
  <si>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</si>
  <si>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</si>
  <si>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</si>
  <si>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</si>
  <si>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</si>
  <si>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</si>
  <si>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</si>
  <si>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</si>
  <si>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</si>
  <si>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</si>
  <si>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</si>
  <si>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</si>
  <si>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</si>
  <si>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</si>
  <si>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</si>
  <si>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</si>
  <si>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</si>
  <si>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</si>
  <si>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</si>
  <si>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</si>
  <si>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</si>
  <si>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</si>
  <si>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</si>
  <si>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</si>
  <si>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</si>
  <si>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</si>
  <si>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</si>
  <si>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</si>
  <si>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</si>
  <si>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</si>
  <si>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</si>
  <si>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</si>
  <si>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</si>
  <si>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</si>
  <si>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</si>
  <si>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</si>
  <si>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</si>
  <si>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</si>
  <si>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</si>
  <si>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</si>
  <si>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</si>
  <si>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</si>
  <si>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</si>
  <si>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</si>
  <si>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</si>
  <si>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</si>
  <si>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</si>
  <si>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</si>
  <si>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</si>
  <si>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</si>
  <si>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</si>
  <si>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</si>
  <si>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</si>
  <si>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</si>
  <si>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</si>
  <si>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</si>
  <si>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</si>
  <si>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</si>
  <si>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</si>
  <si>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</si>
  <si>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</si>
  <si>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</si>
  <si>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</si>
  <si>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</si>
  <si>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</si>
  <si>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</si>
  <si>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</si>
  <si>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</si>
  <si>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</si>
  <si>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</si>
  <si>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</si>
  <si>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</si>
  <si>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</si>
  <si>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</si>
  <si>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</si>
  <si>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</si>
  <si>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</si>
  <si>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</si>
  <si>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</si>
  <si>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</si>
  <si>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</si>
  <si>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</si>
  <si>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</si>
  <si>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</si>
  <si>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</si>
  <si>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</si>
  <si>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</si>
  <si>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</si>
  <si>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</si>
  <si>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</si>
  <si>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</si>
  <si>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</si>
  <si>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</si>
  <si>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</si>
  <si>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</si>
  <si>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</si>
  <si>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</si>
  <si>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</si>
  <si>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</si>
  <si>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</si>
  <si>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</si>
  <si>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</si>
  <si>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</si>
  <si>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</si>
  <si>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</si>
  <si>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</si>
  <si>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</si>
  <si>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</si>
  <si>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</si>
  <si>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</si>
  <si>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</si>
  <si>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</si>
  <si>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</si>
  <si>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</si>
  <si>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</si>
  <si>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</si>
  <si>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</si>
  <si>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</si>
  <si>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</si>
  <si>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</si>
  <si>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</si>
  <si>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</si>
  <si>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</si>
  <si>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</si>
  <si>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</si>
  <si>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</si>
  <si>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</si>
  <si>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</si>
  <si>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</si>
  <si>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</si>
  <si>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</si>
  <si>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</si>
  <si>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</si>
  <si>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</si>
  <si>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</si>
  <si>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</si>
  <si>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</si>
  <si>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</si>
  <si>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</si>
  <si>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</si>
  <si>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</si>
  <si>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</si>
  <si>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</si>
  <si>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</si>
  <si>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</si>
  <si>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</si>
  <si>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</si>
  <si>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</si>
  <si>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</si>
  <si>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</si>
  <si>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</si>
  <si>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</si>
  <si>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</si>
  <si>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</si>
  <si>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</si>
  <si>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</si>
  <si>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</si>
  <si>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</si>
  <si>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</si>
  <si>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</si>
  <si>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</si>
  <si>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</si>
  <si>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</si>
  <si>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</si>
  <si>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</si>
  <si>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</si>
  <si>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</si>
  <si>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</si>
  <si>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</si>
  <si>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</si>
  <si>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</si>
  <si>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</si>
  <si>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</si>
  <si>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</si>
  <si>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</si>
  <si>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</si>
  <si>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</si>
  <si>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</si>
  <si>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</si>
  <si>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</si>
  <si>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</si>
  <si>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</si>
  <si>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</si>
  <si>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</si>
  <si>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</si>
  <si>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</si>
  <si>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</si>
  <si>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</si>
  <si>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</si>
  <si>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</si>
  <si>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</si>
  <si>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</si>
  <si>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</si>
  <si>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</si>
  <si>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</si>
  <si>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</si>
  <si>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</si>
  <si>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</si>
  <si>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</si>
  <si>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</si>
  <si>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</si>
  <si>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</si>
  <si>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</si>
  <si>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</si>
  <si>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</si>
  <si>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</si>
  <si>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</si>
  <si>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</si>
  <si>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</si>
  <si>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</si>
  <si>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</si>
  <si>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</si>
  <si>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</si>
  <si>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</si>
  <si>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</si>
  <si>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</si>
  <si>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</si>
  <si>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</si>
  <si>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</si>
  <si>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</si>
  <si>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</si>
  <si>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</si>
  <si>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</si>
  <si>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</si>
  <si>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</si>
  <si>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</si>
  <si>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</si>
  <si>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</si>
  <si>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</si>
  <si>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</si>
  <si>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</si>
  <si>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</si>
  <si>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</si>
  <si>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</si>
  <si>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</si>
  <si>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</si>
  <si>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</si>
  <si>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</si>
  <si>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</si>
  <si>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</si>
  <si>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</si>
  <si>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</si>
  <si>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</si>
  <si>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</si>
  <si>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</si>
  <si>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</si>
  <si>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</si>
  <si>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</si>
  <si>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</si>
  <si>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</si>
  <si>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</si>
  <si>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</si>
  <si>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</si>
  <si>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</si>
  <si>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</si>
  <si>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</si>
  <si>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</si>
  <si>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</si>
  <si>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</si>
  <si>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</si>
  <si>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</si>
  <si>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</si>
  <si>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</si>
  <si>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</si>
  <si>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</si>
  <si>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</si>
  <si>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</si>
  <si>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</si>
  <si>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</si>
  <si>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</si>
  <si>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</si>
  <si>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</si>
  <si>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</si>
  <si>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</si>
  <si>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</si>
  <si>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</si>
  <si>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</si>
  <si>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</si>
  <si>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</si>
  <si>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</si>
  <si>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</si>
  <si>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</si>
  <si>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</si>
  <si>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</si>
  <si>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</si>
  <si>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</si>
  <si>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</si>
  <si>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</si>
  <si>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</si>
  <si>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</si>
  <si>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</si>
  <si>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</si>
  <si>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</si>
  <si>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</si>
  <si>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</si>
  <si>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</si>
  <si>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</si>
  <si>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</si>
  <si>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</si>
  <si>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</si>
  <si>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</si>
  <si>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</si>
  <si>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</si>
  <si>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</si>
  <si>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</si>
  <si>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</si>
  <si>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</si>
  <si>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</si>
  <si>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</si>
  <si>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</si>
  <si>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</si>
  <si>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</si>
  <si>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</si>
  <si>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</si>
  <si>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</si>
  <si>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</si>
  <si>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</si>
  <si>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</si>
  <si>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</si>
  <si>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</si>
  <si>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</si>
  <si>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</si>
  <si>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</si>
  <si>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</si>
  <si>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</si>
  <si>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</si>
  <si>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</si>
  <si>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</si>
  <si>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</si>
  <si>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</si>
  <si>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</si>
  <si>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</si>
  <si>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</si>
  <si>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</si>
  <si>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</si>
  <si>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</si>
  <si>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</si>
  <si>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</si>
  <si>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</si>
  <si>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</si>
  <si>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</si>
  <si>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</si>
  <si>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</si>
  <si>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</si>
  <si>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</si>
  <si>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</si>
  <si>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</si>
  <si>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</si>
  <si>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</si>
  <si>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</si>
  <si>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</si>
  <si>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</si>
  <si>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</si>
  <si>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</si>
  <si>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</si>
  <si>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</si>
  <si>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</si>
  <si>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</si>
  <si>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</si>
  <si>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</si>
  <si>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</si>
  <si>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</si>
  <si>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</si>
  <si>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</si>
  <si>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</si>
  <si>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</si>
  <si>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</si>
  <si>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</si>
  <si>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</si>
  <si>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</si>
  <si>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</si>
  <si>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</si>
  <si>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</si>
  <si>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</si>
  <si>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</si>
  <si>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</si>
  <si>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</si>
  <si>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</si>
  <si>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</si>
  <si>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</si>
  <si>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</si>
  <si>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</si>
  <si>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</si>
  <si>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</si>
  <si>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</si>
  <si>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</si>
  <si>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</si>
  <si>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</si>
  <si>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</si>
  <si>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</si>
  <si>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</si>
  <si>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</si>
  <si>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</si>
  <si>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</si>
  <si>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</si>
  <si>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</si>
  <si>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</si>
  <si>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</si>
  <si>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</si>
  <si>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</si>
  <si>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</si>
  <si>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</si>
  <si>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</si>
  <si>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</si>
  <si>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</si>
  <si>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</si>
  <si>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</si>
  <si>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</si>
  <si>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</si>
  <si>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</si>
  <si>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</si>
  <si>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</si>
  <si>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</si>
  <si>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</si>
  <si>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</si>
  <si>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</si>
  <si>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</si>
  <si>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</si>
  <si>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</si>
  <si>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</si>
  <si>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</si>
  <si>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</si>
  <si>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</si>
  <si>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</si>
  <si>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</si>
  <si>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</si>
  <si>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</si>
  <si>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</si>
  <si>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</si>
  <si>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</si>
  <si>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</si>
  <si>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</si>
  <si>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</si>
  <si>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</si>
  <si>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</si>
  <si>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</si>
  <si>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</si>
  <si>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</si>
  <si>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</si>
  <si>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</si>
  <si>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</si>
  <si>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</si>
  <si>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</si>
  <si>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</si>
  <si>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</si>
  <si>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</si>
  <si>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</si>
  <si>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</si>
  <si>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</si>
  <si>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</si>
  <si>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</si>
  <si>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</si>
  <si>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</si>
  <si>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</si>
  <si>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</si>
  <si>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</si>
  <si>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</si>
  <si>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</si>
  <si>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</si>
  <si>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</si>
  <si>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</si>
  <si>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</si>
  <si>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</si>
  <si>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</si>
  <si>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</si>
  <si>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</si>
  <si>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</si>
  <si>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</si>
  <si>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</si>
  <si>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</si>
  <si>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</si>
  <si>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</si>
  <si>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</si>
  <si>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</si>
  <si>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</si>
  <si>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</si>
  <si>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</si>
  <si>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</si>
  <si>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</si>
  <si>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</si>
  <si>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</si>
  <si>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</si>
  <si>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</si>
  <si>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</si>
  <si>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</si>
  <si>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</si>
  <si>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</si>
  <si>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</si>
  <si>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</si>
  <si>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</si>
  <si>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</si>
  <si>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</si>
  <si>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</si>
  <si>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</si>
  <si>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</si>
  <si>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</si>
  <si>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</si>
  <si>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</si>
  <si>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</si>
  <si>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</si>
  <si>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</si>
  <si>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</si>
  <si>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</si>
  <si>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</si>
  <si>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</si>
  <si>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</si>
  <si>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</si>
  <si>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</si>
  <si>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</si>
  <si>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</si>
  <si>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</si>
  <si>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</si>
  <si>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</si>
  <si>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</si>
  <si>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</si>
  <si>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</si>
  <si>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</si>
  <si>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</si>
  <si>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</si>
  <si>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</si>
  <si>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</si>
  <si>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</si>
  <si>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</si>
  <si>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</si>
  <si>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</si>
  <si>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</si>
  <si>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</si>
  <si>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</si>
  <si>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</si>
  <si>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</si>
  <si>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</si>
  <si>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</si>
  <si>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</si>
  <si>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</si>
  <si>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</si>
  <si>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</si>
  <si>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</si>
  <si>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</si>
  <si>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</si>
  <si>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</si>
  <si>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</si>
  <si>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</si>
  <si>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</si>
  <si>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</si>
  <si>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</si>
  <si>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</si>
  <si>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</si>
  <si>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</si>
  <si>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</si>
  <si>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</si>
  <si>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</si>
  <si>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</si>
  <si>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</si>
  <si>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</si>
  <si>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</si>
  <si>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</si>
  <si>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</si>
  <si>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</si>
  <si>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</si>
  <si>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</si>
  <si>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</si>
  <si>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</si>
  <si>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</si>
  <si>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</si>
  <si>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</si>
  <si>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</si>
  <si>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</si>
  <si>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</si>
  <si>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</si>
  <si>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</si>
  <si>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</si>
  <si>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</si>
  <si>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</si>
  <si>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</si>
  <si>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</si>
  <si>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</si>
  <si>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</si>
  <si>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</si>
  <si>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</si>
  <si>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</si>
  <si>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</si>
  <si>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</si>
  <si>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</si>
  <si>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</si>
  <si>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</si>
  <si>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</si>
  <si>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</si>
  <si>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</si>
  <si>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</si>
  <si>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</si>
  <si>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</si>
  <si>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</si>
  <si>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</si>
  <si>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</si>
  <si>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</si>
  <si>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</si>
  <si>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</si>
  <si>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</si>
  <si>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</si>
  <si>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</si>
  <si>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</si>
  <si>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</si>
  <si>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</si>
  <si>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</si>
  <si>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</si>
  <si>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</si>
  <si>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</si>
  <si>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</si>
  <si>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</si>
  <si>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</si>
  <si>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</si>
  <si>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</si>
  <si>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</si>
  <si>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</si>
  <si>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</si>
  <si>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</si>
  <si>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</si>
  <si>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</si>
  <si>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</si>
  <si>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</si>
  <si>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</si>
  <si>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</si>
  <si>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</si>
  <si>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</si>
  <si>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</si>
  <si>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</si>
  <si>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</si>
  <si>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</si>
  <si>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</si>
  <si>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</si>
  <si>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</si>
  <si>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</si>
  <si>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</si>
  <si>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</si>
  <si>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</si>
  <si>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</si>
  <si>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</si>
  <si>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</si>
  <si>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</si>
  <si>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</si>
  <si>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</si>
  <si>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</si>
  <si>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</si>
  <si>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</si>
  <si>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</si>
  <si>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</si>
  <si>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</si>
  <si>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</si>
  <si>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</si>
  <si>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</si>
  <si>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</si>
  <si>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</si>
  <si>
    <t>sudo reboot</t>
  </si>
  <si>
    <t>再起動</t>
    <rPh sb="0" eb="3">
      <t>サイキドウ</t>
    </rPh>
    <phoneticPr fontId="4"/>
  </si>
  <si>
    <t>シャットダウン</t>
    <phoneticPr fontId="4"/>
  </si>
  <si>
    <t xml:space="preserve">sudo shutdown -h now </t>
    <phoneticPr fontId="4"/>
  </si>
  <si>
    <t>例</t>
    <rPh sb="0" eb="1">
      <t>レイ</t>
    </rPh>
    <phoneticPr fontId="4"/>
  </si>
  <si>
    <t>find_package(ament_cmake REQUIRED)</t>
  </si>
  <si>
    <t>CMAKE_CURRENT_SOURCE_DIR</t>
  </si>
  <si>
    <t>環境変数</t>
    <rPh sb="0" eb="2">
      <t>カンキョウ</t>
    </rPh>
    <rPh sb="2" eb="4">
      <t>ヘンスウ</t>
    </rPh>
    <phoneticPr fontId="4"/>
  </si>
  <si>
    <t>PROJECT_NAME</t>
  </si>
  <si>
    <t>add_subdirectory(src)</t>
  </si>
  <si>
    <t>ament_package()</t>
  </si>
  <si>
    <t>変数スコープを作る（局所変数化・PROPAGATEで親へ反映）</t>
  </si>
  <si>
    <t>block([SCOPE_FOR VARIABLES] [PROPAGATE var...]) ... endblock()</t>
  </si>
  <si>
    <t>block(PROPAGATE foo) set(foo 1) endblock()</t>
  </si>
  <si>
    <t>★★☆</t>
  </si>
  <si>
    <t>一時的な変数汚染防止に便利 (cmake.org)</t>
  </si>
  <si>
    <t>foreach/while を中断</t>
  </si>
  <si>
    <t>break()</t>
  </si>
  <si>
    <t>foreach(x a b) break() endforeach()</t>
  </si>
  <si>
    <t>ループのみを抜ける</t>
  </si>
  <si>
    <t>ホスト（CMake実行機）の情報取得</t>
  </si>
  <si>
    <t>cmake_host_system_information(RESULT var QUERY key...)</t>
  </si>
  <si>
    <t>cmake_host_system_information(RESULT info QUERY HOSTNAME)</t>
  </si>
  <si>
    <t>★☆☆</t>
  </si>
  <si>
    <t>クロスコンパイル時は「実行機」側情報になる点に注意 (man.freebsd.org)</t>
  </si>
  <si>
    <t>メタ操作（CALL/EVAL/DEFER など）</t>
  </si>
  <si>
    <t>cmake_language(CALL cmd args...) / cmake_language(EVAL CODE "...") / cmake_language(DEFER ...)</t>
  </si>
  <si>
    <t>cmake_language(CALL message STATUS "hi")</t>
  </si>
  <si>
    <t>高度な用途（遅延実行など） (cmake.org)</t>
  </si>
  <si>
    <t>必須CMakeバージョン宣言</t>
  </si>
  <si>
    <t>cmake_minimum_required(VERSION x.y[...])</t>
  </si>
  <si>
    <t>cmake_minimum_required(VERSION 3.22)</t>
  </si>
  <si>
    <t>★★★</t>
  </si>
  <si>
    <t>なるべく先頭に置くのが定石</t>
  </si>
  <si>
    <t>引数パース（関数/マクロの引数をKEY/BOOL/LIST化）</t>
  </si>
  <si>
    <t>cmake_parse_arguments(PREFIX OPTIONS ONE_VALUE_KEYWORDS MULTI_VALUE_KEYWORDS ARGN)</t>
  </si>
  <si>
    <t>cmake_parse_arguments(A "" "NAME" "SRCS" ${ARGN})</t>
  </si>
  <si>
    <t>自作関数のオプション処理で定番</t>
  </si>
  <si>
    <t>パス操作（正規化・結合・相対化など）</t>
  </si>
  <si>
    <t>cmake_path(OPERATION ...)</t>
  </si>
  <si>
    <t>cmake_path(SET p NORMALIZE "/a/../b")</t>
  </si>
  <si>
    <t>近年の推奨（string(REPLACE)より安全）</t>
  </si>
  <si>
    <t>pkg-config 経由で依存取得</t>
  </si>
  <si>
    <t>cmake_pkg_config(...)</t>
  </si>
  <si>
    <t>cmake_pkg_config(IMPORT foo)</t>
  </si>
  <si>
    <t>pkg-config依存の環境で有用（プロジェクト方針次第）</t>
  </si>
  <si>
    <t>ポリシー設定（互換性/挙動切替）</t>
  </si>
  <si>
    <t>cmake_policy(SET CMP0074 NEW)</t>
  </si>
  <si>
    <t>テンプレ置換してファイル生成</t>
  </si>
  <si>
    <t>configure_file(in out [@ONLY] [ESCAPE_QUOTES] ...)</t>
  </si>
  <si>
    <t>configure_file(config.h.in config.h @ONLY)</t>
  </si>
  <si>
    <t>バージョン埋め込み等で頻出 (cmake.org)</t>
  </si>
  <si>
    <t>ループの次イテレーションへ</t>
  </si>
  <si>
    <t>continue()</t>
  </si>
  <si>
    <t>foreach(x a b) continue() endforeach()</t>
  </si>
  <si>
    <t>条件分岐でスキップしたい時</t>
  </si>
  <si>
    <t>if構文のelse節</t>
  </si>
  <si>
    <t>else()</t>
  </si>
  <si>
    <t>if(A) ... else() ... endif()</t>
  </si>
  <si>
    <t>if() の一部 (cmake.org)</t>
  </si>
  <si>
    <t>if構文のelse-if節</t>
  </si>
  <si>
    <t>elseif(cond)</t>
  </si>
  <si>
    <t>if(A) ... elseif(B) ... endif()</t>
  </si>
  <si>
    <t>block終了</t>
  </si>
  <si>
    <t>endblock()</t>
  </si>
  <si>
    <t>block() ... endblock()</t>
  </si>
  <si>
    <t>block() と対</t>
  </si>
  <si>
    <t>foreach終了</t>
  </si>
  <si>
    <t>endforeach([var])</t>
  </si>
  <si>
    <t>foreach(x a b) ... endforeach()</t>
  </si>
  <si>
    <t>var名は省略されがち</t>
  </si>
  <si>
    <t>function終了</t>
  </si>
  <si>
    <t>endfunction([name])</t>
  </si>
  <si>
    <t>function(f) ... endfunction()</t>
  </si>
  <si>
    <t>name省略可</t>
  </si>
  <si>
    <t>if終了</t>
  </si>
  <si>
    <t>endif([cond])</t>
  </si>
  <si>
    <t>if(A) ... endif()</t>
  </si>
  <si>
    <t>macro終了</t>
  </si>
  <si>
    <t>endmacro([name])</t>
  </si>
  <si>
    <t>macro(m) ... endmacro()</t>
  </si>
  <si>
    <t>macroはスコープがfunctionと異なる点に注意</t>
  </si>
  <si>
    <t>while終了</t>
  </si>
  <si>
    <t>endwhile([cond])</t>
  </si>
  <si>
    <t>while(i LESS 3) ... endwhile()</t>
  </si>
  <si>
    <t>複雑になりやすいので多用注意</t>
  </si>
  <si>
    <t>外部コマンド実行</t>
  </si>
  <si>
    <t>execute_process(COMMAND ... [RESULT_VARIABLE v] [OUTPUT_VARIABLE v] ...)</t>
  </si>
  <si>
    <t>execute_process(COMMAND git rev-parse HEAD OUTPUT_VARIABLE sha)</t>
  </si>
  <si>
    <t>生成時に実行。ビルド時実行は add_custom_command 等を検討</t>
  </si>
  <si>
    <t>ファイル操作（読み書き・GLOB・生成・権限など）</t>
  </si>
  <si>
    <t>file(SUBCOMMAND ...)</t>
  </si>
  <si>
    <t>file(GLOB SRC CONFIGURE_DEPENDS "*.cpp")</t>
  </si>
  <si>
    <t>GLOBは追従設定に注意（CONFIGURE_DEPENDS等）</t>
  </si>
  <si>
    <t>ファイル検索（実体ファイル）</t>
  </si>
  <si>
    <t>find_file(var name [PATHS ...])</t>
  </si>
  <si>
    <t>find_file(MYCFG my.cfg PATHS ${CMAKE_SOURCE_DIR})</t>
  </si>
  <si>
    <t>代替：find_package/config等の方が保守性高い場合が多い</t>
  </si>
  <si>
    <t>ライブラリ検索（.so/.a等）</t>
  </si>
  <si>
    <t>find_library(var name [PATHS ...])</t>
  </si>
  <si>
    <t>find_library(MYLIB foo PATHS /usr/lib)</t>
  </si>
  <si>
    <t>生の探索より imported target を優先したい</t>
  </si>
  <si>
    <t>パッケージ探索（Config/Findモジュール）</t>
  </si>
  <si>
    <t>find_package(Pkg [version] [REQUIRED] [COMPONENTS ...])</t>
  </si>
  <si>
    <t>find_package(Eigen3 3.4 REQUIRED)</t>
  </si>
  <si>
    <t>依存取得の王道 (cmake.org)</t>
  </si>
  <si>
    <t>ヘッダ探索</t>
  </si>
  <si>
    <t>find_path(var name [PATHS ...])</t>
  </si>
  <si>
    <t>find_path(FOO_INC foo.h)</t>
  </si>
  <si>
    <t>近年は find_package で include dirs をもらうことが多い</t>
  </si>
  <si>
    <t>実行ファイル探索</t>
  </si>
  <si>
    <t>find_program(var name [PATHS ...])</t>
  </si>
  <si>
    <t>find_program(PY python3)</t>
  </si>
  <si>
    <t>ツール検出に便利</t>
  </si>
  <si>
    <t>ループ（リスト/範囲/アイテム）</t>
  </si>
  <si>
    <t>foreach(var IN LISTS lst) ... endforeach()</t>
  </si>
  <si>
    <t>foreach(x IN LISTS MYLIST) message(STATUS ${x}) endforeach()</t>
  </si>
  <si>
    <t>IN LISTS 等の書式をよく使う</t>
  </si>
  <si>
    <t>関数定義（スコープあり）</t>
  </si>
  <si>
    <t>function(name [args...]) ... endfunction()</t>
  </si>
  <si>
    <t>function(add_opt x) set(${x} ON PARENT_SCOPE) endfunction()</t>
  </si>
  <si>
    <t>変数スコープがmacroと違う</t>
  </si>
  <si>
    <t>CMakeプロパティ取得（グローバル）</t>
  </si>
  <si>
    <t>get_cmake_property(var property)</t>
  </si>
  <si>
    <t>get_cmake_property(vars VARIABLES)</t>
  </si>
  <si>
    <t>デバッグ/調査用途が多い</t>
  </si>
  <si>
    <t>ディレクトリプロパティ取得</t>
  </si>
  <si>
    <t>get_directory_property(incs DIRECTORY . INCLUDE_DIRECTORIES)</t>
  </si>
  <si>
    <t>大規模CMakeの調査向け</t>
  </si>
  <si>
    <t>パス要素取得（拡張子・ディレクトリ名等）</t>
  </si>
  <si>
    <t>任意プロパティ取得</t>
  </si>
  <si>
    <t>get_property(var TARGET t PROPERTY p)</t>
  </si>
  <si>
    <t>get_property(v TARGET mylib PROPERTY TYPE)</t>
  </si>
  <si>
    <t>ターゲット駆動CMakeで有用</t>
  </si>
  <si>
    <t>条件分岐</t>
  </si>
  <si>
    <t>if(condition) ... endif()</t>
  </si>
  <si>
    <t>if(WIN32) message(STATUS "win") endif()</t>
  </si>
  <si>
    <t>条件式の規則に注意 (cmake.org)</t>
  </si>
  <si>
    <t>他CMakeファイル読み込み</t>
  </si>
  <si>
    <t>includeの多重読み込み防止</t>
  </si>
  <si>
    <t>リスト操作（append/remove/filter/sort等）</t>
  </si>
  <si>
    <t>list(SUBCOMMAND ...)</t>
  </si>
  <si>
    <t>list(APPEND SRC a.cpp b.cpp)</t>
  </si>
  <si>
    <t>変数が「;区切りリスト」である点が前提</t>
  </si>
  <si>
    <t>キャッシュ読み込み</t>
  </si>
  <si>
    <t>load_cache(path [READ_WITH_PREFIX pfx] ...)</t>
  </si>
  <si>
    <t>load_cache(${CMAKE_BINARY_DIR} READ_WITH_PREFIX old_)</t>
  </si>
  <si>
    <t>レガシー/特殊用途</t>
  </si>
  <si>
    <t>マクロ定義（テキスト置換的・スコープ弱い）</t>
  </si>
  <si>
    <t>macro(name [args...]) ... endmacro()</t>
  </si>
  <si>
    <t>macro(m) message(STATUS "m") endmacro()</t>
  </si>
  <si>
    <t>変数スコープが呼び出し元に漏れるので注意</t>
  </si>
  <si>
    <t>変数を詳細表示から隠す/表示制御</t>
  </si>
  <si>
    <t>数式評価</t>
  </si>
  <si>
    <t>math(EXPR out "expr")</t>
  </si>
  <si>
    <t>math(EXPR n "1 + 2")</t>
  </si>
  <si>
    <t>純スクリプト用途で便利</t>
  </si>
  <si>
    <t>メッセージ出力</t>
  </si>
  <si>
    <t>message([MODE] "text")</t>
  </si>
  <si>
    <t>message(STATUS "configure")</t>
  </si>
  <si>
    <t>STATUS/WARNING/FATAL_ERROR 等</t>
  </si>
  <si>
    <t>オプション（ON/OFF）をキャッシュに作る</t>
  </si>
  <si>
    <t>option(name "help" [value])</t>
  </si>
  <si>
    <t>option(BUILD_TESTS "build tests" ON)</t>
  </si>
  <si>
    <t>GUI/CIの切替に定番</t>
  </si>
  <si>
    <t>関数から復帰</t>
  </si>
  <si>
    <t>return([PROPAGATE var...])</t>
  </si>
  <si>
    <t>if(err) return() endif()</t>
  </si>
  <si>
    <t>CMakeのバージョン条件で使える範囲に注意</t>
  </si>
  <si>
    <t>文字列をコマンドライン風に分割</t>
  </si>
  <si>
    <t>separate_arguments(var NATIVE_COMMAND "a b")</t>
  </si>
  <si>
    <t>separate_arguments(args NATIVE_COMMAND "${line}")</t>
  </si>
  <si>
    <t>取り扱い注意（引用符など）</t>
  </si>
  <si>
    <t>変数設定（通常/キャッシュ/環境）</t>
  </si>
  <si>
    <t>set(var value...) / set(var value CACHE TYPE "doc")</t>
  </si>
  <si>
    <t>set(CMAKE_CXX_STANDARD 17)</t>
  </si>
  <si>
    <t>キャッシュ指定の有無で挙動が違う (cmake.org)</t>
  </si>
  <si>
    <t>ディレクトリプロパティ設定</t>
  </si>
  <si>
    <t>set_directory_properties(PROPERTIES p v ...)</t>
  </si>
  <si>
    <t>set_directory_properties(PROPERTIES LABELS "core")</t>
  </si>
  <si>
    <t>多用は避け、target指向を優先することが多い</t>
  </si>
  <si>
    <t>プロパティ設定（TARGET/DIRECTORY/GLOBAL等）</t>
  </si>
  <si>
    <t>set_property(SCOPE ... PROPERTY p v)</t>
  </si>
  <si>
    <t>set_property(TARGET t PROPERTY CXX_STANDARD 20)</t>
  </si>
  <si>
    <t>targetベースCMakeで頻出</t>
  </si>
  <si>
    <t>サイト名（ホスト名）取得</t>
  </si>
  <si>
    <t>site_name(var)</t>
  </si>
  <si>
    <t>site_name(host)</t>
  </si>
  <si>
    <t>古め。CI識別など限定用途</t>
  </si>
  <si>
    <t>文字列操作（置換・正規表現・比較・JOIN等）</t>
  </si>
  <si>
    <t>string(SUBCOMMAND ...)</t>
  </si>
  <si>
    <t>string(REPLACE "." "_" out "${ver}")</t>
  </si>
  <si>
    <t>ただしパスは cmake_path 推奨寄り</t>
  </si>
  <si>
    <t>変数削除</t>
  </si>
  <si>
    <t>unset(var [CACHE])</t>
  </si>
  <si>
    <t>unset(BUILD_TESTS CACHE)</t>
  </si>
  <si>
    <t>CACHEと通常変数で別物</t>
  </si>
  <si>
    <t>変数変更を監視（デバッグ用）</t>
  </si>
  <si>
    <t>variable_watch(var [command])</t>
  </si>
  <si>
    <t>variable_watch(MYVAR)</t>
  </si>
  <si>
    <t>ほぼデバッグ専用</t>
  </si>
  <si>
    <t>whileループ</t>
  </si>
  <si>
    <t>while(condition) ... endwhile()</t>
  </si>
  <si>
    <t>while(i LESS 3) math(EXPR i "${i}+1") endwhile()</t>
  </si>
  <si>
    <t>無限ループ注意</t>
  </si>
  <si>
    <t>利用頻度</t>
    <rPh sb="0" eb="2">
      <t>リヨウ</t>
    </rPh>
    <rPh sb="2" eb="4">
      <t>ヒンド</t>
    </rPh>
    <phoneticPr fontId="4"/>
  </si>
  <si>
    <t>cmake_policy(VERSION x.y) / cmake_policy(SET CMPnnnn NEW OLD)</t>
    <phoneticPr fontId="4"/>
  </si>
  <si>
    <t>include(file module)</t>
    <phoneticPr fontId="4"/>
  </si>
  <si>
    <t>mark_as_advanced([CLEAR FORCE] var...)</t>
    <phoneticPr fontId="4"/>
  </si>
  <si>
    <t>include_guard(GLOBAL)</t>
    <phoneticPr fontId="4"/>
  </si>
  <si>
    <t>include(GNUInstallDirs)</t>
    <phoneticPr fontId="4"/>
  </si>
  <si>
    <t>include_guard([GLOBAL｜DIRECTORY])</t>
  </si>
  <si>
    <t>get_filename_component(var file EXT|NAME|DIRECTORY|ABSOLUTE ...)</t>
    <phoneticPr fontId="4"/>
  </si>
  <si>
    <t>get_directory_property(var [DIRECTORY dir] PROPERTY p)</t>
    <phoneticPr fontId="4"/>
  </si>
  <si>
    <t>スクリプトコマンド</t>
    <phoneticPr fontId="4"/>
  </si>
  <si>
    <t>プロジェクトコマンド</t>
    <phoneticPr fontId="4"/>
  </si>
  <si>
    <t>コンパイル定義追加（ディレクトリ単位）</t>
  </si>
  <si>
    <t>add_compile_definitions(def...)</t>
  </si>
  <si>
    <t>add_compile_definitions(FOO=1)</t>
  </si>
  <si>
    <t>近年追加。directoryスコープ</t>
  </si>
  <si>
    <t>コンパイルオプション追加（ディレクトリ単位）</t>
  </si>
  <si>
    <t>add_compile_options(opt...)</t>
  </si>
  <si>
    <t>add_compile_options(-Wall)</t>
  </si>
  <si>
    <t>target系の方が推奨</t>
  </si>
  <si>
    <t>カスタムビルドコマンド定義</t>
  </si>
  <si>
    <t>add_custom_command(OUTPUT ... COMMAND ...)</t>
  </si>
  <si>
    <t>add_custom_command(OUTPUT gen.cpp COMMAND python gen.py)</t>
  </si>
  <si>
    <t>生成物ルール定義に使用</t>
  </si>
  <si>
    <t>常に実行可能なカスタムターゲット</t>
  </si>
  <si>
    <t>add_custom_target(name COMMAND ...)</t>
  </si>
  <si>
    <t>add_custom_target(run ALL COMMAND ./app)</t>
  </si>
  <si>
    <t>OUTPUTを持たない</t>
  </si>
  <si>
    <t>古いコンパイル定義追加</t>
  </si>
  <si>
    <t>add_definitions(-DFOO)</t>
  </si>
  <si>
    <t>add_definitions(-DUSE_X)</t>
  </si>
  <si>
    <t>非推奨寄り（target_compile_definitions推奨）</t>
  </si>
  <si>
    <t>ターゲット依存関係追加</t>
  </si>
  <si>
    <t>add_dependencies(tgt dep...)</t>
  </si>
  <si>
    <t>add_dependencies(app gen_target)</t>
  </si>
  <si>
    <t>ビルド順制御</t>
  </si>
  <si>
    <t>実行ファイル作成</t>
  </si>
  <si>
    <t>add_executable(name src...)</t>
  </si>
  <si>
    <t>add_executable(app main.cpp)</t>
  </si>
  <si>
    <t>最重要基本コマンド</t>
  </si>
  <si>
    <t>ライブラリ作成</t>
  </si>
  <si>
    <t>add_library(mylib STATIC a.cpp)</t>
  </si>
  <si>
    <t>リンカオプション追加（directory）</t>
  </si>
  <si>
    <t>add_link_options(opt...)</t>
  </si>
  <si>
    <t>add_link_options(-Wl,--as-needed)</t>
  </si>
  <si>
    <t>target_link_options推奨</t>
  </si>
  <si>
    <t>サブディレクトリ追加</t>
  </si>
  <si>
    <t>add_subdirectory(dir)</t>
  </si>
  <si>
    <t>大規模構成の基本</t>
  </si>
  <si>
    <t>CTestテスト追加</t>
  </si>
  <si>
    <t>add_test(NAME n COMMAND cmd)</t>
  </si>
  <si>
    <t>add_test(NAME run COMMAND app)</t>
  </si>
  <si>
    <t>enable_testing必要</t>
  </si>
  <si>
    <t>ディレクトリ内ソース収集</t>
  </si>
  <si>
    <t>aux_source_directory(dir var)</t>
  </si>
  <si>
    <t>aux_source_directory(src SRC)</t>
  </si>
  <si>
    <t>非推奨（GLOB同様注意）</t>
  </si>
  <si>
    <t>ビルドコマンド文字列取得</t>
  </si>
  <si>
    <t>build_command(var)</t>
  </si>
  <si>
    <t>build_command(cmd)</t>
  </si>
  <si>
    <t>古いCTest用途</t>
  </si>
  <si>
    <t>CMake File API</t>
  </si>
  <si>
    <t>cmake_file_api(...)</t>
  </si>
  <si>
    <t>IDE連携向け内部API</t>
  </si>
  <si>
    <t>計測フック</t>
  </si>
  <si>
    <t>cmake_instrumentation(...)</t>
  </si>
  <si>
    <t>内部用途</t>
  </si>
  <si>
    <t>テストソースリスト生成</t>
  </si>
  <si>
    <t>create_test_sourcelist(var driver src...)</t>
  </si>
  <si>
    <t>create_test_sourcelist(TESTS driver.cpp a.cpp)</t>
  </si>
  <si>
    <t>古いCTest支援</t>
  </si>
  <si>
    <t>プロパティ定義</t>
  </si>
  <si>
    <t>define_property(SCOPE ... PROPERTY name ...)</t>
  </si>
  <si>
    <t>define_property(TARGET PROPERTY FOO ...)</t>
  </si>
  <si>
    <t>拡張用途</t>
  </si>
  <si>
    <t>言語有効化</t>
  </si>
  <si>
    <t>enable_language(CXX)</t>
  </si>
  <si>
    <t>enable_language(CUDA)</t>
  </si>
  <si>
    <t>project()内で通常有効</t>
  </si>
  <si>
    <t>テスト有効化</t>
  </si>
  <si>
    <t>enable_testing()</t>
  </si>
  <si>
    <t>CTest使用時必須</t>
  </si>
  <si>
    <t>ターゲットエクスポート</t>
  </si>
  <si>
    <t>export(TARGETS ... FILE ...)</t>
  </si>
  <si>
    <t>export(TARGETS mylib FILE mylib.cmake)</t>
  </si>
  <si>
    <t>パッケージ生成用</t>
  </si>
  <si>
    <t>FLTK UIラッパ生成</t>
  </si>
  <si>
    <t>fltk_wrap_ui(out ui_files...)</t>
  </si>
  <si>
    <t>fltk_wrap_ui(src ui.fl)</t>
  </si>
  <si>
    <t>FLTK専用</t>
  </si>
  <si>
    <t>ソースファイルプロパティ取得</t>
  </si>
  <si>
    <t>get_source_file_property(var file prop)</t>
  </si>
  <si>
    <t>get_source_file_property(p a.cpp LANGUAGE)</t>
  </si>
  <si>
    <t>デバッグ用途</t>
  </si>
  <si>
    <t>ターゲットプロパティ取得</t>
  </si>
  <si>
    <t>get_target_property(var tgt prop)</t>
  </si>
  <si>
    <t>get_target_property(t app TYPE)</t>
  </si>
  <si>
    <t>ターゲット駆動設計で有用</t>
  </si>
  <si>
    <t>テストプロパティ取得</t>
  </si>
  <si>
    <t>get_test_property(test prop var)</t>
  </si>
  <si>
    <t>get_test_property(run TIMEOUT v)</t>
  </si>
  <si>
    <t>CTest用途</t>
  </si>
  <si>
    <t>includeディレクトリ追加（directory）</t>
  </si>
  <si>
    <t>include_directories(dir...)</t>
  </si>
  <si>
    <t>include_directories(include)</t>
  </si>
  <si>
    <t>target_include_directories推奨</t>
  </si>
  <si>
    <t>MSProject読み込み</t>
  </si>
  <si>
    <t>include_external_msproject(...)</t>
  </si>
  <si>
    <t>Windows限定</t>
  </si>
  <si>
    <t>include対象正規表現</t>
  </si>
  <si>
    <t>include_regular_expression(regex)</t>
  </si>
  <si>
    <t>include_regular_expression(".*")</t>
  </si>
  <si>
    <t>ほぼ使わない</t>
  </si>
  <si>
    <t>インストール設定</t>
  </si>
  <si>
    <t>install(TARGETS ... DESTINATION ...)</t>
  </si>
  <si>
    <t>install(TARGETS app DESTINATION bin)</t>
  </si>
  <si>
    <t>パッケージング必須</t>
  </si>
  <si>
    <t>リンクディレクトリ追加</t>
  </si>
  <si>
    <t>link_directories(dir...)</t>
  </si>
  <si>
    <t>link_directories(/usr/lib)</t>
  </si>
  <si>
    <t>非推奨寄り</t>
  </si>
  <si>
    <t>リンクライブラリ追加（directory）</t>
  </si>
  <si>
    <t>link_libraries(lib...)</t>
  </si>
  <si>
    <t>link_libraries(pthread)</t>
  </si>
  <si>
    <t>target_link_libraries推奨</t>
  </si>
  <si>
    <t>プロジェクト定義</t>
  </si>
  <si>
    <t>project(name LANGUAGES CXX)</t>
  </si>
  <si>
    <t>project(MyProj LANGUAGES CXX)</t>
  </si>
  <si>
    <t>最初に記述</t>
  </si>
  <si>
    <t>コンパイル定義削除</t>
  </si>
  <si>
    <t>remove_definitions(-DFOO)</t>
  </si>
  <si>
    <t>remove_definitions(-DDEBUG)</t>
  </si>
  <si>
    <t>古い方式</t>
  </si>
  <si>
    <t>ソースファイルプロパティ設定</t>
  </si>
  <si>
    <t>set_source_files_properties(files PROPERTIES ...)</t>
  </si>
  <si>
    <t>set_source_files_properties(a.cpp PROPERTIES LANGUAGE C)</t>
  </si>
  <si>
    <t>特定ファイル専用設定</t>
  </si>
  <si>
    <t>ターゲットプロパティ設定</t>
  </si>
  <si>
    <t>set_target_properties(tgt PROPERTIES ...)</t>
  </si>
  <si>
    <t>set_target_properties(app PROPERTIES CXX_STANDARD 20)</t>
  </si>
  <si>
    <t>target設計の中核</t>
  </si>
  <si>
    <t>テストプロパティ設定</t>
  </si>
  <si>
    <t>set_tests_properties(test PROPERTIES ...)</t>
  </si>
  <si>
    <t>set_tests_properties(run PROPERTIES TIMEOUT 5)</t>
  </si>
  <si>
    <t>IDEグループ分け</t>
  </si>
  <si>
    <t>source_group(name FILES ...)</t>
  </si>
  <si>
    <t>source_group("Header" FILES a.h)</t>
  </si>
  <si>
    <t>Visual Studio向け</t>
  </si>
  <si>
    <t>ターゲット単位の定義追加</t>
  </si>
  <si>
    <t>target_compile_definitions(tgt PRIVATE def...)</t>
  </si>
  <si>
    <t>target_compile_definitions(app PRIVATE FOO=1)</t>
  </si>
  <si>
    <t>現代CMakeの基本</t>
  </si>
  <si>
    <t>C++標準機能要求</t>
  </si>
  <si>
    <t>target_compile_features(tgt PUBLIC cxx_std_20)</t>
  </si>
  <si>
    <t>target_compile_features(app PUBLIC cxx_std_20)</t>
  </si>
  <si>
    <t>標準指定はこれ推奨</t>
  </si>
  <si>
    <t>ターゲット単位オプション追加</t>
  </si>
  <si>
    <t>target_compile_options(tgt PRIVATE opt...)</t>
  </si>
  <si>
    <t>target_compile_options(app PRIVATE -Wall)</t>
  </si>
  <si>
    <t>スコープ指定重要</t>
  </si>
  <si>
    <t>includeパス指定（target単位）</t>
  </si>
  <si>
    <t>target_include_directories(tgt PUBLIC dir...)</t>
  </si>
  <si>
    <t>target_include_directories(app PUBLIC include)</t>
  </si>
  <si>
    <t>PUBLIC/PRIVATE理解必須</t>
  </si>
  <si>
    <t>リンクディレクトリ指定</t>
  </si>
  <si>
    <t>target_link_directories(tgt PRIVATE dir...)</t>
  </si>
  <si>
    <t>target_link_directories(app PRIVATE /usr/lib)</t>
  </si>
  <si>
    <t>原則不要で済む設計が望ましい</t>
  </si>
  <si>
    <t>ライブラリリンク</t>
  </si>
  <si>
    <t>target_link_libraries(tgt PRIVATE lib...)</t>
  </si>
  <si>
    <t>target_link_libraries(app PRIVATE mylib)</t>
  </si>
  <si>
    <t>最重要コマンド</t>
  </si>
  <si>
    <t>リンカオプション指定</t>
  </si>
  <si>
    <t>target_link_options(tgt PRIVATE opt...)</t>
  </si>
  <si>
    <t>target_link_options(app PRIVATE -Wl,--no-undefined)</t>
  </si>
  <si>
    <t>高度用途</t>
  </si>
  <si>
    <t>プリコンパイルヘッダ</t>
  </si>
  <si>
    <t>target_precompile_headers(tgt PRIVATE hdr...)</t>
  </si>
  <si>
    <t>target_precompile_headers(app PRIVATE pch.h)</t>
  </si>
  <si>
    <t>大規模高速化向け</t>
  </si>
  <si>
    <t>ターゲットにソース追加</t>
  </si>
  <si>
    <t>target_sources(tgt PRIVATE src...)</t>
  </si>
  <si>
    <t>target_sources(app PRIVATE extra.cpp)</t>
  </si>
  <si>
    <t>分割定義に便利</t>
  </si>
  <si>
    <t>コンパイル可否テスト</t>
  </si>
  <si>
    <t>try_compile(result ...)</t>
  </si>
  <si>
    <t>try_compile(ok ... )</t>
  </si>
  <si>
    <t>環境判定に利用</t>
  </si>
  <si>
    <t>実行可否テスト</t>
  </si>
  <si>
    <t>try_run(runres compres ...)</t>
  </si>
  <si>
    <t>クロス環境では制限あり</t>
  </si>
  <si>
    <t>add_library(name [STATIC|SHARED|INTERFACE] src...)</t>
    <phoneticPr fontId="4"/>
  </si>
  <si>
    <t>CTestコマンド</t>
    <phoneticPr fontId="4"/>
  </si>
  <si>
    <t>ビルド実行</t>
  </si>
  <si>
    <t>ctest_build([BUILD build_dir] [CONFIGURATION cfg] ...)</t>
  </si>
  <si>
    <t>ctest_build(BUILD build CONFIGURATION Release)</t>
  </si>
  <si>
    <t>CIのビルド工程</t>
  </si>
  <si>
    <t>CMake configure実行</t>
  </si>
  <si>
    <t>ctest_configure([BUILD build_dir] [SOURCE src_dir] ...)</t>
  </si>
  <si>
    <t>ctest_configure(BUILD build SOURCE .)</t>
  </si>
  <si>
    <t>configure工程</t>
  </si>
  <si>
    <t>カバレッジ収集</t>
  </si>
  <si>
    <t>ctest_coverage([BUILD build_dir])</t>
  </si>
  <si>
    <t>ctest_coverage(BUILD build)</t>
  </si>
  <si>
    <t>gcov/llvm-cov等利用</t>
  </si>
  <si>
    <t>バイナリディレクトリ削除</t>
  </si>
  <si>
    <t>ctest_empty_binary_directory(dir)</t>
  </si>
  <si>
    <t>ctest_empty_binary_directory(build)</t>
  </si>
  <si>
    <t>クリーンビルド用</t>
  </si>
  <si>
    <t>メモリチェック実行</t>
  </si>
  <si>
    <t>ctest_memcheck([BUILD build_dir])</t>
  </si>
  <si>
    <t>ctest_memcheck(BUILD build)</t>
  </si>
  <si>
    <t>valgrind連携</t>
  </si>
  <si>
    <t>カスタム設定読込</t>
  </si>
  <si>
    <t>ctest_read_custom_files(dir)</t>
  </si>
  <si>
    <t>ctest_read_custom_files(.)</t>
  </si>
  <si>
    <t>古いCDash設定用</t>
  </si>
  <si>
    <t>別CTestスクリプト実行</t>
  </si>
  <si>
    <t>ctest_run_script(script.cmake)</t>
  </si>
  <si>
    <t>ctest_run_script(nightly.cmake)</t>
  </si>
  <si>
    <t>スクリプト分割用途</t>
  </si>
  <si>
    <t>指定秒数待機</t>
  </si>
  <si>
    <t>ctest_sleep(seconds)</t>
  </si>
  <si>
    <t>ctest_sleep(10)</t>
  </si>
  <si>
    <t>同期用途</t>
  </si>
  <si>
    <t>ダッシュボード開始</t>
  </si>
  <si>
    <t>ctest_start(model)</t>
  </si>
  <si>
    <t>ctest_start(Nightly)</t>
  </si>
  <si>
    <t>Nightly/Experimental等</t>
  </si>
  <si>
    <t>CDashへ送信</t>
  </si>
  <si>
    <t>ctest_submit([PARTS part...])</t>
  </si>
  <si>
    <t>ctest_submit(PARTS Build Test)</t>
  </si>
  <si>
    <t>結果アップロード</t>
  </si>
  <si>
    <t>テスト実行</t>
  </si>
  <si>
    <t>ctest_test([BUILD build_dir])</t>
  </si>
  <si>
    <t>ctest_test(BUILD build)</t>
  </si>
  <si>
    <t>add_test結果実行</t>
  </si>
  <si>
    <t>ソース更新</t>
  </si>
  <si>
    <t>ctest_update([SOURCE src_dir])</t>
  </si>
  <si>
    <t>ctest_update(SOURCE .)</t>
  </si>
  <si>
    <t>git/svn更新</t>
  </si>
  <si>
    <t>任意ファイルアップロード</t>
  </si>
  <si>
    <t>ctest_upload(FILES file...)</t>
  </si>
  <si>
    <t>ctest_upload(FILES log.txt)</t>
  </si>
  <si>
    <t>CDash用補助</t>
  </si>
  <si>
    <t>非推奨コマンド</t>
    <rPh sb="0" eb="1">
      <t>ヒ</t>
    </rPh>
    <rPh sb="1" eb="3">
      <t>スイショウ</t>
    </rPh>
    <phoneticPr fontId="4"/>
  </si>
  <si>
    <t>ビルド名取得</t>
  </si>
  <si>
    <t>build_name(var)</t>
  </si>
  <si>
    <t>build_name(name)</t>
  </si>
  <si>
    <t>CTest用途。現在はほぼ未使用</t>
  </si>
  <si>
    <t>外部プログラム実行</t>
  </si>
  <si>
    <t>exec_program(prog args OUTPUT_VARIABLE var)</t>
  </si>
  <si>
    <t>exec_program(ls ARGS "-l" OUTPUT_VARIABLE out)</t>
  </si>
  <si>
    <t>⚠ execute_process()推奨</t>
  </si>
  <si>
    <t>ライブラリ依存エクスポート</t>
  </si>
  <si>
    <t>export_library_dependencies(file)</t>
  </si>
  <si>
    <t>export_library_dependencies(deps.cmake)</t>
  </si>
  <si>
    <t>⚠ export()推奨</t>
  </si>
  <si>
    <t>ファイルインストール（旧式）</t>
  </si>
  <si>
    <t>install_files(dir files...)</t>
  </si>
  <si>
    <t>install_files(bin a.txt)</t>
  </si>
  <si>
    <t>⚠ install(FILES ...)推奨</t>
  </si>
  <si>
    <t>実行ファイルインストール（旧式）</t>
  </si>
  <si>
    <t>install_programs(dir progs...)</t>
  </si>
  <si>
    <t>install_programs(bin app)</t>
  </si>
  <si>
    <t>⚠ install(PROGRAMS ...)推奨</t>
  </si>
  <si>
    <t>ターゲットインストール（旧式）</t>
  </si>
  <si>
    <t>install_targets(dir targets...)</t>
  </si>
  <si>
    <t>install_targets(bin app)</t>
  </si>
  <si>
    <t>⚠ install(TARGETS ...)推奨</t>
  </si>
  <si>
    <t>動的コマンド読込</t>
  </si>
  <si>
    <t>load_command(cmd location)</t>
  </si>
  <si>
    <t>load_command(foo /path/libfoo.so)</t>
  </si>
  <si>
    <t>現在は非推奨</t>
  </si>
  <si>
    <t>ディレクトリ作成</t>
  </si>
  <si>
    <t>make_directory(dir)</t>
  </si>
  <si>
    <t>make_directory(build)</t>
  </si>
  <si>
    <t>⚠ file(MAKE_DIRECTORY ...)推奨</t>
  </si>
  <si>
    <t>依存出力ファイル生成</t>
  </si>
  <si>
    <t>output_required_files(src out)</t>
  </si>
  <si>
    <t>output_required_files(main.cpp deps.txt)</t>
  </si>
  <si>
    <t>ほぼ使用されない</t>
  </si>
  <si>
    <t>Qt MOC生成（Qt3/4系）</t>
  </si>
  <si>
    <t>qt_wrap_cpp(out src...)</t>
  </si>
  <si>
    <t>qt_wrap_cpp(MOC_SRC a.h)</t>
  </si>
  <si>
    <t>⚠ Qt6ではAUTOMOC推奨</t>
  </si>
  <si>
    <t>Qt UI変換（Qt3/4系）</t>
  </si>
  <si>
    <t>qt_wrap_ui(out ui...)</t>
  </si>
  <si>
    <t>qt_wrap_ui(UI_SRC form.ui)</t>
  </si>
  <si>
    <t>⚠ AUTOUIC推奨</t>
  </si>
  <si>
    <t>remove(file...)</t>
  </si>
  <si>
    <t>remove(a.txt)</t>
  </si>
  <si>
    <t>⚠ file(REMOVE ...)推奨</t>
  </si>
  <si>
    <t>サブディレクトリ依存</t>
  </si>
  <si>
    <t>subdir_depends(subdir dep)</t>
  </si>
  <si>
    <t>subdir_depends(src lib)</t>
  </si>
  <si>
    <t>廃止済み</t>
  </si>
  <si>
    <t>サブディレクトリ追加（旧式）</t>
  </si>
  <si>
    <t>subdirs(dir...)</t>
  </si>
  <si>
    <t>subdirs(src lib)</t>
  </si>
  <si>
    <t>⚠ add_subdirectory()推奨</t>
  </si>
  <si>
    <t>Mesa特別処理</t>
  </si>
  <si>
    <t>use_mangled_mesa(path)</t>
  </si>
  <si>
    <t>use_mangled_mesa(/usr/lib)</t>
  </si>
  <si>
    <t>特殊用途・事実上廃止</t>
  </si>
  <si>
    <t>ユーティリティソース登録</t>
  </si>
  <si>
    <t>utility_source(var file)</t>
  </si>
  <si>
    <t>utility_source(SRC helper.cpp)</t>
  </si>
  <si>
    <t>変数必須チェック</t>
  </si>
  <si>
    <t>variable_requires(vars result required_vars...)</t>
  </si>
  <si>
    <t>variable_requires(VARS ok FOO BAR)</t>
  </si>
  <si>
    <t>⚠ if(NOT DEFINED ...)推奨</t>
  </si>
  <si>
    <t>ファイル書き込み</t>
  </si>
  <si>
    <t>write_file(file content [APPEND])</t>
  </si>
  <si>
    <t>write_file(out.txt "hello")</t>
  </si>
  <si>
    <t>⚠ file(WRITE/APPEND ...)推奨</t>
  </si>
  <si>
    <t>mark_as_advanced(FOO_PATH)</t>
    <phoneticPr fontId="4"/>
  </si>
  <si>
    <t>ament_cmakeコマンド</t>
    <phoneticPr fontId="4"/>
  </si>
  <si>
    <t>amentパッケージ宣言・最終化</t>
  </si>
  <si>
    <t>CMakeLists最後に置くのが基本</t>
  </si>
  <si>
    <t>依存パッケージをターゲットへ追加</t>
  </si>
  <si>
    <t>ament_target_dependencies(target deps...)</t>
  </si>
  <si>
    <t>ament_target_dependencies(node rclcpp std_msgs)</t>
  </si>
  <si>
    <t>include/link自動付与</t>
  </si>
  <si>
    <t>includeディレクトリをexport</t>
  </si>
  <si>
    <t>ament_export_include_directories(dirs...)</t>
  </si>
  <si>
    <t>ament_export_include_directories(include)</t>
  </si>
  <si>
    <t>他パッケージ利用時</t>
  </si>
  <si>
    <t>ライブラリをexport</t>
  </si>
  <si>
    <t>ament_export_libraries(libs...)</t>
  </si>
  <si>
    <t>ament_export_libraries(mylib)</t>
  </si>
  <si>
    <t>install(TARGETS)と併用</t>
  </si>
  <si>
    <t>依存関係をexport</t>
  </si>
  <si>
    <t>ament_export_dependencies(deps...)</t>
  </si>
  <si>
    <t>ament_export_dependencies(rclcpp)</t>
  </si>
  <si>
    <t>下流パッケージ用</t>
  </si>
  <si>
    <t>コンパイル定義export</t>
  </si>
  <si>
    <t>ament_export_definitions(def...)</t>
  </si>
  <si>
    <t>ament_export_definitions(USE_X)</t>
  </si>
  <si>
    <t>特殊用途</t>
  </si>
  <si>
    <t>CMake config追加export</t>
  </si>
  <si>
    <t>ament_export_targets(export_name HAS_LIBRARY_TARGET)</t>
  </si>
  <si>
    <t>ament_export_targets(export_mylib HAS_LIBRARY_TARGET)</t>
  </si>
  <si>
    <t>install(EXPORT)と連動</t>
  </si>
  <si>
    <t>テスト追加（amentラッパ）</t>
  </si>
  <si>
    <t>ament_add_test(name command...)</t>
  </si>
  <si>
    <t>ament_add_test(test_node test_exec)</t>
  </si>
  <si>
    <t>CTestラッパ</t>
  </si>
  <si>
    <t>gtest追加</t>
  </si>
  <si>
    <t>ament_add_gtest(target src...)</t>
  </si>
  <si>
    <t>ament_add_gtest(test_node test.cpp)</t>
  </si>
  <si>
    <t>ROS2標準テスト</t>
  </si>
  <si>
    <t>gmock追加</t>
  </si>
  <si>
    <t>ament_add_gmock(target src...)</t>
  </si>
  <si>
    <t>ament_add_gmock(test_node test.cpp)</t>
  </si>
  <si>
    <t>モック利用時</t>
  </si>
  <si>
    <t>pytest追加</t>
  </si>
  <si>
    <t>ament_add_pytest_test(name path)</t>
  </si>
  <si>
    <t>ament_add_pytest_test(test_py test)</t>
  </si>
  <si>
    <t>Pythonパッケージ用</t>
  </si>
  <si>
    <t>lint自動追加</t>
  </si>
  <si>
    <t>ament_lint_auto_find_test_dependencies()</t>
  </si>
  <si>
    <t>ament_lint_auto使用時</t>
  </si>
  <si>
    <t>lintパッケージ有効化</t>
  </si>
  <si>
    <t>find_package(ament_lint_auto REQUIRED)</t>
  </si>
  <si>
    <t>CI向け</t>
  </si>
  <si>
    <t>パッケージXML依存解決</t>
  </si>
  <si>
    <t>基本宣言</t>
  </si>
  <si>
    <t>ROS固有拡張</t>
  </si>
  <si>
    <t>find_package(ament_cmake_ros REQUIRED)</t>
  </si>
  <si>
    <t>rclcpp利用時ほぼ必須</t>
  </si>
  <si>
    <t>リソースインデックス登録</t>
  </si>
  <si>
    <t>ament_index_register_resource(type ...)</t>
  </si>
  <si>
    <t>ament_index_register_resource("my_resource")</t>
  </si>
  <si>
    <t>プラグイン用途</t>
  </si>
  <si>
    <t>リソース登録ヘルパ</t>
  </si>
  <si>
    <t>ament_register_extension(...)</t>
  </si>
  <si>
    <t>拡張ポイント登録</t>
  </si>
  <si>
    <t>現在処理中CMakeListsのソースディレクトリ</t>
  </si>
  <si>
    <t>message(STATUS ${CMAKE_CURRENT_SOURCE_DIR})</t>
  </si>
  <si>
    <t>add_subdirectoryで変化</t>
  </si>
  <si>
    <t>現在処理中CMakeListsのビルドディレクトリ</t>
  </si>
  <si>
    <t>CMAKE_CURRENT_BINARY_DIR</t>
  </si>
  <si>
    <t>message(STATUS ${CMAKE_CURRENT_BINARY_DIR})</t>
  </si>
  <si>
    <t>out-of-source時重要</t>
  </si>
  <si>
    <t>ルートソースディレクトリ</t>
  </si>
  <si>
    <t>CMAKE_SOURCE_DIR</t>
  </si>
  <si>
    <t>message(STATUS ${CMAKE_SOURCE_DIR})</t>
  </si>
  <si>
    <t>トップCMakeLists位置</t>
  </si>
  <si>
    <t>ルートビルドディレクトリ</t>
  </si>
  <si>
    <t>CMAKE_BINARY_DIR</t>
  </si>
  <si>
    <t>message(STATUS ${CMAKE_BINARY_DIR})</t>
  </si>
  <si>
    <t>ビルド出力先</t>
  </si>
  <si>
    <t>プロジェクト名</t>
  </si>
  <si>
    <t>message(STATUS ${PROJECT_NAME})</t>
  </si>
  <si>
    <t>project()で定義</t>
  </si>
  <si>
    <t>プロジェクトバージョン</t>
  </si>
  <si>
    <t>PROJECT_VERSION</t>
  </si>
  <si>
    <t>message(STATUS ${PROJECT_VERSION})</t>
  </si>
  <si>
    <t>project(... VERSION x.y)</t>
  </si>
  <si>
    <t>メジャーバージョン</t>
  </si>
  <si>
    <t>PROJECT_VERSION_MAJOR</t>
  </si>
  <si>
    <t>message(STATUS ${PROJECT_VERSION_MAJOR})</t>
  </si>
  <si>
    <t>version分解用</t>
  </si>
  <si>
    <t>マイナーバージョン</t>
  </si>
  <si>
    <t>PROJECT_VERSION_MINOR</t>
  </si>
  <si>
    <t>message(STATUS ${PROJECT_VERSION_MINOR})</t>
  </si>
  <si>
    <t>使用CMakeバージョン</t>
  </si>
  <si>
    <t>CMAKE_VERSION</t>
  </si>
  <si>
    <t>message(STATUS ${CMAKE_VERSION})</t>
  </si>
  <si>
    <t>条件分岐で利用</t>
  </si>
  <si>
    <t>ビルドタイプ</t>
  </si>
  <si>
    <t>CMAKE_BUILD_TYPE</t>
  </si>
  <si>
    <t>message(STATUS ${CMAKE_BUILD_TYPE})</t>
  </si>
  <si>
    <t>Debug/Release等</t>
  </si>
  <si>
    <t>C++標準</t>
  </si>
  <si>
    <t>CMAKE_CXX_STANDARD</t>
  </si>
  <si>
    <t>message(STATUS ${CMAKE_CXX_STANDARD})</t>
  </si>
  <si>
    <t>target側指定推奨</t>
  </si>
  <si>
    <t>Cコンパイラ</t>
  </si>
  <si>
    <t>CMAKE_C_COMPILER</t>
  </si>
  <si>
    <t>message(STATUS ${CMAKE_C_COMPILER})</t>
  </si>
  <si>
    <t>toolchain確認</t>
  </si>
  <si>
    <t>C++コンパイラ</t>
  </si>
  <si>
    <t>CMAKE_CXX_COMPILER</t>
  </si>
  <si>
    <t>message(STATUS ${CMAKE_CXX_COMPILER})</t>
  </si>
  <si>
    <t>システム名</t>
  </si>
  <si>
    <t>CMAKE_SYSTEM_NAME</t>
  </si>
  <si>
    <t>message(STATUS ${CMAKE_SYSTEM_NAME})</t>
  </si>
  <si>
    <t>Linux/Windows等</t>
  </si>
  <si>
    <t>プロセッサ名</t>
  </si>
  <si>
    <t>CMAKE_SYSTEM_PROCESSOR</t>
  </si>
  <si>
    <t>message(STATUS ${CMAKE_SYSTEM_PROCESSOR})</t>
  </si>
  <si>
    <t>x86_64等</t>
  </si>
  <si>
    <t>共有ライブラリ拡張子</t>
  </si>
  <si>
    <t>CMAKE_SHARED_LIBRARY_SUFFIX</t>
  </si>
  <si>
    <t>message(STATUS ${CMAKE_SHARED_LIBRARY_SUFFIX})</t>
  </si>
  <si>
    <t>.so/.dll</t>
  </si>
  <si>
    <t>静的ライブラリ拡張子</t>
  </si>
  <si>
    <t>CMAKE_STATIC_LIBRARY_SUFFIX</t>
  </si>
  <si>
    <t>message(STATUS ${CMAKE_STATIC_LIBRARY_SUFFIX})</t>
  </si>
  <si>
    <t>.a/.lib</t>
  </si>
  <si>
    <t>実行ファイル拡張子</t>
  </si>
  <si>
    <t>CMAKE_EXECUTABLE_SUFFIX</t>
  </si>
  <si>
    <t>message(STATUS ${CMAKE_EXECUTABLE_SUFFIX})</t>
  </si>
  <si>
    <t>Windowsは.exe</t>
  </si>
  <si>
    <t>インストールプレフィックス</t>
  </si>
  <si>
    <t>CMAKE_INSTALL_PREFIX</t>
  </si>
  <si>
    <t>message(STATUS ${CMAKE_INSTALL_PREFIX})</t>
  </si>
  <si>
    <t>install先</t>
  </si>
  <si>
    <t>モジュール検索パス</t>
  </si>
  <si>
    <t>CMAKE_MODULE_PATH</t>
  </si>
  <si>
    <t>message(STATUS ${CMAKE_MODULE_PATH})</t>
  </si>
  <si>
    <t>独自Findモジュール</t>
  </si>
  <si>
    <t>コンパイルフラグ（C）</t>
  </si>
  <si>
    <t>CMAKE_C_FLAGS</t>
  </si>
  <si>
    <t>message(STATUS ${CMAKE_C_FLAGS})</t>
  </si>
  <si>
    <t>target系推奨</t>
  </si>
  <si>
    <t>コンパイルフラグ（C++）</t>
  </si>
  <si>
    <t>CMAKE_CXX_FLAGS</t>
  </si>
  <si>
    <t>message(STATUS ${CMAKE_CXX_FLAGS})</t>
  </si>
  <si>
    <t>生成器</t>
  </si>
  <si>
    <t>CMAKE_GENERATOR</t>
  </si>
  <si>
    <t>message(STATUS ${CMAKE_GENERATOR})</t>
  </si>
  <si>
    <t>Ninja/Unix Makefiles</t>
  </si>
  <si>
    <t>ソースファイル拡張子一覧</t>
  </si>
  <si>
    <t>CMAKE_CXX_SOURCE_FILE_EXTENSIONS</t>
  </si>
  <si>
    <t>message(STATUS ${CMAKE_CXX_SOURCE_FILE_EXTENSIONS})</t>
  </si>
  <si>
    <t>デバッグ設定フラグ</t>
  </si>
  <si>
    <t>CMAKE_CXX_FLAGS_DEBUG</t>
  </si>
  <si>
    <t>message(STATUS ${CMAKE_CXX_FLAGS_DEBUG})</t>
  </si>
  <si>
    <t>multi-configでは扱い注意</t>
  </si>
  <si>
    <t>リリース設定フラグ</t>
  </si>
  <si>
    <t>CMAKE_CXX_FLAGS_RELEASE</t>
  </si>
  <si>
    <t>message(STATUS ${CMAKE_CXX_FLAGS_RELEASE})</t>
  </si>
  <si>
    <t>ハードリンク一覧表示</t>
    <rPh sb="6" eb="8">
      <t>イチラン</t>
    </rPh>
    <rPh sb="8" eb="10">
      <t>ヒョウジ</t>
    </rPh>
    <phoneticPr fontId="4"/>
  </si>
  <si>
    <t>find . -samefile .bashrc</t>
    <phoneticPr fontId="4"/>
  </si>
  <si>
    <t>カレントディレクトリ配下で、.bashrcと同じinodeを持つファイルを探す</t>
    <rPh sb="10" eb="12">
      <t>ハイカ</t>
    </rPh>
    <rPh sb="22" eb="23">
      <t>オナ</t>
    </rPh>
    <rPh sb="30" eb="31">
      <t>モ</t>
    </rPh>
    <rPh sb="37" eb="38">
      <t>サガ</t>
    </rPh>
    <phoneticPr fontId="4"/>
  </si>
  <si>
    <t>変更取消し ステージング時</t>
    <rPh sb="12" eb="13">
      <t>ジ</t>
    </rPh>
    <phoneticPr fontId="4"/>
  </si>
  <si>
    <t>★</t>
    <phoneticPr fontId="4"/>
  </si>
  <si>
    <t>ステージングの内容を作業ツリーに反映</t>
    <rPh sb="7" eb="9">
      <t>ナイヨウ</t>
    </rPh>
    <rPh sb="10" eb="12">
      <t>サギョウ</t>
    </rPh>
    <rPh sb="16" eb="18">
      <t>ハンエイ</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</si>
</sst>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20">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
      <strike/>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14">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xf numFmtId="0" fontId="0" fillId="4" borderId="2" xfId="0" applyFill="1" applyBorder="1">
      <alignment vertical="top"/>
    </xf>
    <xf numFmtId="0" fontId="8" fillId="2" borderId="9" xfId="0" applyFont="1" applyFill="1" applyBorder="1" applyAlignment="1">
      <alignment horizontal="center" vertical="top" wrapText="1"/>
    </xf>
    <xf numFmtId="0" fontId="8" fillId="2" borderId="10" xfId="0" applyFont="1" applyFill="1" applyBorder="1" applyAlignment="1">
      <alignment horizontal="center" vertical="top" wrapText="1"/>
    </xf>
    <xf numFmtId="0" fontId="19" fillId="0" borderId="2" xfId="0" applyFont="1" applyBorder="1">
      <alignment vertical="top"/>
    </xf>
    <xf numFmtId="0" fontId="19" fillId="0" borderId="1" xfId="0" applyFont="1" applyBorder="1">
      <alignment vertical="top"/>
    </xf>
    <xf numFmtId="0" fontId="19" fillId="0" borderId="1" xfId="0" applyFont="1" applyBorder="1" applyAlignment="1">
      <alignment horizontal="center" vertical="top"/>
    </xf>
    <xf numFmtId="49" fontId="19"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make.org/cmake/help/latest/manual/cmake-commands.7.html" TargetMode="External"/><Relationship Id="rId2" Type="http://schemas.openxmlformats.org/officeDocument/2006/relationships/hyperlink" Target="https://cmake.org/cmake/help/latest/manual/cmake-commands.7.html" TargetMode="External"/><Relationship Id="rId1" Type="http://schemas.openxmlformats.org/officeDocument/2006/relationships/hyperlink" Target="https://cmake.org/cmake/help/latest/manual/cmake-commands.7.html" TargetMode="External"/><Relationship Id="rId5" Type="http://schemas.openxmlformats.org/officeDocument/2006/relationships/printerSettings" Target="../printerSettings/printerSettings8.bin"/><Relationship Id="rId4" Type="http://schemas.openxmlformats.org/officeDocument/2006/relationships/hyperlink" Target="https://cmake.org/cmake/help/latest/manual/cmake-commands.7.html"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9.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view="pageBreakPreview" zoomScaleNormal="100" zoomScaleSheetLayoutView="100" workbookViewId="0">
      <pane xSplit="2" ySplit="2" topLeftCell="C125" activePane="bottomRight" state="frozen"/>
      <selection pane="topRight" activeCell="L1" sqref="L1"/>
      <selection pane="bottomLeft" activeCell="A2" sqref="A2"/>
      <selection pane="bottomRight" activeCell="B288" sqref="B288"/>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455" activePane="bottomRight" state="frozen"/>
      <selection pane="topRight" activeCell="L1" sqref="L1"/>
      <selection pane="bottomLeft" activeCell="A2" sqref="A2"/>
      <selection pane="bottomRight" activeCell="C498" sqref="C498"/>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72"/>
  <sheetViews>
    <sheetView showGridLines="0" view="pageBreakPreview" zoomScaleNormal="100" zoomScaleSheetLayoutView="100" workbookViewId="0">
      <pane xSplit="2" ySplit="2" topLeftCell="C379" activePane="bottomRight" state="frozen"/>
      <selection pane="topRight" activeCell="L1" sqref="L1"/>
      <selection pane="bottomLeft" activeCell="A2" sqref="A2"/>
      <selection pane="bottomRight" activeCell="C477" sqref="C477"/>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5" ca="1" si="24">IF(G210="",OFFSET(F210,-1,0),OFFSET(F210,-1,0)+1)</f>
        <v>1041</v>
      </c>
      <c r="G210" t="str">
        <f t="shared" ref="G210:G225"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4053</v>
      </c>
      <c r="C222" s="16" t="s">
        <v>4054</v>
      </c>
      <c r="D222" s="17" t="s">
        <v>4055</v>
      </c>
      <c r="F222">
        <f t="shared" ref="F222" ca="1" si="26">IF(G222="",OFFSET(F222,-1,0),OFFSET(F222,-1,0)+1)</f>
        <v>1053</v>
      </c>
      <c r="G222" t="str">
        <f t="shared" ref="G222" si="27">IF(B222="","",B222)</f>
        <v>ハードリンク一覧表示</v>
      </c>
    </row>
    <row r="223" spans="1:7" ht="11.25" customHeight="1" outlineLevel="1">
      <c r="A223" s="15"/>
      <c r="B223" s="15" t="s">
        <v>1419</v>
      </c>
      <c r="C223" s="16" t="s">
        <v>1420</v>
      </c>
      <c r="D223" s="17"/>
      <c r="F223">
        <f t="shared" ca="1" si="24"/>
        <v>1054</v>
      </c>
      <c r="G223" t="str">
        <f t="shared" si="25"/>
        <v>ファイル分割(行番号指定)</v>
      </c>
    </row>
    <row r="224" spans="1:7" ht="11.25" customHeight="1" outlineLevel="1">
      <c r="A224" s="15"/>
      <c r="B224" s="15" t="s">
        <v>1421</v>
      </c>
      <c r="C224" s="16" t="s">
        <v>1422</v>
      </c>
      <c r="D224" s="17"/>
      <c r="F224">
        <f t="shared" ca="1" si="24"/>
        <v>1055</v>
      </c>
      <c r="G224" t="str">
        <f t="shared" si="25"/>
        <v>ファイル分割(文脈指定)</v>
      </c>
    </row>
    <row r="225" spans="1:7" ht="11.25" customHeight="1" outlineLevel="1">
      <c r="A225" s="15"/>
      <c r="B225" s="15" t="s">
        <v>1302</v>
      </c>
      <c r="C225" s="16" t="s">
        <v>1329</v>
      </c>
      <c r="D225" s="17" t="s">
        <v>1327</v>
      </c>
      <c r="F225">
        <f t="shared" ca="1" si="24"/>
        <v>1056</v>
      </c>
      <c r="G225" t="str">
        <f t="shared" si="25"/>
        <v>ディレクトリパス取得</v>
      </c>
    </row>
    <row r="226" spans="1:7" ht="11.25" customHeight="1" outlineLevel="1">
      <c r="A226" s="15"/>
      <c r="B226" s="15" t="s">
        <v>1303</v>
      </c>
      <c r="C226" s="16" t="str">
        <f>"DIRS=$(find . -maxdepth 1 -type d | cut -c 3-)
for dir in $DIRS
do
    echo $dir
done"</f>
        <v>DIRS=$(find . -maxdepth 1 -type d | cut -c 3-)
for dir in $DIRS
do
    echo $dir
done</v>
      </c>
      <c r="D226" s="17"/>
      <c r="F226">
        <f t="shared" ref="F226:F231" ca="1" si="28">IF(G226="",OFFSET(F226,-1,0),OFFSET(F226,-1,0)+1)</f>
        <v>1057</v>
      </c>
      <c r="G226" t="str">
        <f t="shared" ref="G226:G231" si="29">IF(B226="","",B226)</f>
        <v>ディレクトリ名取得＆操作</v>
      </c>
    </row>
    <row r="227" spans="1:7" ht="11.25" customHeight="1" outlineLevel="1">
      <c r="A227" s="15"/>
      <c r="B227" s="15" t="s">
        <v>1386</v>
      </c>
      <c r="C227" s="16" t="s">
        <v>289</v>
      </c>
      <c r="D227" s="17"/>
      <c r="F227">
        <f t="shared" ca="1" si="28"/>
        <v>1058</v>
      </c>
      <c r="G227" t="str">
        <f t="shared" si="29"/>
        <v>ディレクトリ移動</v>
      </c>
    </row>
    <row r="228" spans="1:7" ht="11.25" customHeight="1" outlineLevel="1">
      <c r="A228" s="15"/>
      <c r="B228" s="15" t="s">
        <v>1387</v>
      </c>
      <c r="C228" s="16" t="s">
        <v>1388</v>
      </c>
      <c r="D228" s="17"/>
      <c r="F228">
        <f t="shared" ca="1" si="28"/>
        <v>1059</v>
      </c>
      <c r="G228" t="str">
        <f t="shared" si="29"/>
        <v>ディレクトリ移動(直前)</v>
      </c>
    </row>
    <row r="229" spans="1:7" ht="11.25" customHeight="1" outlineLevel="1">
      <c r="A229" s="15"/>
      <c r="B229" s="15" t="s">
        <v>1389</v>
      </c>
      <c r="C229" s="16" t="s">
        <v>1390</v>
      </c>
      <c r="D229" s="17"/>
      <c r="F229">
        <f t="shared" ca="1" si="28"/>
        <v>1060</v>
      </c>
      <c r="G229" t="str">
        <f t="shared" si="29"/>
        <v>ディレクトリ移動([mv後のディレクトリへ](https://qiita.com/arene-calix/items/41d8d4ba572f1d652727))</v>
      </c>
    </row>
    <row r="230" spans="1:7" ht="11.25" customHeight="1" outlineLevel="1">
      <c r="A230" s="15"/>
      <c r="B230" s="15" t="s">
        <v>1391</v>
      </c>
      <c r="C230" s="16" t="s">
        <v>1392</v>
      </c>
      <c r="D230" s="17"/>
      <c r="F230">
        <f t="shared" ca="1" si="28"/>
        <v>1061</v>
      </c>
      <c r="G230" t="str">
        <f t="shared" si="29"/>
        <v>ディレクトリ移動(保存)</v>
      </c>
    </row>
    <row r="231" spans="1:7" ht="11.25" customHeight="1" outlineLevel="1">
      <c r="A231" s="15"/>
      <c r="B231" s="15" t="s">
        <v>1395</v>
      </c>
      <c r="C231" s="16" t="s">
        <v>1396</v>
      </c>
      <c r="D231" s="17"/>
      <c r="F231">
        <f t="shared" ca="1" si="28"/>
        <v>1062</v>
      </c>
      <c r="G231" t="str">
        <f t="shared" si="29"/>
        <v>ディレクトリ作成(再帰的)</v>
      </c>
    </row>
    <row r="232" spans="1:7" ht="11.25" customHeight="1" outlineLevel="1">
      <c r="A232" s="15"/>
      <c r="B232" s="15" t="s">
        <v>1399</v>
      </c>
      <c r="C232" s="16" t="s">
        <v>1400</v>
      </c>
      <c r="D232" s="17"/>
      <c r="F232">
        <f t="shared" ref="F232:F255" ca="1" si="30">IF(G232="",OFFSET(F232,-1,0),OFFSET(F232,-1,0)+1)</f>
        <v>1063</v>
      </c>
      <c r="G232" t="str">
        <f t="shared" ref="G232:G255" si="31">IF(B232="","",B232)</f>
        <v>ディレクトリ削除(再帰的1)</v>
      </c>
    </row>
    <row r="233" spans="1:7" ht="11.25" customHeight="1" outlineLevel="1">
      <c r="A233" s="15"/>
      <c r="B233" s="15" t="s">
        <v>1401</v>
      </c>
      <c r="C233" s="16" t="s">
        <v>1402</v>
      </c>
      <c r="D233" s="17" t="s">
        <v>1403</v>
      </c>
      <c r="F233">
        <f t="shared" ca="1" si="30"/>
        <v>1064</v>
      </c>
      <c r="G233" t="str">
        <f t="shared" si="31"/>
        <v>ディレクトリ削除(再帰的2)</v>
      </c>
    </row>
    <row r="234" spans="1:7" ht="11.25" customHeight="1" outlineLevel="1">
      <c r="A234" s="15"/>
      <c r="B234" s="15" t="s">
        <v>1386</v>
      </c>
      <c r="C234" s="16" t="s">
        <v>1408</v>
      </c>
      <c r="D234" s="17" t="s">
        <v>1409</v>
      </c>
      <c r="F234">
        <f t="shared" ca="1" si="30"/>
        <v>1065</v>
      </c>
      <c r="G234" t="str">
        <f t="shared" si="31"/>
        <v>ディレクトリ移動</v>
      </c>
    </row>
    <row r="235" spans="1:7" ht="11.25" customHeight="1" outlineLevel="1">
      <c r="A235" s="15"/>
      <c r="B235" s="15" t="s">
        <v>3004</v>
      </c>
      <c r="C235" s="16" t="s">
        <v>3005</v>
      </c>
      <c r="D235" s="17" t="s">
        <v>122</v>
      </c>
      <c r="F235">
        <f t="shared" ref="F235" ca="1" si="32">IF(G235="",OFFSET(F235,-1,0),OFFSET(F235,-1,0)+1)</f>
        <v>1066</v>
      </c>
      <c r="G235" t="str">
        <f t="shared" ref="G235" si="33">IF(B235="","",B235)</f>
        <v>空ディレクトリ一覧作成</v>
      </c>
    </row>
    <row r="236" spans="1:7" ht="11.25" customHeight="1" outlineLevel="1">
      <c r="A236" s="15"/>
      <c r="B236" s="15" t="s">
        <v>3373</v>
      </c>
      <c r="C236" s="16" t="s">
        <v>3006</v>
      </c>
      <c r="D236" s="17" t="s">
        <v>122</v>
      </c>
      <c r="F236">
        <f t="shared" ref="F236" ca="1" si="34">IF(G236="",OFFSET(F236,-1,0),OFFSET(F236,-1,0)+1)</f>
        <v>1067</v>
      </c>
      <c r="G236" t="str">
        <f t="shared" ref="G236" si="35">IF(B236="","",B236)</f>
        <v>ディレクトリ一括削除（空ディレクトリ）</v>
      </c>
    </row>
    <row r="237" spans="1:7" ht="11.25" customHeight="1" outlineLevel="1">
      <c r="A237" s="15"/>
      <c r="B237" s="15" t="s">
        <v>3372</v>
      </c>
      <c r="C237" s="16" t="s">
        <v>3371</v>
      </c>
      <c r="D237" s="17" t="s">
        <v>122</v>
      </c>
      <c r="F237">
        <f t="shared" ref="F237" ca="1" si="36">IF(G237="",OFFSET(F237,-1,0),OFFSET(F237,-1,0)+1)</f>
        <v>1068</v>
      </c>
      <c r="G237" t="str">
        <f t="shared" ref="G237" si="37">IF(B237="","",B237)</f>
        <v>ファイル一括削除（特定拡張子）</v>
      </c>
    </row>
    <row r="238" spans="1:7" ht="11.25" customHeight="1" outlineLevel="1">
      <c r="A238" s="15"/>
      <c r="B238" s="3" t="s">
        <v>1968</v>
      </c>
      <c r="C238" s="16" t="s">
        <v>1410</v>
      </c>
      <c r="D238" s="17"/>
      <c r="F238">
        <f t="shared" ca="1" si="30"/>
        <v>1069</v>
      </c>
      <c r="G238" t="str">
        <f t="shared" si="31"/>
        <v>セクションサイズ取得</v>
      </c>
    </row>
    <row r="239" spans="1:7" ht="11.25" customHeight="1" outlineLevel="1">
      <c r="A239" s="15"/>
      <c r="B239" s="15" t="s">
        <v>1416</v>
      </c>
      <c r="C239" s="16" t="s">
        <v>1481</v>
      </c>
      <c r="D239" s="17"/>
      <c r="F239">
        <f t="shared" ca="1" si="30"/>
        <v>1070</v>
      </c>
      <c r="G239" t="str">
        <f t="shared" si="31"/>
        <v>ディレクトリコピー(再帰的)</v>
      </c>
    </row>
    <row r="240" spans="1:7" ht="11.25" customHeight="1" outlineLevel="1">
      <c r="A240" s="15"/>
      <c r="B240" s="15" t="s">
        <v>2019</v>
      </c>
      <c r="C240" s="16" t="str">
        <f>"while IFS= read line
do
    echo ${line}
done &lt; input.txt"</f>
        <v>while IFS= read line
do
    echo ${line}
done &lt; input.txt</v>
      </c>
      <c r="D240" s="17" t="s">
        <v>1304</v>
      </c>
      <c r="F240">
        <f ca="1">IF(G240="",OFFSET(F240,-1,0),OFFSET(F240,-1,0)+1)</f>
        <v>1071</v>
      </c>
      <c r="G240" t="str">
        <f>IF(B240="","",B240)</f>
        <v>ファイル読込（一行ずつ）</v>
      </c>
    </row>
    <row r="241" spans="1:7" ht="11.25" customHeight="1" outlineLevel="1">
      <c r="A241" s="15"/>
      <c r="B241" s="15" t="s">
        <v>1974</v>
      </c>
      <c r="C241" s="16" t="s">
        <v>1973</v>
      </c>
      <c r="D241" s="17"/>
      <c r="F241">
        <f t="shared" ca="1" si="30"/>
        <v>1072</v>
      </c>
      <c r="G241" t="str">
        <f t="shared" si="31"/>
        <v>文字コード判定</v>
      </c>
    </row>
    <row r="242" spans="1:7" ht="11.25" customHeight="1" outlineLevel="1">
      <c r="A242" s="15"/>
      <c r="B242" s="15" t="s">
        <v>1423</v>
      </c>
      <c r="C242" s="16" t="s">
        <v>1424</v>
      </c>
      <c r="D242" s="17"/>
      <c r="F242">
        <f t="shared" ca="1" si="30"/>
        <v>1073</v>
      </c>
      <c r="G242" t="str">
        <f t="shared" si="31"/>
        <v>文字コード変換(sjis→utf8)(iconv)</v>
      </c>
    </row>
    <row r="243" spans="1:7" ht="11.25" customHeight="1" outlineLevel="1">
      <c r="A243" s="15"/>
      <c r="B243" s="18" t="s">
        <v>1483</v>
      </c>
      <c r="C243" s="16" t="s">
        <v>1425</v>
      </c>
      <c r="D243" s="17"/>
      <c r="F243">
        <f t="shared" ca="1" si="30"/>
        <v>1074</v>
      </c>
      <c r="G243" t="str">
        <f t="shared" si="31"/>
        <v>文字コード変換(sjis→utf8)(nkf)</v>
      </c>
    </row>
    <row r="244" spans="1:7" ht="11.25" customHeight="1" outlineLevel="1">
      <c r="A244" s="15"/>
      <c r="B244" s="15" t="s">
        <v>1985</v>
      </c>
      <c r="C244" s="16" t="s">
        <v>1973</v>
      </c>
      <c r="D244" s="17"/>
      <c r="F244">
        <f ca="1">IF(G244="",OFFSET(F244,-1,0),OFFSET(F244,-1,0)+1)</f>
        <v>1075</v>
      </c>
      <c r="G244" t="str">
        <f>IF(B244="","",B244)</f>
        <v>改行コード判定＠nkf</v>
      </c>
    </row>
    <row r="245" spans="1:7" ht="11.25" customHeight="1" outlineLevel="1">
      <c r="A245" s="15"/>
      <c r="B245" s="15" t="s">
        <v>1978</v>
      </c>
      <c r="C245" s="16" t="s">
        <v>1977</v>
      </c>
      <c r="D245" s="17"/>
      <c r="F245">
        <f t="shared" ca="1" si="30"/>
        <v>1076</v>
      </c>
      <c r="G245" t="str">
        <f t="shared" si="31"/>
        <v>改行コード変換＠sed(Mac→Unix)</v>
      </c>
    </row>
    <row r="246" spans="1:7" ht="11.25" customHeight="1" outlineLevel="1">
      <c r="A246" s="15"/>
      <c r="B246" s="15" t="s">
        <v>1979</v>
      </c>
      <c r="C246" s="16" t="s">
        <v>1976</v>
      </c>
      <c r="D246" s="17"/>
      <c r="F246">
        <f t="shared" ca="1" si="30"/>
        <v>1077</v>
      </c>
      <c r="G246" t="str">
        <f t="shared" si="31"/>
        <v>改行コード変換＠sed(Windows→Unix)</v>
      </c>
    </row>
    <row r="247" spans="1:7" ht="11.25" customHeight="1" outlineLevel="1">
      <c r="A247" s="15"/>
      <c r="B247" s="15" t="s">
        <v>1980</v>
      </c>
      <c r="C247" s="16" t="s">
        <v>1975</v>
      </c>
      <c r="D247" s="17"/>
      <c r="F247">
        <f t="shared" ca="1" si="30"/>
        <v>1078</v>
      </c>
      <c r="G247" t="str">
        <f t="shared" si="31"/>
        <v>改行コード変換＠sed(Unix→Windows)</v>
      </c>
    </row>
    <row r="248" spans="1:7" ht="11.25" customHeight="1" outlineLevel="1">
      <c r="A248" s="15"/>
      <c r="B248" s="15" t="s">
        <v>1981</v>
      </c>
      <c r="C248" s="16" t="s">
        <v>1970</v>
      </c>
      <c r="D248" s="17"/>
      <c r="F248">
        <f ca="1">IF(G248="",OFFSET(F248,-1,0),OFFSET(F248,-1,0)+1)</f>
        <v>1079</v>
      </c>
      <c r="G248" t="str">
        <f>IF(B248="","",B248)</f>
        <v>改行コード変換＠nkf(xxx→Unix)</v>
      </c>
    </row>
    <row r="249" spans="1:7" ht="11.25" customHeight="1" outlineLevel="1">
      <c r="A249" s="15"/>
      <c r="B249" s="15" t="s">
        <v>1982</v>
      </c>
      <c r="C249" s="16" t="s">
        <v>1971</v>
      </c>
      <c r="D249" s="17"/>
      <c r="F249">
        <f ca="1">IF(G249="",OFFSET(F249,-1,0),OFFSET(F249,-1,0)+1)</f>
        <v>1080</v>
      </c>
      <c r="G249" t="str">
        <f>IF(B249="","",B249)</f>
        <v>改行コード変換＠nkf(xxx→Windows)</v>
      </c>
    </row>
    <row r="250" spans="1:7" ht="11.25" customHeight="1" outlineLevel="1">
      <c r="A250" s="15"/>
      <c r="B250" s="15" t="s">
        <v>1983</v>
      </c>
      <c r="C250" s="16" t="s">
        <v>1969</v>
      </c>
      <c r="D250" s="17"/>
      <c r="F250">
        <f t="shared" ca="1" si="30"/>
        <v>1081</v>
      </c>
      <c r="G250" t="str">
        <f t="shared" si="31"/>
        <v>改行コード変換＠nkf(xxx→Mac)</v>
      </c>
    </row>
    <row r="251" spans="1:7" ht="11.25" customHeight="1" outlineLevel="1">
      <c r="A251" s="15"/>
      <c r="B251" s="15" t="s">
        <v>1984</v>
      </c>
      <c r="C251" s="16" t="s">
        <v>1972</v>
      </c>
      <c r="D251" s="17"/>
      <c r="F251">
        <f ca="1">IF(G251="",OFFSET(F251,-1,0),OFFSET(F251,-1,0)+1)</f>
        <v>1082</v>
      </c>
      <c r="G251" t="str">
        <f>IF(B251="","",B251)</f>
        <v>改行コード変換＠nkf 上書き</v>
      </c>
    </row>
    <row r="252" spans="1:7" ht="11.25" customHeight="1" outlineLevel="1">
      <c r="A252" s="15"/>
      <c r="B252" s="15" t="s">
        <v>1426</v>
      </c>
      <c r="C252" s="16" t="s">
        <v>1427</v>
      </c>
      <c r="D252" s="17"/>
      <c r="F252">
        <f t="shared" ca="1" si="30"/>
        <v>1083</v>
      </c>
      <c r="G252" t="str">
        <f t="shared" si="31"/>
        <v>ハードリンク作成</v>
      </c>
    </row>
    <row r="253" spans="1:7" ht="11.25" customHeight="1" outlineLevel="1">
      <c r="A253" s="15"/>
      <c r="B253" s="15" t="s">
        <v>1428</v>
      </c>
      <c r="C253" s="16" t="s">
        <v>1429</v>
      </c>
      <c r="D253" s="17"/>
      <c r="F253">
        <f t="shared" ca="1" si="30"/>
        <v>1084</v>
      </c>
      <c r="G253" t="str">
        <f t="shared" si="31"/>
        <v>シンボリックリンク作成</v>
      </c>
    </row>
    <row r="254" spans="1:7" ht="11.25" customHeight="1" outlineLevel="1">
      <c r="A254" s="15"/>
      <c r="B254" s="15" t="s">
        <v>1430</v>
      </c>
      <c r="C254" s="16" t="s">
        <v>1431</v>
      </c>
      <c r="D254" s="17"/>
      <c r="F254">
        <f t="shared" ca="1" si="30"/>
        <v>1085</v>
      </c>
      <c r="G254" t="str">
        <f t="shared" si="31"/>
        <v>リンク指示先表示</v>
      </c>
    </row>
    <row r="255" spans="1:7" ht="11.25" customHeight="1" outlineLevel="1">
      <c r="A255" s="15"/>
      <c r="B255" s="15" t="s">
        <v>1432</v>
      </c>
      <c r="C255" s="16" t="s">
        <v>1886</v>
      </c>
      <c r="D255" s="17"/>
      <c r="F255">
        <f t="shared" ca="1" si="30"/>
        <v>1086</v>
      </c>
      <c r="G255" t="str">
        <f t="shared" si="31"/>
        <v>リンク指示先表示(シンボリックリンク解決済み絶対パス)</v>
      </c>
    </row>
    <row r="256" spans="1:7" ht="11.25" customHeight="1" outlineLevel="1">
      <c r="A256" s="15"/>
      <c r="B256" s="15" t="s">
        <v>1433</v>
      </c>
      <c r="C256" s="16" t="s">
        <v>1434</v>
      </c>
      <c r="D256" s="17"/>
      <c r="F256">
        <f t="shared" ref="F256:F291" ca="1" si="38">IF(G256="",OFFSET(F256,-1,0),OFFSET(F256,-1,0)+1)</f>
        <v>1087</v>
      </c>
      <c r="G256" t="str">
        <f t="shared" ref="G256:G291" si="39">IF(B256="","",B256)</f>
        <v>リンクファイル削除1</v>
      </c>
    </row>
    <row r="257" spans="1:7" ht="11.25" customHeight="1" outlineLevel="1">
      <c r="A257" s="15"/>
      <c r="B257" s="15" t="s">
        <v>1435</v>
      </c>
      <c r="C257" s="16" t="s">
        <v>1436</v>
      </c>
      <c r="D257" s="17" t="s">
        <v>1437</v>
      </c>
      <c r="F257">
        <f t="shared" ca="1" si="38"/>
        <v>1088</v>
      </c>
      <c r="G257" t="str">
        <f t="shared" si="39"/>
        <v>リンクファイル削除2</v>
      </c>
    </row>
    <row r="258" spans="1:7" ht="11.25" customHeight="1" outlineLevel="1">
      <c r="A258" s="15"/>
      <c r="B258" s="15" t="s">
        <v>1438</v>
      </c>
      <c r="C258" s="16" t="s">
        <v>1439</v>
      </c>
      <c r="D258" s="17"/>
      <c r="F258">
        <f t="shared" ca="1" si="38"/>
        <v>1089</v>
      </c>
      <c r="G258" t="str">
        <f t="shared" si="39"/>
        <v>データを印刷できる形式に変換</v>
      </c>
    </row>
    <row r="259" spans="1:7" ht="11.25" customHeight="1" outlineLevel="1">
      <c r="A259" s="15"/>
      <c r="B259" s="15" t="s">
        <v>1438</v>
      </c>
      <c r="C259" s="16" t="s">
        <v>1440</v>
      </c>
      <c r="D259" s="17"/>
      <c r="F259">
        <f t="shared" ca="1" si="38"/>
        <v>1090</v>
      </c>
      <c r="G259" t="str">
        <f t="shared" si="39"/>
        <v>データを印刷できる形式に変換</v>
      </c>
    </row>
    <row r="260" spans="1:7" ht="11.25" customHeight="1" outlineLevel="1">
      <c r="A260" s="15"/>
      <c r="B260" s="15" t="s">
        <v>1438</v>
      </c>
      <c r="C260" s="16" t="s">
        <v>1441</v>
      </c>
      <c r="D260" s="25" t="s">
        <v>1484</v>
      </c>
      <c r="F260">
        <f t="shared" ca="1" si="38"/>
        <v>1091</v>
      </c>
      <c r="G260" t="str">
        <f t="shared" si="39"/>
        <v>データを印刷できる形式に変換</v>
      </c>
    </row>
    <row r="261" spans="1:7" ht="11.25" customHeight="1" outlineLevel="1">
      <c r="A261" s="15"/>
      <c r="B261" s="15" t="s">
        <v>1442</v>
      </c>
      <c r="C261" s="16" t="s">
        <v>1443</v>
      </c>
      <c r="D261" s="17"/>
      <c r="F261">
        <f t="shared" ca="1" si="38"/>
        <v>1092</v>
      </c>
      <c r="G261" t="str">
        <f t="shared" si="39"/>
        <v>テキストファイル 折り返し</v>
      </c>
    </row>
    <row r="262" spans="1:7" ht="11.25" customHeight="1" outlineLevel="1">
      <c r="A262" s="15"/>
      <c r="B262" s="15" t="s">
        <v>1444</v>
      </c>
      <c r="C262" s="16" t="s">
        <v>1445</v>
      </c>
      <c r="D262" s="17"/>
      <c r="F262">
        <f t="shared" ca="1" si="38"/>
        <v>1093</v>
      </c>
      <c r="G262" t="str">
        <f t="shared" si="39"/>
        <v>テキストファイル 折り返し(強制)</v>
      </c>
    </row>
    <row r="263" spans="1:7" ht="11.25" customHeight="1" outlineLevel="1">
      <c r="A263" s="15"/>
      <c r="B263" s="15" t="s">
        <v>1446</v>
      </c>
      <c r="C263" s="16" t="s">
        <v>1447</v>
      </c>
      <c r="D263" s="17"/>
      <c r="F263">
        <f t="shared" ca="1" si="38"/>
        <v>1094</v>
      </c>
      <c r="G263" t="str">
        <f t="shared" si="39"/>
        <v>テキストファイル ヘッダフッタ付与</v>
      </c>
    </row>
    <row r="264" spans="1:7" ht="11.25" customHeight="1" outlineLevel="1">
      <c r="A264" s="15"/>
      <c r="B264" s="15" t="s">
        <v>1448</v>
      </c>
      <c r="C264" s="16" t="s">
        <v>1394</v>
      </c>
      <c r="D264" s="17"/>
      <c r="F264">
        <f t="shared" ca="1" si="38"/>
        <v>1095</v>
      </c>
      <c r="G264" t="str">
        <f t="shared" si="39"/>
        <v>タイムスタンプ更新(現在時刻)</v>
      </c>
    </row>
    <row r="265" spans="1:7" ht="11.25" customHeight="1" outlineLevel="1">
      <c r="A265" s="15"/>
      <c r="B265" s="15" t="s">
        <v>1449</v>
      </c>
      <c r="C265" s="16" t="s">
        <v>1450</v>
      </c>
      <c r="D265" s="17"/>
      <c r="F265">
        <f t="shared" ca="1" si="38"/>
        <v>1096</v>
      </c>
      <c r="G265" t="str">
        <f t="shared" si="39"/>
        <v>タイムスタンプ更新(指定時刻)</v>
      </c>
    </row>
    <row r="266" spans="1:7" ht="11.25" customHeight="1" outlineLevel="1">
      <c r="A266" s="15"/>
      <c r="B266" s="15" t="s">
        <v>1451</v>
      </c>
      <c r="C266" s="16" t="s">
        <v>1452</v>
      </c>
      <c r="D266" s="17"/>
      <c r="F266">
        <f t="shared" ca="1" si="38"/>
        <v>1097</v>
      </c>
      <c r="G266" t="str">
        <f t="shared" si="39"/>
        <v>タブ→空白変換(8文字)</v>
      </c>
    </row>
    <row r="267" spans="1:7" ht="11.25" customHeight="1" outlineLevel="1">
      <c r="A267" s="15"/>
      <c r="B267" s="15" t="s">
        <v>1453</v>
      </c>
      <c r="C267" s="16" t="s">
        <v>1454</v>
      </c>
      <c r="D267" s="17"/>
      <c r="F267">
        <f t="shared" ca="1" si="38"/>
        <v>1098</v>
      </c>
      <c r="G267" t="str">
        <f t="shared" si="39"/>
        <v>空白→タブ変換(8文字)</v>
      </c>
    </row>
    <row r="268" spans="1:7" ht="11.25" customHeight="1" outlineLevel="1">
      <c r="A268" s="15"/>
      <c r="B268" s="15" t="s">
        <v>1455</v>
      </c>
      <c r="C268" s="16" t="s">
        <v>1877</v>
      </c>
      <c r="D268" s="17"/>
      <c r="F268">
        <f t="shared" ca="1" si="38"/>
        <v>1099</v>
      </c>
      <c r="G268" t="str">
        <f t="shared" si="39"/>
        <v>ファイルパーミッション変更</v>
      </c>
    </row>
    <row r="269" spans="1:7" ht="11.25" customHeight="1" outlineLevel="1">
      <c r="A269" s="15"/>
      <c r="B269" s="15" t="s">
        <v>1455</v>
      </c>
      <c r="C269" s="16" t="s">
        <v>1456</v>
      </c>
      <c r="D269" s="17" t="s">
        <v>1457</v>
      </c>
      <c r="F269">
        <f t="shared" ca="1" si="38"/>
        <v>1100</v>
      </c>
      <c r="G269" t="str">
        <f t="shared" si="39"/>
        <v>ファイルパーミッション変更</v>
      </c>
    </row>
    <row r="270" spans="1:7" ht="11.25" customHeight="1" outlineLevel="1">
      <c r="A270" s="15"/>
      <c r="B270" s="15" t="s">
        <v>1458</v>
      </c>
      <c r="C270" s="16" t="s">
        <v>1459</v>
      </c>
      <c r="D270" s="17"/>
      <c r="F270">
        <f t="shared" ca="1" si="38"/>
        <v>1101</v>
      </c>
      <c r="G270" t="str">
        <f t="shared" si="39"/>
        <v>ファイルパーミッション変更(再帰的)</v>
      </c>
    </row>
    <row r="271" spans="1:7" ht="11.25" customHeight="1" outlineLevel="1">
      <c r="A271" s="15"/>
      <c r="B271" s="15" t="s">
        <v>1986</v>
      </c>
      <c r="C271" s="16" t="s">
        <v>1987</v>
      </c>
      <c r="D271" s="17"/>
      <c r="F271">
        <f t="shared" ca="1" si="38"/>
        <v>1102</v>
      </c>
      <c r="G271" t="str">
        <f t="shared" si="39"/>
        <v>所有者変更(change owner)</v>
      </c>
    </row>
    <row r="272" spans="1:7" ht="11.25" customHeight="1" outlineLevel="1">
      <c r="A272" s="15"/>
      <c r="B272" s="15" t="s">
        <v>2020</v>
      </c>
      <c r="C272" s="16" t="s">
        <v>1460</v>
      </c>
      <c r="D272" s="17"/>
      <c r="F272">
        <f t="shared" ca="1" si="38"/>
        <v>1103</v>
      </c>
      <c r="G272" t="str">
        <f t="shared" si="39"/>
        <v>一時的空ファイル/ディレクトリ作成</v>
      </c>
    </row>
    <row r="273" spans="1:7" ht="11.25" customHeight="1" outlineLevel="1">
      <c r="A273" s="15"/>
      <c r="B273" s="15" t="s">
        <v>1489</v>
      </c>
      <c r="C273" s="16" t="s">
        <v>1461</v>
      </c>
      <c r="D273" s="17" t="s">
        <v>1485</v>
      </c>
      <c r="F273">
        <f t="shared" ca="1" si="38"/>
        <v>1104</v>
      </c>
      <c r="G273" t="str">
        <f t="shared" si="39"/>
        <v>圧縮(tar)</v>
      </c>
    </row>
    <row r="274" spans="1:7" ht="11.25" customHeight="1" outlineLevel="1">
      <c r="A274" s="15"/>
      <c r="B274" s="15" t="s">
        <v>1490</v>
      </c>
      <c r="C274" s="16" t="s">
        <v>1462</v>
      </c>
      <c r="D274" s="17" t="s">
        <v>1486</v>
      </c>
      <c r="F274">
        <f t="shared" ca="1" si="38"/>
        <v>1105</v>
      </c>
      <c r="G274" t="str">
        <f t="shared" si="39"/>
        <v>展開(tar)</v>
      </c>
    </row>
    <row r="275" spans="1:7" ht="11.25" customHeight="1" outlineLevel="1">
      <c r="A275" s="15"/>
      <c r="B275" s="15" t="s">
        <v>1487</v>
      </c>
      <c r="C275" s="16" t="s">
        <v>1463</v>
      </c>
      <c r="D275" s="17"/>
      <c r="F275">
        <f t="shared" ca="1" si="38"/>
        <v>1106</v>
      </c>
      <c r="G275" t="str">
        <f t="shared" si="39"/>
        <v>圧縮(gzip)</v>
      </c>
    </row>
    <row r="276" spans="1:7" ht="11.25" customHeight="1" outlineLevel="1">
      <c r="A276" s="15"/>
      <c r="B276" s="15" t="s">
        <v>1488</v>
      </c>
      <c r="C276" s="16" t="s">
        <v>1464</v>
      </c>
      <c r="D276" s="17"/>
      <c r="F276">
        <f t="shared" ca="1" si="38"/>
        <v>1107</v>
      </c>
      <c r="G276" t="str">
        <f t="shared" si="39"/>
        <v>展開(gzip)</v>
      </c>
    </row>
    <row r="277" spans="1:7" ht="11.25" customHeight="1" outlineLevel="1">
      <c r="A277" s="15"/>
      <c r="B277" s="15" t="s">
        <v>3367</v>
      </c>
      <c r="C277" s="16" t="s">
        <v>3370</v>
      </c>
      <c r="D277" s="17"/>
      <c r="F277">
        <f t="shared" ca="1" si="38"/>
        <v>1108</v>
      </c>
      <c r="G277" t="str">
        <f t="shared" si="39"/>
        <v>圧縮(zip)</v>
      </c>
    </row>
    <row r="278" spans="1:7" ht="11.25" customHeight="1" outlineLevel="1">
      <c r="A278" s="15"/>
      <c r="B278" s="15" t="s">
        <v>3368</v>
      </c>
      <c r="C278" s="16" t="s">
        <v>3369</v>
      </c>
      <c r="D278" s="17"/>
      <c r="F278">
        <f t="shared" ref="F278" ca="1" si="40">IF(G278="",OFFSET(F278,-1,0),OFFSET(F278,-1,0)+1)</f>
        <v>1109</v>
      </c>
      <c r="G278" t="str">
        <f t="shared" ref="G278" si="41">IF(B278="","",B278)</f>
        <v>展開(zip)</v>
      </c>
    </row>
    <row r="279" spans="1:7" ht="11.25" customHeight="1" outlineLevel="1">
      <c r="A279" s="15"/>
      <c r="B279" s="15" t="s">
        <v>1465</v>
      </c>
      <c r="C279" s="16" t="s">
        <v>1466</v>
      </c>
      <c r="D279" s="17" t="s">
        <v>1467</v>
      </c>
      <c r="F279">
        <f t="shared" ca="1" si="38"/>
        <v>1110</v>
      </c>
      <c r="G279" t="str">
        <f t="shared" si="39"/>
        <v>ファイルサイズ増減</v>
      </c>
    </row>
    <row r="280" spans="1:7" ht="11.25" customHeight="1" outlineLevel="1">
      <c r="A280" s="15"/>
      <c r="B280" s="15" t="s">
        <v>1468</v>
      </c>
      <c r="C280" s="16" t="s">
        <v>1469</v>
      </c>
      <c r="D280" s="17"/>
      <c r="F280">
        <f t="shared" ca="1" si="38"/>
        <v>1111</v>
      </c>
      <c r="G280" t="str">
        <f t="shared" si="39"/>
        <v>差分ファイル作成</v>
      </c>
    </row>
    <row r="281" spans="1:7" ht="11.25" customHeight="1" outlineLevel="1">
      <c r="A281" s="15"/>
      <c r="B281" s="15" t="s">
        <v>1470</v>
      </c>
      <c r="C281" s="16" t="s">
        <v>1471</v>
      </c>
      <c r="D281" s="19" t="s">
        <v>1492</v>
      </c>
      <c r="F281">
        <f t="shared" ca="1" si="38"/>
        <v>1112</v>
      </c>
      <c r="G281" t="str">
        <f t="shared" si="39"/>
        <v>差分適用(単一ファイル指定)</v>
      </c>
    </row>
    <row r="282" spans="1:7" ht="11.25" customHeight="1" outlineLevel="1">
      <c r="A282" s="15"/>
      <c r="B282" s="15" t="s">
        <v>1472</v>
      </c>
      <c r="C282" s="16" t="s">
        <v>1473</v>
      </c>
      <c r="D282" s="17" t="s">
        <v>2331</v>
      </c>
      <c r="F282">
        <f t="shared" ca="1" si="38"/>
        <v>1113</v>
      </c>
      <c r="G282" t="str">
        <f t="shared" si="39"/>
        <v>差分適用(フォルダ配下全て)</v>
      </c>
    </row>
    <row r="283" spans="1:7" ht="11.25" customHeight="1" outlineLevel="1">
      <c r="A283" s="15"/>
      <c r="B283" s="15" t="s">
        <v>1474</v>
      </c>
      <c r="C283" s="16" t="s">
        <v>1475</v>
      </c>
      <c r="D283" s="19" t="s">
        <v>1491</v>
      </c>
      <c r="F283">
        <f t="shared" ca="1" si="38"/>
        <v>1114</v>
      </c>
      <c r="G283" t="str">
        <f t="shared" si="39"/>
        <v>差分巻き戻し</v>
      </c>
    </row>
    <row r="284" spans="1:7" ht="11.25" customHeight="1" outlineLevel="1">
      <c r="A284" s="15"/>
      <c r="B284" s="15" t="s">
        <v>1476</v>
      </c>
      <c r="C284" s="16" t="s">
        <v>1477</v>
      </c>
      <c r="D284" s="17"/>
      <c r="F284">
        <f t="shared" ca="1" si="38"/>
        <v>1115</v>
      </c>
      <c r="G284" t="str">
        <f t="shared" si="39"/>
        <v>インデント調整</v>
      </c>
    </row>
    <row r="285" spans="1:7" ht="11.25" customHeight="1" outlineLevel="1">
      <c r="A285" s="15"/>
      <c r="B285" s="15" t="s">
        <v>1493</v>
      </c>
      <c r="C285" s="16" t="s">
        <v>1494</v>
      </c>
      <c r="D285" s="17"/>
      <c r="F285">
        <f t="shared" ca="1" si="38"/>
        <v>1116</v>
      </c>
      <c r="G285" t="str">
        <f t="shared" si="39"/>
        <v>現在ディレクトリパス表示1</v>
      </c>
    </row>
    <row r="286" spans="1:7" ht="11.25" customHeight="1" outlineLevel="1">
      <c r="A286" s="15"/>
      <c r="B286" s="15" t="s">
        <v>1495</v>
      </c>
      <c r="C286" s="16" t="s">
        <v>1496</v>
      </c>
      <c r="D286" s="17"/>
      <c r="F286">
        <f t="shared" ca="1" si="38"/>
        <v>1117</v>
      </c>
      <c r="G286" t="str">
        <f t="shared" si="39"/>
        <v>現在ディレクトリパス表示2</v>
      </c>
    </row>
    <row r="287" spans="1:7" ht="11.25" customHeight="1" outlineLevel="1">
      <c r="A287" s="15"/>
      <c r="B287" s="15" t="s">
        <v>1497</v>
      </c>
      <c r="C287" s="16" t="s">
        <v>1498</v>
      </c>
      <c r="D287" s="17"/>
      <c r="F287">
        <f t="shared" ca="1" si="38"/>
        <v>1118</v>
      </c>
      <c r="G287" t="str">
        <f t="shared" si="39"/>
        <v>現在ディレクトリパス表示(実パス表示)</v>
      </c>
    </row>
    <row r="288" spans="1:7" ht="11.25" customHeight="1" outlineLevel="1">
      <c r="A288" s="15"/>
      <c r="B288" s="15" t="s">
        <v>1499</v>
      </c>
      <c r="C288" s="16" t="s">
        <v>1500</v>
      </c>
      <c r="D288" s="17"/>
      <c r="F288">
        <f t="shared" ca="1" si="38"/>
        <v>1119</v>
      </c>
      <c r="G288" t="str">
        <f t="shared" si="39"/>
        <v>現在ディレクトリパス表示(シンボリックリンクパス経由)(デフォルト)</v>
      </c>
    </row>
    <row r="289" spans="1:7" ht="11.25" customHeight="1" outlineLevel="1">
      <c r="A289" s="15"/>
      <c r="B289" s="15" t="s">
        <v>3184</v>
      </c>
      <c r="C289" s="16" t="s">
        <v>3185</v>
      </c>
      <c r="D289" s="17" t="s">
        <v>3186</v>
      </c>
      <c r="F289">
        <f t="shared" ref="F289" ca="1" si="42">IF(G289="",OFFSET(F289,-1,0),OFFSET(F289,-1,0)+1)</f>
        <v>1120</v>
      </c>
      <c r="G289" t="str">
        <f t="shared" ref="G289" si="43">IF(B289="","",B289)</f>
        <v>カレントディレクトリ名取得</v>
      </c>
    </row>
    <row r="290" spans="1:7" ht="11.25" customHeight="1" outlineLevel="1">
      <c r="A290" s="15"/>
      <c r="B290" s="15" t="s">
        <v>2363</v>
      </c>
      <c r="C290" s="16" t="s">
        <v>2366</v>
      </c>
      <c r="D290" s="17" t="s">
        <v>2370</v>
      </c>
      <c r="F290">
        <f t="shared" ca="1" si="38"/>
        <v>1121</v>
      </c>
      <c r="G290" t="str">
        <f t="shared" si="39"/>
        <v>スクリプトファイル名取得</v>
      </c>
    </row>
    <row r="291" spans="1:7" ht="11.25" customHeight="1" outlineLevel="1">
      <c r="A291" s="15"/>
      <c r="B291" s="15" t="s">
        <v>2995</v>
      </c>
      <c r="C291" s="16" t="s">
        <v>2996</v>
      </c>
      <c r="D291" s="17" t="s">
        <v>2370</v>
      </c>
      <c r="F291">
        <f t="shared" ca="1" si="38"/>
        <v>1122</v>
      </c>
      <c r="G291" t="str">
        <f t="shared" si="39"/>
        <v>スクリプトファイル名取得（source実行時でも使える）</v>
      </c>
    </row>
    <row r="292" spans="1:7" ht="11.25" customHeight="1" outlineLevel="1">
      <c r="A292" s="15"/>
      <c r="B292" s="15" t="s">
        <v>2362</v>
      </c>
      <c r="C292" s="16" t="s">
        <v>2367</v>
      </c>
      <c r="D292" s="17" t="s">
        <v>2869</v>
      </c>
      <c r="F292">
        <f t="shared" ref="F292:F351" ca="1" si="44">IF(G292="",OFFSET(F292,-1,0),OFFSET(F292,-1,0)+1)</f>
        <v>1123</v>
      </c>
      <c r="G292" t="str">
        <f t="shared" ref="G292:G351" si="45">IF(B292="","",B292)</f>
        <v>スクリプトファイルパス取得</v>
      </c>
    </row>
    <row r="293" spans="1:7" ht="11.25" customHeight="1" outlineLevel="1">
      <c r="A293" s="15"/>
      <c r="B293" s="15" t="s">
        <v>2372</v>
      </c>
      <c r="C293" s="16" t="s">
        <v>2373</v>
      </c>
      <c r="D293" s="17" t="s">
        <v>2374</v>
      </c>
      <c r="F293">
        <f ca="1">IF(G293="",OFFSET(F293,-1,0),OFFSET(F293,-1,0)+1)</f>
        <v>1124</v>
      </c>
      <c r="G293" t="str">
        <f>IF(B293="","",B293)</f>
        <v>スクリプトファイル格納先パス取得</v>
      </c>
    </row>
    <row r="294" spans="1:7" ht="11.25" customHeight="1" outlineLevel="1">
      <c r="A294" s="15"/>
      <c r="B294" s="15" t="s">
        <v>2994</v>
      </c>
      <c r="C294" s="16" t="s">
        <v>2993</v>
      </c>
      <c r="D294" s="17" t="s">
        <v>2374</v>
      </c>
      <c r="F294">
        <f ca="1">IF(G294="",OFFSET(F294,-1,0),OFFSET(F294,-1,0)+1)</f>
        <v>1125</v>
      </c>
      <c r="G294" t="str">
        <f>IF(B294="","",B294)</f>
        <v>スクリプトファイル格納先パス取得（source実行時でも使える）</v>
      </c>
    </row>
    <row r="295" spans="1:7" ht="11.25" customHeight="1" outlineLevel="1">
      <c r="A295" s="15"/>
      <c r="B295" s="15" t="s">
        <v>2364</v>
      </c>
      <c r="C295" s="16" t="s">
        <v>2368</v>
      </c>
      <c r="D295" s="17" t="s">
        <v>1352</v>
      </c>
      <c r="F295">
        <f ca="1">IF(G295="",OFFSET(F295,-1,0),OFFSET(F295,-1,0)+1)</f>
        <v>1126</v>
      </c>
      <c r="G295" t="str">
        <f>IF(B295="","",B295)</f>
        <v>スクリプトファイルベース名取得</v>
      </c>
    </row>
    <row r="296" spans="1:7" ht="11.25" customHeight="1" outlineLevel="1">
      <c r="A296" s="15"/>
      <c r="B296" s="15" t="s">
        <v>2365</v>
      </c>
      <c r="C296" s="16" t="s">
        <v>2369</v>
      </c>
      <c r="D296" s="17" t="s">
        <v>2371</v>
      </c>
      <c r="F296">
        <f ca="1">IF(G296="",OFFSET(F296,-1,0),OFFSET(F296,-1,0)+1)</f>
        <v>1127</v>
      </c>
      <c r="G296" t="str">
        <f>IF(B296="","",B296)</f>
        <v>スクリプトファイル拡張子取得</v>
      </c>
    </row>
    <row r="297" spans="1:7" ht="11.25" customHeight="1" outlineLevel="1">
      <c r="A297" s="15"/>
      <c r="B297" s="15" t="s">
        <v>3182</v>
      </c>
      <c r="C297" s="16" t="s">
        <v>2844</v>
      </c>
      <c r="D297" s="17" t="s">
        <v>1502</v>
      </c>
      <c r="F297">
        <f t="shared" ca="1" si="44"/>
        <v>1128</v>
      </c>
      <c r="G297" t="str">
        <f t="shared" si="45"/>
        <v>ファイル一覧出力（カレントディレクトリ内のみ）</v>
      </c>
    </row>
    <row r="298" spans="1:7" ht="11.25" customHeight="1" outlineLevel="1">
      <c r="A298" s="15"/>
      <c r="B298" s="15" t="s">
        <v>3183</v>
      </c>
      <c r="C298" s="16" t="s">
        <v>1623</v>
      </c>
      <c r="D298" s="17" t="s">
        <v>1502</v>
      </c>
      <c r="F298">
        <f t="shared" ref="F298" ca="1" si="46">IF(G298="",OFFSET(F298,-1,0),OFFSET(F298,-1,0)+1)</f>
        <v>1129</v>
      </c>
      <c r="G298" t="str">
        <f t="shared" ref="G298" si="47">IF(B298="","",B298)</f>
        <v>ディレクトリ一覧出力（カレントディレクトリ内のみ）</v>
      </c>
    </row>
    <row r="299" spans="1:7" ht="11.25" customHeight="1" outlineLevel="1">
      <c r="A299" s="15"/>
      <c r="B299" s="15" t="s">
        <v>1503</v>
      </c>
      <c r="C299" s="16" t="s">
        <v>1504</v>
      </c>
      <c r="D299" s="25" t="s">
        <v>1636</v>
      </c>
      <c r="F299">
        <f t="shared" ca="1" si="44"/>
        <v>1130</v>
      </c>
      <c r="G299" t="str">
        <f t="shared" si="45"/>
        <v>ファイル/ディレクトリ一覧表示</v>
      </c>
    </row>
    <row r="300" spans="1:7" ht="11.25" customHeight="1" outlineLevel="1">
      <c r="A300" s="15"/>
      <c r="B300" s="15" t="s">
        <v>1505</v>
      </c>
      <c r="C300" s="16" t="s">
        <v>1506</v>
      </c>
      <c r="D300" s="17"/>
      <c r="F300">
        <f t="shared" ca="1" si="44"/>
        <v>1131</v>
      </c>
      <c r="G300" t="str">
        <f t="shared" si="45"/>
        <v>ファイル/ディレクトリ一覧表示(隠しファイル/詳細情報含む)</v>
      </c>
    </row>
    <row r="301" spans="1:7" ht="11.25" customHeight="1" outlineLevel="1">
      <c r="A301" s="15"/>
      <c r="B301" s="15" t="s">
        <v>1507</v>
      </c>
      <c r="C301" s="16" t="s">
        <v>1508</v>
      </c>
      <c r="D301" s="17"/>
      <c r="F301">
        <f t="shared" ca="1" si="44"/>
        <v>1132</v>
      </c>
      <c r="G301" t="str">
        <f t="shared" si="45"/>
        <v>ディレクトリ一覧出力1★</v>
      </c>
    </row>
    <row r="302" spans="1:7" ht="11.25" customHeight="1" outlineLevel="1">
      <c r="A302" s="15"/>
      <c r="B302" s="15" t="s">
        <v>1509</v>
      </c>
      <c r="C302" s="16" t="s">
        <v>1510</v>
      </c>
      <c r="D302" s="17"/>
      <c r="F302">
        <f t="shared" ca="1" si="44"/>
        <v>1133</v>
      </c>
      <c r="G302" t="str">
        <f t="shared" si="45"/>
        <v>ディレクトリ一覧出力2★</v>
      </c>
    </row>
    <row r="303" spans="1:7" ht="11.25" customHeight="1" outlineLevel="1">
      <c r="A303" s="15"/>
      <c r="B303" s="15" t="s">
        <v>1507</v>
      </c>
      <c r="C303" s="16" t="s">
        <v>1511</v>
      </c>
      <c r="D303" s="17"/>
      <c r="F303">
        <f t="shared" ca="1" si="44"/>
        <v>1134</v>
      </c>
      <c r="G303" t="str">
        <f t="shared" si="45"/>
        <v>ディレクトリ一覧出力1★</v>
      </c>
    </row>
    <row r="304" spans="1:7" ht="11.25" customHeight="1" outlineLevel="1">
      <c r="A304" s="15"/>
      <c r="B304" s="15" t="s">
        <v>1509</v>
      </c>
      <c r="C304" s="16" t="s">
        <v>1512</v>
      </c>
      <c r="D304" s="17"/>
      <c r="F304">
        <f t="shared" ca="1" si="44"/>
        <v>1135</v>
      </c>
      <c r="G304" t="str">
        <f t="shared" si="45"/>
        <v>ディレクトリ一覧出力2★</v>
      </c>
    </row>
    <row r="305" spans="1:7" ht="11.25" customHeight="1" outlineLevel="1">
      <c r="A305" s="15"/>
      <c r="B305" s="15" t="s">
        <v>1513</v>
      </c>
      <c r="C305" s="16" t="s">
        <v>1623</v>
      </c>
      <c r="D305" s="17" t="s">
        <v>1624</v>
      </c>
      <c r="F305">
        <f t="shared" ca="1" si="44"/>
        <v>1136</v>
      </c>
      <c r="G305" t="str">
        <f t="shared" si="45"/>
        <v>ディレクトリ一覧出力4</v>
      </c>
    </row>
    <row r="306" spans="1:7" ht="11.25" customHeight="1" outlineLevel="1">
      <c r="A306" s="15"/>
      <c r="B306" s="15" t="s">
        <v>1514</v>
      </c>
      <c r="C306" s="16" t="s">
        <v>1887</v>
      </c>
      <c r="D306" s="17"/>
      <c r="F306">
        <f t="shared" ca="1" si="44"/>
        <v>1137</v>
      </c>
      <c r="G306" t="str">
        <f t="shared" si="45"/>
        <v>ファイル中身表示</v>
      </c>
    </row>
    <row r="307" spans="1:7" ht="11.25" customHeight="1" outlineLevel="1">
      <c r="A307" s="15"/>
      <c r="B307" s="15" t="s">
        <v>1515</v>
      </c>
      <c r="C307" s="16" t="s">
        <v>1888</v>
      </c>
      <c r="D307" s="17"/>
      <c r="F307">
        <f t="shared" ca="1" si="44"/>
        <v>1138</v>
      </c>
      <c r="G307" t="str">
        <f t="shared" si="45"/>
        <v>ファイル中身表示(反転)</v>
      </c>
    </row>
    <row r="308" spans="1:7" ht="11.25" customHeight="1" outlineLevel="1">
      <c r="A308" s="15"/>
      <c r="B308" s="15" t="s">
        <v>1516</v>
      </c>
      <c r="C308" s="16" t="s">
        <v>1889</v>
      </c>
      <c r="D308" s="17"/>
      <c r="F308">
        <f t="shared" ca="1" si="44"/>
        <v>1139</v>
      </c>
      <c r="G308" t="str">
        <f t="shared" si="45"/>
        <v>ファイル中身表示(行番号付)(number line)</v>
      </c>
    </row>
    <row r="309" spans="1:7" ht="11.25" customHeight="1" outlineLevel="1">
      <c r="A309" s="15"/>
      <c r="B309" s="15" t="s">
        <v>1517</v>
      </c>
      <c r="C309" s="16" t="s">
        <v>1890</v>
      </c>
      <c r="D309" s="17"/>
      <c r="F309">
        <f t="shared" ca="1" si="44"/>
        <v>1140</v>
      </c>
      <c r="G309" t="str">
        <f t="shared" si="45"/>
        <v>ファイル中身表示(バイナリ表示)</v>
      </c>
    </row>
    <row r="310" spans="1:7" ht="11.25" customHeight="1" outlineLevel="1">
      <c r="A310" s="15"/>
      <c r="B310" s="15" t="s">
        <v>1518</v>
      </c>
      <c r="C310" s="16" t="s">
        <v>1519</v>
      </c>
      <c r="D310" s="17"/>
      <c r="F310">
        <f t="shared" ca="1" si="44"/>
        <v>1141</v>
      </c>
      <c r="G310" t="str">
        <f t="shared" si="45"/>
        <v>ファイル中身表示(1画面ずつ)</v>
      </c>
    </row>
    <row r="311" spans="1:7" ht="11.25" customHeight="1" outlineLevel="1">
      <c r="A311" s="15"/>
      <c r="B311" s="15" t="s">
        <v>1518</v>
      </c>
      <c r="C311" s="16" t="s">
        <v>1520</v>
      </c>
      <c r="D311" s="17" t="s">
        <v>1521</v>
      </c>
      <c r="F311">
        <f t="shared" ca="1" si="44"/>
        <v>1142</v>
      </c>
      <c r="G311" t="str">
        <f t="shared" si="45"/>
        <v>ファイル中身表示(1画面ずつ)</v>
      </c>
    </row>
    <row r="312" spans="1:7" ht="11.25" customHeight="1" outlineLevel="1">
      <c r="A312" s="15"/>
      <c r="B312" s="15" t="s">
        <v>1522</v>
      </c>
      <c r="C312" s="16" t="s">
        <v>1891</v>
      </c>
      <c r="D312" s="17"/>
      <c r="F312">
        <f t="shared" ca="1" si="44"/>
        <v>1143</v>
      </c>
      <c r="G312" t="str">
        <f t="shared" si="45"/>
        <v>ファイル中身表示(一部先頭)</v>
      </c>
    </row>
    <row r="313" spans="1:7" ht="11.25" customHeight="1" outlineLevel="1">
      <c r="A313" s="15"/>
      <c r="B313" s="15" t="s">
        <v>1523</v>
      </c>
      <c r="C313" s="16" t="s">
        <v>1892</v>
      </c>
      <c r="D313" s="17"/>
      <c r="F313">
        <f t="shared" ca="1" si="44"/>
        <v>1144</v>
      </c>
      <c r="G313" t="str">
        <f t="shared" si="45"/>
        <v>ファイル中身表示(一部末尾)</v>
      </c>
    </row>
    <row r="314" spans="1:7" ht="11.25" customHeight="1" outlineLevel="1">
      <c r="A314" s="15"/>
      <c r="B314" s="15" t="s">
        <v>1524</v>
      </c>
      <c r="C314" s="16" t="s">
        <v>1893</v>
      </c>
      <c r="D314" s="17" t="s">
        <v>1898</v>
      </c>
      <c r="F314">
        <f t="shared" ca="1" si="44"/>
        <v>1145</v>
      </c>
      <c r="G314" t="str">
        <f t="shared" si="45"/>
        <v>ファイル中身表示(更新)</v>
      </c>
    </row>
    <row r="315" spans="1:7" ht="11.25" customHeight="1" outlineLevel="1">
      <c r="A315" s="15"/>
      <c r="B315" s="15" t="s">
        <v>1525</v>
      </c>
      <c r="C315" s="16" t="s">
        <v>1526</v>
      </c>
      <c r="D315" s="17"/>
      <c r="F315">
        <f t="shared" ca="1" si="44"/>
        <v>1146</v>
      </c>
      <c r="G315" t="str">
        <f t="shared" si="45"/>
        <v>ファイル中身表示(ソート)</v>
      </c>
    </row>
    <row r="316" spans="1:7" ht="11.25" customHeight="1" outlineLevel="1">
      <c r="A316" s="15"/>
      <c r="B316" s="15" t="s">
        <v>1527</v>
      </c>
      <c r="C316" s="16" t="s">
        <v>1528</v>
      </c>
      <c r="D316" s="17" t="s">
        <v>1529</v>
      </c>
      <c r="F316">
        <f t="shared" ca="1" si="44"/>
        <v>1147</v>
      </c>
      <c r="G316" t="str">
        <f t="shared" si="45"/>
        <v>ファイル中身表示(ソート)例1</v>
      </c>
    </row>
    <row r="317" spans="1:7" ht="11.25" customHeight="1" outlineLevel="1">
      <c r="A317" s="15"/>
      <c r="B317" s="15" t="s">
        <v>1530</v>
      </c>
      <c r="C317" s="16" t="s">
        <v>1531</v>
      </c>
      <c r="D317" s="17" t="s">
        <v>1532</v>
      </c>
      <c r="F317">
        <f t="shared" ca="1" si="44"/>
        <v>1148</v>
      </c>
      <c r="G317" t="str">
        <f t="shared" si="45"/>
        <v>ファイル中身表示(ソート)例2</v>
      </c>
    </row>
    <row r="318" spans="1:7" ht="11.25" customHeight="1" outlineLevel="1">
      <c r="A318" s="15"/>
      <c r="B318" s="15" t="s">
        <v>1533</v>
      </c>
      <c r="C318" s="16" t="s">
        <v>1534</v>
      </c>
      <c r="D318" s="17" t="s">
        <v>1535</v>
      </c>
      <c r="F318">
        <f t="shared" ca="1" si="44"/>
        <v>1149</v>
      </c>
      <c r="G318" t="str">
        <f t="shared" si="45"/>
        <v>ファイル中身表示(ソート)例3</v>
      </c>
    </row>
    <row r="319" spans="1:7" ht="11.25" customHeight="1" outlineLevel="1">
      <c r="A319" s="15"/>
      <c r="B319" s="15" t="s">
        <v>1536</v>
      </c>
      <c r="C319" s="16" t="s">
        <v>1537</v>
      </c>
      <c r="D319" s="17" t="s">
        <v>1538</v>
      </c>
      <c r="F319">
        <f t="shared" ca="1" si="44"/>
        <v>1150</v>
      </c>
      <c r="G319" t="str">
        <f t="shared" si="45"/>
        <v>ファイル中身表示(ソート)例4</v>
      </c>
    </row>
    <row r="320" spans="1:7" ht="11.25" customHeight="1" outlineLevel="1">
      <c r="A320" s="15"/>
      <c r="B320" s="15" t="s">
        <v>1539</v>
      </c>
      <c r="C320" s="16" t="s">
        <v>1540</v>
      </c>
      <c r="D320" s="17" t="s">
        <v>1541</v>
      </c>
      <c r="F320">
        <f t="shared" ca="1" si="44"/>
        <v>1151</v>
      </c>
      <c r="G320" t="str">
        <f t="shared" si="45"/>
        <v>ファイル中身表示(ソート)例5</v>
      </c>
    </row>
    <row r="321" spans="1:7" ht="11.25" customHeight="1" outlineLevel="1">
      <c r="A321" s="15"/>
      <c r="B321" s="15" t="s">
        <v>1542</v>
      </c>
      <c r="C321" s="16" t="s">
        <v>1543</v>
      </c>
      <c r="D321" s="17"/>
      <c r="F321">
        <f t="shared" ca="1" si="44"/>
        <v>1152</v>
      </c>
      <c r="G321" t="str">
        <f t="shared" si="45"/>
        <v>ファイル中身表示(シャッフル)</v>
      </c>
    </row>
    <row r="322" spans="1:7" ht="11.25" customHeight="1" outlineLevel="1">
      <c r="A322" s="15"/>
      <c r="B322" s="15" t="s">
        <v>1544</v>
      </c>
      <c r="C322" s="16" t="s">
        <v>1545</v>
      </c>
      <c r="D322" s="17"/>
      <c r="F322">
        <f t="shared" ca="1" si="44"/>
        <v>1153</v>
      </c>
      <c r="G322" t="str">
        <f t="shared" si="45"/>
        <v>ファイル中身表示(重複削除)</v>
      </c>
    </row>
    <row r="323" spans="1:7" ht="11.25" customHeight="1" outlineLevel="1">
      <c r="A323" s="15"/>
      <c r="B323" s="15" t="s">
        <v>1546</v>
      </c>
      <c r="C323" s="16" t="s">
        <v>1547</v>
      </c>
      <c r="D323" s="17"/>
      <c r="F323">
        <f t="shared" ca="1" si="44"/>
        <v>1154</v>
      </c>
      <c r="G323" t="str">
        <f t="shared" si="45"/>
        <v>ファイル中身表示(前後関係指定ソート)</v>
      </c>
    </row>
    <row r="324" spans="1:7" ht="11.25" customHeight="1" outlineLevel="1">
      <c r="A324" s="15"/>
      <c r="B324" s="15" t="s">
        <v>1548</v>
      </c>
      <c r="C324" s="16" t="s">
        <v>1625</v>
      </c>
      <c r="D324" s="17" t="s">
        <v>2386</v>
      </c>
      <c r="F324">
        <f t="shared" ca="1" si="44"/>
        <v>1155</v>
      </c>
      <c r="G324" t="str">
        <f t="shared" si="45"/>
        <v>ファイル中身表示(垂直抽出)</v>
      </c>
    </row>
    <row r="325" spans="1:7" ht="11.25" customHeight="1" outlineLevel="1">
      <c r="A325" s="15"/>
      <c r="B325" s="15" t="s">
        <v>1548</v>
      </c>
      <c r="C325" s="16" t="s">
        <v>1626</v>
      </c>
      <c r="D325" s="17" t="s">
        <v>2385</v>
      </c>
      <c r="F325">
        <f t="shared" ca="1" si="44"/>
        <v>1156</v>
      </c>
      <c r="G325" t="str">
        <f t="shared" si="45"/>
        <v>ファイル中身表示(垂直抽出)</v>
      </c>
    </row>
    <row r="326" spans="1:7" ht="11.25" customHeight="1" outlineLevel="1">
      <c r="A326" s="15"/>
      <c r="B326" s="15" t="s">
        <v>1549</v>
      </c>
      <c r="C326" s="16" t="s">
        <v>1627</v>
      </c>
      <c r="D326" s="17" t="s">
        <v>1628</v>
      </c>
      <c r="F326">
        <f t="shared" ca="1" si="44"/>
        <v>1157</v>
      </c>
      <c r="G326" t="str">
        <f t="shared" si="45"/>
        <v>ファイル中身表示(列結合)</v>
      </c>
    </row>
    <row r="327" spans="1:7" ht="11.25" customHeight="1" outlineLevel="1">
      <c r="A327" s="15"/>
      <c r="B327" s="15" t="s">
        <v>1550</v>
      </c>
      <c r="C327" s="16" t="s">
        <v>1629</v>
      </c>
      <c r="D327" s="17" t="s">
        <v>1630</v>
      </c>
      <c r="F327">
        <f t="shared" ca="1" si="44"/>
        <v>1158</v>
      </c>
      <c r="G327" t="str">
        <f t="shared" si="45"/>
        <v>ファイル中身表示(差異比較列結合)</v>
      </c>
    </row>
    <row r="328" spans="1:7" ht="11.25" customHeight="1" outlineLevel="1">
      <c r="A328" s="15"/>
      <c r="B328" s="15" t="s">
        <v>1551</v>
      </c>
      <c r="C328" s="16" t="s">
        <v>1552</v>
      </c>
      <c r="D328" s="17"/>
      <c r="F328">
        <f t="shared" ca="1" si="44"/>
        <v>1159</v>
      </c>
      <c r="G328" t="str">
        <f t="shared" si="45"/>
        <v>テキストファイル 行数 表示(word count)</v>
      </c>
    </row>
    <row r="329" spans="1:7" ht="11.25" customHeight="1" outlineLevel="1">
      <c r="A329" s="15"/>
      <c r="B329" s="15" t="s">
        <v>1553</v>
      </c>
      <c r="C329" s="16" t="s">
        <v>1554</v>
      </c>
      <c r="D329" s="17"/>
      <c r="F329">
        <f t="shared" ca="1" si="44"/>
        <v>1160</v>
      </c>
      <c r="G329" t="str">
        <f t="shared" si="45"/>
        <v>テキストファイル 単語数 表示</v>
      </c>
    </row>
    <row r="330" spans="1:7" ht="11.25" customHeight="1" outlineLevel="1">
      <c r="A330" s="15"/>
      <c r="B330" s="15" t="s">
        <v>1555</v>
      </c>
      <c r="C330" s="16" t="s">
        <v>1556</v>
      </c>
      <c r="D330" s="17"/>
      <c r="F330">
        <f t="shared" ca="1" si="44"/>
        <v>1161</v>
      </c>
      <c r="G330" t="str">
        <f t="shared" si="45"/>
        <v>テキストファイル バイト数(文字数) 表示</v>
      </c>
    </row>
    <row r="331" spans="1:7" ht="11.25" customHeight="1" outlineLevel="1">
      <c r="A331" s="15"/>
      <c r="B331" s="18" t="s">
        <v>1631</v>
      </c>
      <c r="C331" s="16" t="s">
        <v>1557</v>
      </c>
      <c r="D331" s="17"/>
      <c r="F331">
        <f t="shared" ca="1" si="44"/>
        <v>1162</v>
      </c>
      <c r="G331" t="str">
        <f t="shared" si="45"/>
        <v>ファイル比較</v>
      </c>
    </row>
    <row r="332" spans="1:7" ht="11.25" customHeight="1" outlineLevel="1">
      <c r="A332" s="15"/>
      <c r="B332" s="15" t="s">
        <v>1558</v>
      </c>
      <c r="C332" s="16" t="s">
        <v>1559</v>
      </c>
      <c r="D332" s="17"/>
      <c r="F332">
        <f t="shared" ca="1" si="44"/>
        <v>1163</v>
      </c>
      <c r="G332" t="str">
        <f t="shared" si="45"/>
        <v>ファイル比較(バイナリ比較)</v>
      </c>
    </row>
    <row r="333" spans="1:7" ht="11.25" customHeight="1" outlineLevel="1">
      <c r="A333" s="15"/>
      <c r="B333" s="15" t="s">
        <v>1560</v>
      </c>
      <c r="C333" s="16" t="s">
        <v>1561</v>
      </c>
      <c r="D333" s="17"/>
      <c r="F333">
        <f t="shared" ca="1" si="44"/>
        <v>1164</v>
      </c>
      <c r="G333" t="str">
        <f t="shared" si="45"/>
        <v>ファイル比較(テキスト比較)</v>
      </c>
    </row>
    <row r="334" spans="1:7" ht="11.25" customHeight="1" outlineLevel="1">
      <c r="A334" s="15"/>
      <c r="B334" s="15" t="s">
        <v>1562</v>
      </c>
      <c r="C334" s="16" t="s">
        <v>1563</v>
      </c>
      <c r="D334" s="17"/>
      <c r="F334">
        <f t="shared" ca="1" si="44"/>
        <v>1165</v>
      </c>
      <c r="G334" t="str">
        <f t="shared" si="45"/>
        <v>ファイル比較(左右並列表示)</v>
      </c>
    </row>
    <row r="335" spans="1:7" ht="11.25" customHeight="1" outlineLevel="1">
      <c r="A335" s="15"/>
      <c r="B335" s="18" t="s">
        <v>1632</v>
      </c>
      <c r="C335" s="16" t="s">
        <v>1564</v>
      </c>
      <c r="D335" s="17"/>
      <c r="F335">
        <f t="shared" ca="1" si="44"/>
        <v>1166</v>
      </c>
      <c r="G335" t="str">
        <f t="shared" si="45"/>
        <v>ファイル比較(3ファイル)</v>
      </c>
    </row>
    <row r="336" spans="1:7" ht="11.25" customHeight="1" outlineLevel="1">
      <c r="A336" s="15"/>
      <c r="B336" s="15" t="s">
        <v>1565</v>
      </c>
      <c r="C336" s="16" t="s">
        <v>1566</v>
      </c>
      <c r="D336" s="17"/>
      <c r="F336">
        <f t="shared" ca="1" si="44"/>
        <v>1167</v>
      </c>
      <c r="G336" t="str">
        <f t="shared" si="45"/>
        <v>ディレクトリ比較(再帰的)</v>
      </c>
    </row>
    <row r="337" spans="1:7" ht="11.25" customHeight="1" outlineLevel="1">
      <c r="A337" s="15"/>
      <c r="B337" s="15" t="s">
        <v>1567</v>
      </c>
      <c r="C337" s="16" t="s">
        <v>1568</v>
      </c>
      <c r="D337" s="17"/>
      <c r="F337">
        <f t="shared" ca="1" si="44"/>
        <v>1168</v>
      </c>
      <c r="G337" t="str">
        <f t="shared" si="45"/>
        <v>ファイル一覧表示(再帰的)</v>
      </c>
    </row>
    <row r="338" spans="1:7" ht="11.25" customHeight="1" outlineLevel="1">
      <c r="A338" s="15"/>
      <c r="B338" s="15" t="s">
        <v>1569</v>
      </c>
      <c r="C338" s="16" t="s">
        <v>1899</v>
      </c>
      <c r="D338" s="17"/>
      <c r="F338">
        <f t="shared" ca="1" si="44"/>
        <v>1169</v>
      </c>
      <c r="G338" t="str">
        <f t="shared" si="45"/>
        <v>ファイル一覧表示(再帰的)(ファイル指定)</v>
      </c>
    </row>
    <row r="339" spans="1:7" ht="11.25" customHeight="1" outlineLevel="1">
      <c r="A339" s="15"/>
      <c r="B339" s="15" t="s">
        <v>1569</v>
      </c>
      <c r="C339" s="16" t="s">
        <v>1900</v>
      </c>
      <c r="D339" s="17"/>
      <c r="F339">
        <f t="shared" ca="1" si="44"/>
        <v>1170</v>
      </c>
      <c r="G339" t="str">
        <f t="shared" si="45"/>
        <v>ファイル一覧表示(再帰的)(ファイル指定)</v>
      </c>
    </row>
    <row r="340" spans="1:7" ht="11.25" customHeight="1" outlineLevel="1">
      <c r="A340" s="15"/>
      <c r="B340" s="15" t="s">
        <v>1570</v>
      </c>
      <c r="C340" s="16" t="s">
        <v>1571</v>
      </c>
      <c r="D340" s="17"/>
      <c r="F340">
        <f t="shared" ca="1" si="44"/>
        <v>1171</v>
      </c>
      <c r="G340" t="str">
        <f t="shared" si="45"/>
        <v>ファイル一覧表示(AND検索)</v>
      </c>
    </row>
    <row r="341" spans="1:7" ht="11.25" customHeight="1" outlineLevel="1">
      <c r="A341" s="15"/>
      <c r="B341" s="15" t="s">
        <v>1572</v>
      </c>
      <c r="C341" s="16" t="s">
        <v>1573</v>
      </c>
      <c r="D341" s="17"/>
      <c r="F341">
        <f t="shared" ca="1" si="44"/>
        <v>1172</v>
      </c>
      <c r="G341" t="str">
        <f t="shared" si="45"/>
        <v>ファイル一覧表示(OR検索)</v>
      </c>
    </row>
    <row r="342" spans="1:7" ht="11.25" customHeight="1" outlineLevel="1">
      <c r="A342" s="15"/>
      <c r="B342" s="15" t="s">
        <v>1574</v>
      </c>
      <c r="C342" s="16" t="s">
        <v>1575</v>
      </c>
      <c r="D342" s="17"/>
      <c r="F342">
        <f t="shared" ca="1" si="44"/>
        <v>1173</v>
      </c>
      <c r="G342" t="str">
        <f t="shared" si="45"/>
        <v>ディレクトリ一覧表示(直下)</v>
      </c>
    </row>
    <row r="343" spans="1:7" ht="11.25" customHeight="1" outlineLevel="1">
      <c r="A343" s="15"/>
      <c r="B343" s="15" t="s">
        <v>1576</v>
      </c>
      <c r="C343" s="16" t="s">
        <v>1577</v>
      </c>
      <c r="D343" s="17"/>
      <c r="F343">
        <f t="shared" ca="1" si="44"/>
        <v>1174</v>
      </c>
      <c r="G343" t="str">
        <f t="shared" si="45"/>
        <v>ディレクトリ一覧表示(再帰的)</v>
      </c>
    </row>
    <row r="344" spans="1:7" ht="11.25" customHeight="1" outlineLevel="1">
      <c r="A344" s="15"/>
      <c r="B344" s="15" t="s">
        <v>1578</v>
      </c>
      <c r="C344" s="16" t="s">
        <v>1579</v>
      </c>
      <c r="D344" s="17"/>
      <c r="F344">
        <f t="shared" ca="1" si="44"/>
        <v>1175</v>
      </c>
      <c r="G344" t="str">
        <f t="shared" si="45"/>
        <v>ファイル/ディレクトリ一覧表示(再帰的)</v>
      </c>
    </row>
    <row r="345" spans="1:7" ht="11.25" customHeight="1" outlineLevel="1">
      <c r="A345" s="15"/>
      <c r="B345" s="15" t="s">
        <v>1580</v>
      </c>
      <c r="C345" s="16" t="s">
        <v>1581</v>
      </c>
      <c r="D345" s="17"/>
      <c r="F345">
        <f t="shared" ca="1" si="44"/>
        <v>1176</v>
      </c>
      <c r="G345" t="str">
        <f t="shared" si="45"/>
        <v>ファイル/ディレクトリ検索</v>
      </c>
    </row>
    <row r="346" spans="1:7" ht="11.25" customHeight="1" outlineLevel="1">
      <c r="A346" s="15"/>
      <c r="B346" s="15" t="s">
        <v>1582</v>
      </c>
      <c r="C346" s="16" t="s">
        <v>1583</v>
      </c>
      <c r="D346" s="17" t="s">
        <v>1584</v>
      </c>
      <c r="F346">
        <f t="shared" ca="1" si="44"/>
        <v>1177</v>
      </c>
      <c r="G346" t="str">
        <f t="shared" si="45"/>
        <v>ファイルツリー出力</v>
      </c>
    </row>
    <row r="347" spans="1:7" ht="11.25" customHeight="1" outlineLevel="1">
      <c r="A347" s="15"/>
      <c r="B347" s="15" t="s">
        <v>1585</v>
      </c>
      <c r="C347" s="16" t="s">
        <v>1586</v>
      </c>
      <c r="D347" s="17"/>
      <c r="F347">
        <f t="shared" ca="1" si="44"/>
        <v>1178</v>
      </c>
      <c r="G347" t="str">
        <f t="shared" si="45"/>
        <v>ファイル種別表示</v>
      </c>
    </row>
    <row r="348" spans="1:7" ht="11.25" customHeight="1" outlineLevel="1">
      <c r="A348" s="15"/>
      <c r="B348" s="15" t="s">
        <v>1587</v>
      </c>
      <c r="C348" s="16" t="s">
        <v>1588</v>
      </c>
      <c r="D348" s="17"/>
      <c r="F348">
        <f t="shared" ca="1" si="44"/>
        <v>1179</v>
      </c>
      <c r="G348" t="str">
        <f t="shared" si="45"/>
        <v>リンク切れシンボリックリンク一覧表示(再帰的)</v>
      </c>
    </row>
    <row r="349" spans="1:7" ht="11.25" customHeight="1" outlineLevel="1">
      <c r="A349" s="15"/>
      <c r="B349" s="15" t="s">
        <v>1589</v>
      </c>
      <c r="C349" s="16" t="s">
        <v>1590</v>
      </c>
      <c r="D349" s="17"/>
      <c r="F349">
        <f t="shared" ca="1" si="44"/>
        <v>1180</v>
      </c>
      <c r="G349" t="str">
        <f t="shared" si="45"/>
        <v>ファイル数出力(フォルダ配下すべて)</v>
      </c>
    </row>
    <row r="350" spans="1:7" ht="11.25" customHeight="1" outlineLevel="1">
      <c r="A350" s="15"/>
      <c r="B350" s="15" t="s">
        <v>1591</v>
      </c>
      <c r="C350" s="16" t="s">
        <v>1592</v>
      </c>
      <c r="D350" s="17"/>
      <c r="F350">
        <f t="shared" ca="1" si="44"/>
        <v>1181</v>
      </c>
      <c r="G350" t="str">
        <f t="shared" si="45"/>
        <v>ファイル数出力(フォルダ内のみ)</v>
      </c>
    </row>
    <row r="351" spans="1:7" ht="11.25" customHeight="1" outlineLevel="1">
      <c r="A351" s="15"/>
      <c r="B351" s="15" t="s">
        <v>1593</v>
      </c>
      <c r="C351" s="16" t="s">
        <v>1670</v>
      </c>
      <c r="D351" s="17" t="s">
        <v>1671</v>
      </c>
      <c r="F351">
        <f t="shared" ca="1" si="44"/>
        <v>1182</v>
      </c>
      <c r="G351" t="str">
        <f t="shared" si="45"/>
        <v>ファイル名抽出(拡張子含む)</v>
      </c>
    </row>
    <row r="352" spans="1:7" ht="11.25" customHeight="1" outlineLevel="1">
      <c r="A352" s="15"/>
      <c r="B352" s="15" t="s">
        <v>1594</v>
      </c>
      <c r="C352" s="16" t="s">
        <v>1668</v>
      </c>
      <c r="D352" s="17" t="s">
        <v>1669</v>
      </c>
      <c r="F352">
        <f t="shared" ref="F352:F456" ca="1" si="48">IF(G352="",OFFSET(F352,-1,0),OFFSET(F352,-1,0)+1)</f>
        <v>1183</v>
      </c>
      <c r="G352" t="str">
        <f t="shared" ref="G352:G456" si="49">IF(B352="","",B352)</f>
        <v>ディレクトリパス抽出</v>
      </c>
    </row>
    <row r="353" spans="1:7" ht="11.25" customHeight="1" outlineLevel="1">
      <c r="A353" s="15"/>
      <c r="B353" s="15" t="s">
        <v>1595</v>
      </c>
      <c r="C353" s="16" t="s">
        <v>1596</v>
      </c>
      <c r="D353" s="17" t="s">
        <v>1597</v>
      </c>
      <c r="F353">
        <f t="shared" ca="1" si="48"/>
        <v>1184</v>
      </c>
      <c r="G353" t="str">
        <f t="shared" si="49"/>
        <v>ファイルパス移植性確認</v>
      </c>
    </row>
    <row r="354" spans="1:7" ht="11.25" customHeight="1" outlineLevel="1">
      <c r="A354" s="15"/>
      <c r="B354" s="15" t="s">
        <v>1598</v>
      </c>
      <c r="C354" s="16" t="s">
        <v>1599</v>
      </c>
      <c r="D354" s="17"/>
      <c r="F354">
        <f t="shared" ca="1" si="48"/>
        <v>1185</v>
      </c>
      <c r="G354" t="str">
        <f t="shared" si="49"/>
        <v>相対パス→絶対パス変換</v>
      </c>
    </row>
    <row r="355" spans="1:7" ht="11.25" customHeight="1" outlineLevel="1">
      <c r="A355" s="15"/>
      <c r="B355" s="15" t="s">
        <v>1600</v>
      </c>
      <c r="C355" s="16" t="s">
        <v>1901</v>
      </c>
      <c r="D355" s="17" t="s">
        <v>1601</v>
      </c>
      <c r="F355">
        <f t="shared" ca="1" si="48"/>
        <v>1186</v>
      </c>
      <c r="G355" t="str">
        <f t="shared" si="49"/>
        <v>高速ファイル/ディレクトリ検索</v>
      </c>
    </row>
    <row r="356" spans="1:7" ht="11.25" customHeight="1" outlineLevel="1">
      <c r="A356" s="15"/>
      <c r="B356" s="15" t="s">
        <v>1602</v>
      </c>
      <c r="C356" s="16" t="s">
        <v>1603</v>
      </c>
      <c r="D356" s="17"/>
      <c r="F356">
        <f t="shared" ca="1" si="48"/>
        <v>1187</v>
      </c>
      <c r="G356" t="str">
        <f t="shared" si="49"/>
        <v>文章から索引作成</v>
      </c>
    </row>
    <row r="357" spans="1:7" ht="11.25" customHeight="1" outlineLevel="1">
      <c r="A357" s="15"/>
      <c r="B357" s="15" t="s">
        <v>1604</v>
      </c>
      <c r="C357" s="16" t="s">
        <v>1605</v>
      </c>
      <c r="D357" s="17"/>
      <c r="F357">
        <f t="shared" ca="1" si="48"/>
        <v>1188</v>
      </c>
      <c r="G357" t="str">
        <f t="shared" si="49"/>
        <v>ls用色設定コマンド出力</v>
      </c>
    </row>
    <row r="358" spans="1:7" ht="11.25" customHeight="1" outlineLevel="1">
      <c r="A358" s="15"/>
      <c r="B358" s="15" t="s">
        <v>1606</v>
      </c>
      <c r="C358" s="16" t="s">
        <v>1607</v>
      </c>
      <c r="D358" s="17"/>
      <c r="F358">
        <f t="shared" ca="1" si="48"/>
        <v>1189</v>
      </c>
      <c r="G358" t="str">
        <f t="shared" si="49"/>
        <v>16bitチェックサム＆ブロック数(1024Byte単位) 表示</v>
      </c>
    </row>
    <row r="359" spans="1:7" ht="11.25" customHeight="1" outlineLevel="1">
      <c r="A359" s="15"/>
      <c r="B359" s="15" t="s">
        <v>1608</v>
      </c>
      <c r="C359" s="16" t="s">
        <v>1609</v>
      </c>
      <c r="D359" s="17"/>
      <c r="F359">
        <f t="shared" ca="1" si="48"/>
        <v>1190</v>
      </c>
      <c r="G359" t="str">
        <f t="shared" si="49"/>
        <v>CRCチェックサム 表示</v>
      </c>
    </row>
    <row r="360" spans="1:7" ht="11.25" customHeight="1" outlineLevel="1">
      <c r="A360" s="15"/>
      <c r="B360" s="15" t="s">
        <v>1610</v>
      </c>
      <c r="C360" s="16" t="s">
        <v>1611</v>
      </c>
      <c r="D360" s="17"/>
      <c r="F360">
        <f t="shared" ca="1" si="48"/>
        <v>1191</v>
      </c>
      <c r="G360" t="str">
        <f t="shared" si="49"/>
        <v>BLAKE22ハッシュ値 表示</v>
      </c>
    </row>
    <row r="361" spans="1:7" ht="11.25" customHeight="1" outlineLevel="1">
      <c r="A361" s="15"/>
      <c r="B361" s="15" t="s">
        <v>1612</v>
      </c>
      <c r="C361" s="16" t="s">
        <v>1613</v>
      </c>
      <c r="D361" s="17" t="s">
        <v>1635</v>
      </c>
      <c r="F361">
        <f t="shared" ca="1" si="48"/>
        <v>1192</v>
      </c>
      <c r="G361" t="str">
        <f t="shared" si="49"/>
        <v>128bitチェックサム表示</v>
      </c>
    </row>
    <row r="362" spans="1:7" ht="11.25" customHeight="1" outlineLevel="1">
      <c r="A362" s="15"/>
      <c r="B362" s="18" t="s">
        <v>1633</v>
      </c>
      <c r="C362" s="16" t="s">
        <v>1614</v>
      </c>
      <c r="D362" s="17"/>
      <c r="F362">
        <f t="shared" ca="1" si="48"/>
        <v>1193</v>
      </c>
      <c r="G362" t="str">
        <f t="shared" si="49"/>
        <v>SHA-1ダイジェスト計算</v>
      </c>
    </row>
    <row r="363" spans="1:7" ht="11.25" customHeight="1" outlineLevel="1">
      <c r="A363" s="15"/>
      <c r="B363" s="15" t="s">
        <v>1615</v>
      </c>
      <c r="C363" s="16" t="s">
        <v>1616</v>
      </c>
      <c r="D363" s="17"/>
      <c r="F363">
        <f t="shared" ca="1" si="48"/>
        <v>1194</v>
      </c>
      <c r="G363" t="str">
        <f t="shared" si="49"/>
        <v>SHAダイジェスト計算(xxxビット長)</v>
      </c>
    </row>
    <row r="364" spans="1:7" ht="11.25" customHeight="1" outlineLevel="1">
      <c r="A364" s="15"/>
      <c r="B364" s="18" t="s">
        <v>1617</v>
      </c>
      <c r="C364" s="16" t="s">
        <v>1894</v>
      </c>
      <c r="D364" s="17"/>
      <c r="F364">
        <f t="shared" ca="1" si="48"/>
        <v>1195</v>
      </c>
      <c r="G364" t="str">
        <f t="shared" si="49"/>
        <v>Grep</v>
      </c>
    </row>
    <row r="365" spans="1:7" ht="11.25" customHeight="1" outlineLevel="1">
      <c r="A365" s="15"/>
      <c r="B365" s="15" t="s">
        <v>1634</v>
      </c>
      <c r="C365" s="16" t="s">
        <v>1618</v>
      </c>
      <c r="D365" s="17"/>
      <c r="F365">
        <f t="shared" ca="1" si="48"/>
        <v>1196</v>
      </c>
      <c r="G365" t="str">
        <f t="shared" si="49"/>
        <v>Grep(複数行マッチ)</v>
      </c>
    </row>
    <row r="366" spans="1:7" ht="11.25" customHeight="1" outlineLevel="1">
      <c r="A366" s="15"/>
      <c r="B366" s="15" t="s">
        <v>1619</v>
      </c>
      <c r="C366" s="16" t="s">
        <v>1620</v>
      </c>
      <c r="D366" s="17"/>
      <c r="F366">
        <f t="shared" ca="1" si="48"/>
        <v>1197</v>
      </c>
      <c r="G366" t="str">
        <f t="shared" si="49"/>
        <v>Grep置換</v>
      </c>
    </row>
    <row r="367" spans="1:7" ht="11.25" customHeight="1" outlineLevel="1">
      <c r="A367" s="15"/>
      <c r="B367" s="15" t="s">
        <v>1619</v>
      </c>
      <c r="C367" s="16" t="s">
        <v>2080</v>
      </c>
      <c r="D367" s="17"/>
      <c r="F367">
        <f ca="1">IF(G367="",OFFSET(F367,-1,0),OFFSET(F367,-1,0)+1)</f>
        <v>1198</v>
      </c>
      <c r="G367" t="str">
        <f>IF(B367="","",B367)</f>
        <v>Grep置換</v>
      </c>
    </row>
    <row r="368" spans="1:7" ht="11.25" customHeight="1" outlineLevel="1">
      <c r="A368" s="15"/>
      <c r="B368" s="15" t="s">
        <v>1621</v>
      </c>
      <c r="C368" s="16" t="s">
        <v>1663</v>
      </c>
      <c r="D368" s="17" t="s">
        <v>1662</v>
      </c>
      <c r="F368">
        <f t="shared" ca="1" si="48"/>
        <v>1199</v>
      </c>
      <c r="G368" t="str">
        <f t="shared" si="49"/>
        <v>数値単位変換1</v>
      </c>
    </row>
    <row r="369" spans="1:7" ht="11.25" customHeight="1" outlineLevel="1">
      <c r="A369" s="15"/>
      <c r="B369" s="15" t="s">
        <v>1622</v>
      </c>
      <c r="C369" s="16" t="s">
        <v>1664</v>
      </c>
      <c r="D369" s="17" t="s">
        <v>1665</v>
      </c>
      <c r="F369">
        <f t="shared" ca="1" si="48"/>
        <v>1200</v>
      </c>
      <c r="G369" t="str">
        <f t="shared" si="49"/>
        <v>数値単位変換2</v>
      </c>
    </row>
    <row r="370" spans="1:7" ht="11.25" customHeight="1" outlineLevel="1">
      <c r="A370" s="15"/>
      <c r="B370" s="18" t="s">
        <v>1853</v>
      </c>
      <c r="C370" s="16" t="s">
        <v>1853</v>
      </c>
      <c r="D370" s="17"/>
      <c r="F370">
        <f t="shared" ref="F370:F380" ca="1" si="50">IF(G370="",OFFSET(F370,-1,0),OFFSET(F370,-1,0)+1)</f>
        <v>1201</v>
      </c>
      <c r="G370" t="str">
        <f t="shared" ref="G370:G380" si="51">IF(B370="","",B370)</f>
        <v>awk</v>
      </c>
    </row>
    <row r="371" spans="1:7" ht="11.25" customHeight="1" outlineLevel="1">
      <c r="A371" s="15"/>
      <c r="B371" s="15" t="s">
        <v>1854</v>
      </c>
      <c r="C371" s="16" t="s">
        <v>1861</v>
      </c>
      <c r="D371" s="17" t="s">
        <v>1862</v>
      </c>
      <c r="F371">
        <f t="shared" ca="1" si="50"/>
        <v>1202</v>
      </c>
      <c r="G371" t="str">
        <f t="shared" si="51"/>
        <v>awk(出力)</v>
      </c>
    </row>
    <row r="372" spans="1:7" ht="11.25" customHeight="1" outlineLevel="1">
      <c r="A372" s="15"/>
      <c r="B372" s="15" t="s">
        <v>1855</v>
      </c>
      <c r="C372" s="16" t="s">
        <v>1863</v>
      </c>
      <c r="D372" s="17" t="s">
        <v>1864</v>
      </c>
      <c r="F372">
        <f t="shared" ca="1" si="50"/>
        <v>1203</v>
      </c>
      <c r="G372" t="str">
        <f t="shared" si="51"/>
        <v>awk(数値判定)</v>
      </c>
    </row>
    <row r="373" spans="1:7" ht="11.25" customHeight="1" outlineLevel="1">
      <c r="A373" s="15"/>
      <c r="B373" s="15" t="s">
        <v>1856</v>
      </c>
      <c r="C373" s="16" t="s">
        <v>1807</v>
      </c>
      <c r="D373" s="17"/>
      <c r="F373">
        <f t="shared" ca="1" si="50"/>
        <v>1204</v>
      </c>
      <c r="G373" t="str">
        <f t="shared" si="51"/>
        <v>awk(文字列判定)</v>
      </c>
    </row>
    <row r="374" spans="1:7" ht="11.25" customHeight="1" outlineLevel="1">
      <c r="A374" s="15"/>
      <c r="B374" s="15" t="s">
        <v>1857</v>
      </c>
      <c r="C374" s="16" t="s">
        <v>1865</v>
      </c>
      <c r="D374" s="17" t="s">
        <v>1866</v>
      </c>
      <c r="F374">
        <f t="shared" ca="1" si="50"/>
        <v>1205</v>
      </c>
      <c r="G374" t="str">
        <f t="shared" si="51"/>
        <v>awk(区切り文字指定)</v>
      </c>
    </row>
    <row r="375" spans="1:7" ht="11.25" customHeight="1" outlineLevel="1">
      <c r="A375" s="15"/>
      <c r="B375" s="18" t="s">
        <v>1858</v>
      </c>
      <c r="C375" s="16" t="s">
        <v>1988</v>
      </c>
      <c r="D375" s="17" t="s">
        <v>1867</v>
      </c>
      <c r="F375">
        <f t="shared" ca="1" si="50"/>
        <v>1206</v>
      </c>
      <c r="G375" t="str">
        <f t="shared" si="51"/>
        <v>awk(スクリプト実行)</v>
      </c>
    </row>
    <row r="376" spans="1:7" ht="11.25" customHeight="1" outlineLevel="1">
      <c r="A376" s="15"/>
      <c r="B376" s="15" t="s">
        <v>1859</v>
      </c>
      <c r="C376" s="16" t="s">
        <v>1868</v>
      </c>
      <c r="D376" s="17" t="s">
        <v>1870</v>
      </c>
      <c r="F376">
        <f t="shared" ca="1" si="50"/>
        <v>1207</v>
      </c>
      <c r="G376" t="str">
        <f t="shared" si="51"/>
        <v>awk(パターンマッチ)</v>
      </c>
    </row>
    <row r="377" spans="1:7" ht="11.25" customHeight="1" outlineLevel="1">
      <c r="A377" s="15"/>
      <c r="B377" s="15" t="s">
        <v>1859</v>
      </c>
      <c r="C377" s="16" t="s">
        <v>1869</v>
      </c>
      <c r="D377" s="17" t="s">
        <v>1871</v>
      </c>
      <c r="F377">
        <f t="shared" ca="1" si="50"/>
        <v>1208</v>
      </c>
      <c r="G377" t="str">
        <f t="shared" si="51"/>
        <v>awk(パターンマッチ)</v>
      </c>
    </row>
    <row r="378" spans="1:7" ht="11.25" customHeight="1" outlineLevel="1">
      <c r="A378" s="15"/>
      <c r="B378" s="15" t="s">
        <v>2356</v>
      </c>
      <c r="C378" s="16" t="s">
        <v>2358</v>
      </c>
      <c r="D378" s="17"/>
      <c r="F378">
        <f ca="1">IF(G378="",OFFSET(F378,-1,0),OFFSET(F378,-1,0)+1)</f>
        <v>1209</v>
      </c>
      <c r="G378" t="str">
        <f>IF(B378="","",B378)</f>
        <v>画像拡大縮小（解像度指定）</v>
      </c>
    </row>
    <row r="379" spans="1:7" ht="11.25" customHeight="1" outlineLevel="1">
      <c r="A379" s="15"/>
      <c r="B379" s="15" t="s">
        <v>2357</v>
      </c>
      <c r="C379" s="16" t="s">
        <v>2359</v>
      </c>
      <c r="D379" s="17"/>
      <c r="F379">
        <f ca="1">IF(G379="",OFFSET(F379,-1,0),OFFSET(F379,-1,0)+1)</f>
        <v>1210</v>
      </c>
      <c r="G379" t="str">
        <f>IF(B379="","",B379)</f>
        <v>画像拡大縮小（割合指定）</v>
      </c>
    </row>
    <row r="380" spans="1:7" ht="11.25" customHeight="1">
      <c r="A380" s="12" t="s">
        <v>1637</v>
      </c>
      <c r="B380" s="13"/>
      <c r="C380" s="13"/>
      <c r="D380" s="14" t="s">
        <v>122</v>
      </c>
      <c r="E380" t="s">
        <v>122</v>
      </c>
      <c r="F380">
        <f t="shared" ca="1" si="50"/>
        <v>1210</v>
      </c>
      <c r="G380" t="str">
        <f t="shared" si="51"/>
        <v/>
      </c>
    </row>
    <row r="381" spans="1:7" ht="11.25" customHeight="1" outlineLevel="1">
      <c r="A381" s="15"/>
      <c r="B381" s="15" t="s">
        <v>2771</v>
      </c>
      <c r="C381" s="16" t="s">
        <v>1661</v>
      </c>
      <c r="D381" s="17" t="s">
        <v>1658</v>
      </c>
      <c r="F381">
        <f t="shared" ca="1" si="48"/>
        <v>1211</v>
      </c>
      <c r="G381" t="str">
        <f t="shared" si="49"/>
        <v>文字置換(文字単位)(translate)</v>
      </c>
    </row>
    <row r="382" spans="1:7" ht="11.25" customHeight="1" outlineLevel="1">
      <c r="A382" s="15"/>
      <c r="B382" s="15" t="s">
        <v>2770</v>
      </c>
      <c r="C382" s="16" t="s">
        <v>1660</v>
      </c>
      <c r="D382" s="17" t="s">
        <v>1659</v>
      </c>
      <c r="F382">
        <f t="shared" ca="1" si="48"/>
        <v>1212</v>
      </c>
      <c r="G382" t="str">
        <f t="shared" si="49"/>
        <v>文字置換(文字単位)(translate)</v>
      </c>
    </row>
    <row r="383" spans="1:7" ht="11.25" customHeight="1" outlineLevel="1">
      <c r="A383" s="15"/>
      <c r="B383" s="15" t="s">
        <v>2771</v>
      </c>
      <c r="C383" s="16" t="s">
        <v>1666</v>
      </c>
      <c r="D383" s="17" t="s">
        <v>1667</v>
      </c>
      <c r="F383">
        <f t="shared" ca="1" si="48"/>
        <v>1213</v>
      </c>
      <c r="G383" t="str">
        <f t="shared" si="49"/>
        <v>文字置換(文字単位)(translate)</v>
      </c>
    </row>
    <row r="384" spans="1:7" ht="11.25" customHeight="1" outlineLevel="1">
      <c r="A384" s="15"/>
      <c r="B384" s="15" t="s">
        <v>2353</v>
      </c>
      <c r="C384" s="16" t="s">
        <v>2354</v>
      </c>
      <c r="D384" s="17"/>
      <c r="F384">
        <f ca="1">IF(G384="",OFFSET(F384,-1,0),OFFSET(F384,-1,0)+1)</f>
        <v>1214</v>
      </c>
      <c r="G384" t="str">
        <f>IF(B384="","",B384)</f>
        <v>空行削除</v>
      </c>
    </row>
    <row r="385" spans="1:7" ht="11.25" customHeight="1" outlineLevel="1">
      <c r="A385" s="15"/>
      <c r="B385" s="15" t="s">
        <v>2772</v>
      </c>
      <c r="C385" s="16" t="s">
        <v>1640</v>
      </c>
      <c r="D385" s="17"/>
      <c r="F385">
        <f t="shared" ca="1" si="48"/>
        <v>1215</v>
      </c>
      <c r="G385" t="str">
        <f t="shared" si="49"/>
        <v>文字列置換</v>
      </c>
    </row>
    <row r="386" spans="1:7" ht="11.25" customHeight="1" outlineLevel="1">
      <c r="A386" s="15"/>
      <c r="B386" s="15" t="s">
        <v>2779</v>
      </c>
      <c r="C386" s="16" t="s">
        <v>2780</v>
      </c>
      <c r="D386" s="17" t="s">
        <v>2781</v>
      </c>
      <c r="F386">
        <f ca="1">IF(G386="",OFFSET(F386,-1,0),OFFSET(F386,-1,0)+1)</f>
        <v>1216</v>
      </c>
      <c r="G386" t="str">
        <f>IF(B386="","",B386)</f>
        <v>文字列置換(正規表現置換)</v>
      </c>
    </row>
    <row r="387" spans="1:7" ht="11.25" customHeight="1" outlineLevel="1">
      <c r="A387" s="15"/>
      <c r="B387" s="15" t="s">
        <v>3237</v>
      </c>
      <c r="C387" s="16" t="s">
        <v>3233</v>
      </c>
      <c r="D387" s="17"/>
      <c r="F387">
        <f t="shared" ca="1" si="48"/>
        <v>1217</v>
      </c>
      <c r="G387" t="str">
        <f t="shared" si="49"/>
        <v>文字列置換(ファイル直接編集)＠sed</v>
      </c>
    </row>
    <row r="388" spans="1:7" ht="11.25" customHeight="1" outlineLevel="1">
      <c r="A388" s="15"/>
      <c r="B388" s="15" t="s">
        <v>3238</v>
      </c>
      <c r="C388" s="16" t="s">
        <v>1643</v>
      </c>
      <c r="D388" s="17"/>
      <c r="F388">
        <f t="shared" ca="1" si="48"/>
        <v>1218</v>
      </c>
      <c r="G388" t="str">
        <f t="shared" si="49"/>
        <v>文字列置換(ファイル直接編集＆バックアップ)＠sed</v>
      </c>
    </row>
    <row r="389" spans="1:7" ht="11.25" customHeight="1" outlineLevel="1">
      <c r="A389" s="15"/>
      <c r="B389" s="15" t="s">
        <v>3236</v>
      </c>
      <c r="C389" s="16" t="s">
        <v>3235</v>
      </c>
      <c r="D389" s="17"/>
      <c r="F389">
        <f t="shared" ref="F389" ca="1" si="52">IF(G389="",OFFSET(F389,-1,0),OFFSET(F389,-1,0)+1)</f>
        <v>1219</v>
      </c>
      <c r="G389" t="str">
        <f t="shared" ref="G389" si="53">IF(B389="","",B389)</f>
        <v>文字列置換(ファイル直接編集)＠Perl</v>
      </c>
    </row>
    <row r="390" spans="1:7" ht="11.25" customHeight="1" outlineLevel="1">
      <c r="A390" s="15"/>
      <c r="B390" s="15" t="s">
        <v>2773</v>
      </c>
      <c r="C390" s="16" t="s">
        <v>1645</v>
      </c>
      <c r="D390" s="17"/>
      <c r="F390">
        <f t="shared" ca="1" si="48"/>
        <v>1220</v>
      </c>
      <c r="G390" t="str">
        <f t="shared" si="49"/>
        <v>文字列挿入1(5行目の前)</v>
      </c>
    </row>
    <row r="391" spans="1:7" ht="11.25" customHeight="1" outlineLevel="1">
      <c r="A391" s="15"/>
      <c r="B391" s="15" t="s">
        <v>2774</v>
      </c>
      <c r="C391" s="16" t="s">
        <v>1647</v>
      </c>
      <c r="D391" s="17"/>
      <c r="F391">
        <f t="shared" ca="1" si="48"/>
        <v>1221</v>
      </c>
      <c r="G391" t="str">
        <f t="shared" si="49"/>
        <v>文字列挿入1(5行目の後)</v>
      </c>
    </row>
    <row r="392" spans="1:7" ht="11.25" customHeight="1" outlineLevel="1">
      <c r="A392" s="15"/>
      <c r="B392" s="15" t="s">
        <v>2775</v>
      </c>
      <c r="C392" s="16" t="s">
        <v>1649</v>
      </c>
      <c r="D392" s="17"/>
      <c r="F392">
        <f t="shared" ca="1" si="48"/>
        <v>1222</v>
      </c>
      <c r="G392" t="str">
        <f t="shared" si="49"/>
        <v>文字列挿入2(5行目の前)</v>
      </c>
    </row>
    <row r="393" spans="1:7" ht="11.25" customHeight="1" outlineLevel="1">
      <c r="A393" s="15"/>
      <c r="B393" s="15" t="s">
        <v>2776</v>
      </c>
      <c r="C393" s="16" t="s">
        <v>1651</v>
      </c>
      <c r="D393" s="17"/>
      <c r="F393">
        <f t="shared" ca="1" si="48"/>
        <v>1223</v>
      </c>
      <c r="G393" t="str">
        <f t="shared" si="49"/>
        <v>文字列挿入2(5行目の後)</v>
      </c>
    </row>
    <row r="394" spans="1:7" ht="11.25" customHeight="1" outlineLevel="1">
      <c r="A394" s="15"/>
      <c r="B394" s="15" t="s">
        <v>2777</v>
      </c>
      <c r="C394" s="16" t="s">
        <v>1653</v>
      </c>
      <c r="D394" s="17"/>
      <c r="F394">
        <f t="shared" ca="1" si="48"/>
        <v>1224</v>
      </c>
      <c r="G394" t="str">
        <f t="shared" si="49"/>
        <v>文字列削除(10行目)</v>
      </c>
    </row>
    <row r="395" spans="1:7" ht="11.25" customHeight="1" outlineLevel="1">
      <c r="A395" s="15"/>
      <c r="B395" s="15" t="s">
        <v>2778</v>
      </c>
      <c r="C395" s="16" t="s">
        <v>1655</v>
      </c>
      <c r="D395" s="17"/>
      <c r="F395">
        <f t="shared" ca="1" si="48"/>
        <v>1225</v>
      </c>
      <c r="G395" t="str">
        <f t="shared" si="49"/>
        <v>文字列出力(5行目)</v>
      </c>
    </row>
    <row r="396" spans="1:7" ht="11.25" customHeight="1" outlineLevel="1">
      <c r="A396" s="15"/>
      <c r="B396" s="15" t="s">
        <v>1656</v>
      </c>
      <c r="C396" s="16" t="s">
        <v>1657</v>
      </c>
      <c r="D396" s="17"/>
      <c r="F396">
        <f t="shared" ca="1" si="48"/>
        <v>1226</v>
      </c>
      <c r="G396" t="str">
        <f t="shared" si="49"/>
        <v>数字列出力</v>
      </c>
    </row>
    <row r="397" spans="1:7" ht="11.25" customHeight="1">
      <c r="A397" s="12" t="s">
        <v>2876</v>
      </c>
      <c r="B397" s="13"/>
      <c r="C397" s="13"/>
      <c r="D397" s="14" t="s">
        <v>122</v>
      </c>
      <c r="E397" t="s">
        <v>122</v>
      </c>
      <c r="F397">
        <f t="shared" ref="F397:F405" ca="1" si="54">IF(G397="",OFFSET(F397,-1,0),OFFSET(F397,-1,0)+1)</f>
        <v>1226</v>
      </c>
      <c r="G397" t="str">
        <f t="shared" ref="G397:G405" si="55">IF(B397="","",B397)</f>
        <v/>
      </c>
    </row>
    <row r="398" spans="1:7" ht="11.25" customHeight="1" outlineLevel="1">
      <c r="A398" s="15"/>
      <c r="B398" s="15" t="s">
        <v>2055</v>
      </c>
      <c r="C398" s="16" t="s">
        <v>2062</v>
      </c>
      <c r="D398" s="25" t="s">
        <v>1385</v>
      </c>
      <c r="F398">
        <f t="shared" ca="1" si="54"/>
        <v>1227</v>
      </c>
      <c r="G398" t="str">
        <f t="shared" si="55"/>
        <v>パッケージインストール</v>
      </c>
    </row>
    <row r="399" spans="1:7" ht="11.25" customHeight="1" outlineLevel="1">
      <c r="A399" s="15"/>
      <c r="B399" s="15" t="s">
        <v>2054</v>
      </c>
      <c r="C399" s="16" t="s">
        <v>2063</v>
      </c>
      <c r="D399" s="17" t="s">
        <v>2060</v>
      </c>
      <c r="F399">
        <f t="shared" ca="1" si="54"/>
        <v>1228</v>
      </c>
      <c r="G399" t="str">
        <f t="shared" si="55"/>
        <v>パッケージ更新(特定パッケージのみ)</v>
      </c>
    </row>
    <row r="400" spans="1:7" ht="11.25" customHeight="1" outlineLevel="1">
      <c r="A400" s="15"/>
      <c r="B400" s="15" t="s">
        <v>2056</v>
      </c>
      <c r="C400" s="16" t="s">
        <v>2064</v>
      </c>
      <c r="D400" s="17" t="s">
        <v>1965</v>
      </c>
      <c r="F400">
        <f t="shared" ca="1" si="54"/>
        <v>1229</v>
      </c>
      <c r="G400" t="str">
        <f t="shared" si="55"/>
        <v>パッケージ一覧更新</v>
      </c>
    </row>
    <row r="401" spans="1:7" ht="11.25" customHeight="1" outlineLevel="1">
      <c r="A401" s="15"/>
      <c r="B401" s="15" t="s">
        <v>2057</v>
      </c>
      <c r="C401" s="16" t="s">
        <v>2065</v>
      </c>
      <c r="D401" s="17"/>
      <c r="F401">
        <f t="shared" ca="1" si="54"/>
        <v>1230</v>
      </c>
      <c r="G401" t="str">
        <f t="shared" si="55"/>
        <v>パッケージ更新</v>
      </c>
    </row>
    <row r="402" spans="1:7" ht="11.25" customHeight="1" outlineLevel="1">
      <c r="A402" s="15"/>
      <c r="B402" s="15" t="s">
        <v>2073</v>
      </c>
      <c r="C402" s="16" t="s">
        <v>2066</v>
      </c>
      <c r="D402" s="17"/>
      <c r="F402">
        <f t="shared" ca="1" si="54"/>
        <v>1231</v>
      </c>
      <c r="G402" t="str">
        <f t="shared" si="55"/>
        <v>パッケージ削除(パッケージのみ削除)</v>
      </c>
    </row>
    <row r="403" spans="1:7" ht="11.25" customHeight="1" outlineLevel="1">
      <c r="A403" s="15"/>
      <c r="B403" s="15" t="s">
        <v>2072</v>
      </c>
      <c r="C403" s="16" t="s">
        <v>2071</v>
      </c>
      <c r="D403" s="17"/>
      <c r="F403">
        <f t="shared" ca="1" si="54"/>
        <v>1232</v>
      </c>
      <c r="G403" t="str">
        <f t="shared" si="55"/>
        <v>パッケージ削除(パッケージ＋設定削除)</v>
      </c>
    </row>
    <row r="404" spans="1:7" ht="11.25" customHeight="1" outlineLevel="1">
      <c r="A404" s="15"/>
      <c r="B404" s="15" t="s">
        <v>2061</v>
      </c>
      <c r="C404" s="16" t="s">
        <v>2074</v>
      </c>
      <c r="D404" s="17"/>
      <c r="F404">
        <f t="shared" ca="1" si="54"/>
        <v>1233</v>
      </c>
      <c r="G404" t="str">
        <f t="shared" si="55"/>
        <v>パッケージ削除(不要なものを自動削除)</v>
      </c>
    </row>
    <row r="405" spans="1:7" ht="11.25" customHeight="1" outlineLevel="1">
      <c r="A405" s="15"/>
      <c r="B405" s="15" t="s">
        <v>2051</v>
      </c>
      <c r="C405" s="16" t="s">
        <v>2067</v>
      </c>
      <c r="D405" s="17"/>
      <c r="F405">
        <f t="shared" ca="1" si="54"/>
        <v>1234</v>
      </c>
      <c r="G405" t="str">
        <f t="shared" si="55"/>
        <v>パッケージ一覧表示</v>
      </c>
    </row>
    <row r="406" spans="1:7" ht="11.25" customHeight="1" outlineLevel="1">
      <c r="A406" s="15"/>
      <c r="B406" s="15" t="s">
        <v>2052</v>
      </c>
      <c r="C406" s="16" t="s">
        <v>2068</v>
      </c>
      <c r="D406" s="17"/>
      <c r="F406">
        <f t="shared" ref="F406:F412" ca="1" si="56">IF(G406="",OFFSET(F406,-1,0),OFFSET(F406,-1,0)+1)</f>
        <v>1235</v>
      </c>
      <c r="G406" t="str">
        <f t="shared" ref="G406:G412" si="57">IF(B406="","",B406)</f>
        <v>パッケージバージョン一覧確認</v>
      </c>
    </row>
    <row r="407" spans="1:7" ht="11.25" customHeight="1" outlineLevel="1">
      <c r="A407" s="15"/>
      <c r="B407" s="15" t="s">
        <v>2052</v>
      </c>
      <c r="C407" s="16" t="s">
        <v>2047</v>
      </c>
      <c r="D407" s="17"/>
      <c r="F407">
        <f t="shared" ca="1" si="56"/>
        <v>1236</v>
      </c>
      <c r="G407" t="str">
        <f t="shared" si="57"/>
        <v>パッケージバージョン一覧確認</v>
      </c>
    </row>
    <row r="408" spans="1:7" ht="11.25" customHeight="1" outlineLevel="1">
      <c r="A408" s="15"/>
      <c r="B408" s="15" t="s">
        <v>2049</v>
      </c>
      <c r="C408" s="16" t="s">
        <v>2048</v>
      </c>
      <c r="D408" s="17"/>
      <c r="F408">
        <f t="shared" ca="1" si="56"/>
        <v>1237</v>
      </c>
      <c r="G408" t="str">
        <f t="shared" si="57"/>
        <v>パッケージ格納先確認</v>
      </c>
    </row>
    <row r="409" spans="1:7" ht="11.25" customHeight="1" outlineLevel="1">
      <c r="A409" s="15"/>
      <c r="B409" s="15" t="s">
        <v>2050</v>
      </c>
      <c r="C409" s="16" t="s">
        <v>3181</v>
      </c>
      <c r="D409" s="17"/>
      <c r="F409">
        <f t="shared" ca="1" si="56"/>
        <v>1238</v>
      </c>
      <c r="G409" t="str">
        <f t="shared" si="57"/>
        <v>パッケージ検索</v>
      </c>
    </row>
    <row r="410" spans="1:7" ht="11.25" customHeight="1" outlineLevel="1">
      <c r="A410" s="15"/>
      <c r="B410" s="15" t="s">
        <v>2053</v>
      </c>
      <c r="C410" s="16" t="s">
        <v>2069</v>
      </c>
      <c r="D410" s="17"/>
      <c r="F410">
        <f t="shared" ca="1" si="56"/>
        <v>1239</v>
      </c>
      <c r="G410" t="str">
        <f t="shared" si="57"/>
        <v>アップブレード可能パッケージ確認</v>
      </c>
    </row>
    <row r="411" spans="1:7" ht="11.25" customHeight="1" outlineLevel="1">
      <c r="A411" s="15"/>
      <c r="B411" s="15" t="s">
        <v>2058</v>
      </c>
      <c r="C411" s="16" t="s">
        <v>2070</v>
      </c>
      <c r="D411" s="17"/>
      <c r="F411">
        <f ca="1">IF(G411="",OFFSET(F411,-1,0),OFFSET(F411,-1,0)+1)</f>
        <v>1240</v>
      </c>
      <c r="G411" t="str">
        <f>IF(B411="","",B411)</f>
        <v>パッケージ情報表示</v>
      </c>
    </row>
    <row r="412" spans="1:7" ht="11.25" customHeight="1" outlineLevel="1">
      <c r="A412" s="15"/>
      <c r="B412" s="15" t="s">
        <v>2059</v>
      </c>
      <c r="C412" s="16" t="s">
        <v>2048</v>
      </c>
      <c r="D412" s="17"/>
      <c r="F412">
        <f t="shared" ca="1" si="56"/>
        <v>1241</v>
      </c>
      <c r="G412" t="str">
        <f t="shared" si="57"/>
        <v>パッケージインストールファイル表示</v>
      </c>
    </row>
    <row r="413" spans="1:7" ht="11.25" customHeight="1" outlineLevel="1">
      <c r="A413" s="15"/>
      <c r="B413" s="15" t="s">
        <v>2875</v>
      </c>
      <c r="C413" s="16" t="s">
        <v>2874</v>
      </c>
      <c r="D413" s="17"/>
      <c r="F413">
        <f ca="1">IF(G413="",OFFSET(F413,-1,0),OFFSET(F413,-1,0)+1)</f>
        <v>1242</v>
      </c>
      <c r="G413" t="str">
        <f>IF(B413="","",B413)</f>
        <v>yum パッケージインストール(RedHat系)</v>
      </c>
    </row>
    <row r="414" spans="1:7" ht="11.25" customHeight="1" outlineLevel="1">
      <c r="A414" s="15"/>
      <c r="B414" s="15" t="s">
        <v>2870</v>
      </c>
      <c r="C414" s="16" t="s">
        <v>2927</v>
      </c>
      <c r="D414" s="17"/>
      <c r="F414">
        <f t="shared" ref="F414:F419" ca="1" si="58">IF(G414="",OFFSET(F414,-1,0),OFFSET(F414,-1,0)+1)</f>
        <v>1243</v>
      </c>
      <c r="G414" t="str">
        <f t="shared" ref="G414:G419" si="59">IF(B414="","",B414)</f>
        <v>pip パッケージインストール</v>
      </c>
    </row>
    <row r="415" spans="1:7" ht="11.25" customHeight="1" outlineLevel="1">
      <c r="A415" s="15"/>
      <c r="B415" s="15" t="s">
        <v>2873</v>
      </c>
      <c r="C415" s="16" t="s">
        <v>2931</v>
      </c>
      <c r="D415" s="17"/>
      <c r="F415">
        <f ca="1">IF(G415="",OFFSET(F415,-1,0),OFFSET(F415,-1,0)+1)</f>
        <v>1244</v>
      </c>
      <c r="G415" t="str">
        <f>IF(B415="","",B415)</f>
        <v>pip パッケージインストール（特定バージョン）</v>
      </c>
    </row>
    <row r="416" spans="1:7" ht="11.25" customHeight="1" outlineLevel="1">
      <c r="A416" s="15"/>
      <c r="B416" s="15" t="s">
        <v>2871</v>
      </c>
      <c r="C416" s="16" t="s">
        <v>2928</v>
      </c>
      <c r="D416" s="17"/>
      <c r="F416">
        <f ca="1">IF(G416="",OFFSET(F416,-1,0),OFFSET(F416,-1,0)+1)</f>
        <v>1245</v>
      </c>
      <c r="G416" t="str">
        <f>IF(B416="","",B416)</f>
        <v>pip パッケージアンインストール</v>
      </c>
    </row>
    <row r="417" spans="1:7" ht="11.25" customHeight="1" outlineLevel="1">
      <c r="A417" s="15"/>
      <c r="B417" s="15" t="s">
        <v>2872</v>
      </c>
      <c r="C417" s="16" t="s">
        <v>2929</v>
      </c>
      <c r="D417" s="17"/>
      <c r="F417">
        <f t="shared" ca="1" si="58"/>
        <v>1246</v>
      </c>
      <c r="G417" t="str">
        <f t="shared" si="59"/>
        <v>pip パッケージインストール可能バージョン確認</v>
      </c>
    </row>
    <row r="418" spans="1:7" ht="11.25" customHeight="1" outlineLevel="1">
      <c r="A418" s="15"/>
      <c r="B418" s="15" t="s">
        <v>2926</v>
      </c>
      <c r="C418" s="16" t="s">
        <v>2930</v>
      </c>
      <c r="D418" s="17"/>
      <c r="F418">
        <f ca="1">IF(G418="",OFFSET(F418,-1,0),OFFSET(F418,-1,0)+1)</f>
        <v>1247</v>
      </c>
      <c r="G418" t="str">
        <f>IF(B418="","",B418)</f>
        <v>pip パッケージインストール有無確認</v>
      </c>
    </row>
    <row r="419" spans="1:7" ht="11.25" customHeight="1">
      <c r="A419" s="12" t="s">
        <v>1672</v>
      </c>
      <c r="B419" s="13"/>
      <c r="C419" s="13"/>
      <c r="D419" s="14" t="s">
        <v>122</v>
      </c>
      <c r="E419" t="s">
        <v>122</v>
      </c>
      <c r="F419">
        <f t="shared" ca="1" si="58"/>
        <v>1247</v>
      </c>
      <c r="G419" t="str">
        <f t="shared" si="59"/>
        <v/>
      </c>
    </row>
    <row r="420" spans="1:7" ht="11.25" customHeight="1" outlineLevel="1">
      <c r="A420" s="15"/>
      <c r="B420" s="15" t="s">
        <v>1332</v>
      </c>
      <c r="C420" s="16" t="s">
        <v>1333</v>
      </c>
      <c r="D420" s="17"/>
      <c r="F420">
        <f ca="1">IF(G420="",OFFSET(F420,-1,0),OFFSET(F420,-1,0)+1)</f>
        <v>1248</v>
      </c>
      <c r="G420" t="str">
        <f>IF(B420="","",B420)</f>
        <v>コマンド格納先表示</v>
      </c>
    </row>
    <row r="421" spans="1:7" ht="11.25" customHeight="1" outlineLevel="1">
      <c r="A421" s="15"/>
      <c r="B421" s="15" t="s">
        <v>1332</v>
      </c>
      <c r="C421" s="16" t="s">
        <v>1334</v>
      </c>
      <c r="D421" s="17" t="s">
        <v>1335</v>
      </c>
      <c r="F421">
        <f ca="1">IF(G421="",OFFSET(F421,-1,0),OFFSET(F421,-1,0)+1)</f>
        <v>1249</v>
      </c>
      <c r="G421" t="str">
        <f>IF(B421="","",B421)</f>
        <v>コマンド格納先表示</v>
      </c>
    </row>
    <row r="422" spans="1:7" ht="11.25" customHeight="1" outlineLevel="1">
      <c r="A422" s="15"/>
      <c r="B422" s="15" t="s">
        <v>1336</v>
      </c>
      <c r="C422" s="16" t="s">
        <v>1337</v>
      </c>
      <c r="D422" s="17"/>
      <c r="F422">
        <f ca="1">IF(G422="",OFFSET(F422,-1,0),OFFSET(F422,-1,0)+1)</f>
        <v>1250</v>
      </c>
      <c r="G422" t="str">
        <f>IF(B422="","",B422)</f>
        <v>コマンド簡易説明表示</v>
      </c>
    </row>
    <row r="423" spans="1:7" ht="11.25" customHeight="1" outlineLevel="1">
      <c r="A423" s="15"/>
      <c r="B423" s="15" t="s">
        <v>1338</v>
      </c>
      <c r="C423" s="16" t="s">
        <v>1339</v>
      </c>
      <c r="D423" s="17"/>
      <c r="F423">
        <f ca="1">IF(G423="",OFFSET(F423,-1,0),OFFSET(F423,-1,0)+1)</f>
        <v>1251</v>
      </c>
      <c r="G423" t="str">
        <f>IF(B423="","",B423)</f>
        <v>コマンドエイリアス確認</v>
      </c>
    </row>
    <row r="424" spans="1:7" ht="11.25" customHeight="1" outlineLevel="1">
      <c r="A424" s="15"/>
      <c r="B424" s="15" t="s">
        <v>1340</v>
      </c>
      <c r="C424" s="16" t="s">
        <v>1341</v>
      </c>
      <c r="D424" s="17"/>
      <c r="F424">
        <f ca="1">IF(G424="",OFFSET(F424,-1,0),OFFSET(F424,-1,0)+1)</f>
        <v>1252</v>
      </c>
      <c r="G424" t="str">
        <f>IF(B424="","",B424)</f>
        <v>コマンドキーワード検索</v>
      </c>
    </row>
    <row r="425" spans="1:7" ht="11.25" customHeight="1" outlineLevel="1">
      <c r="A425" s="15"/>
      <c r="B425" s="15" t="s">
        <v>1673</v>
      </c>
      <c r="C425" s="16" t="s">
        <v>1674</v>
      </c>
      <c r="D425" s="17"/>
      <c r="F425">
        <f t="shared" ca="1" si="48"/>
        <v>1253</v>
      </c>
      <c r="G425" t="str">
        <f t="shared" si="49"/>
        <v>フォルダ使用容量表示(disk usage)</v>
      </c>
    </row>
    <row r="426" spans="1:7" ht="11.25" customHeight="1" outlineLevel="1">
      <c r="A426" s="15"/>
      <c r="B426" s="15" t="s">
        <v>1675</v>
      </c>
      <c r="C426" s="16" t="s">
        <v>1676</v>
      </c>
      <c r="D426" s="17"/>
      <c r="F426">
        <f t="shared" ca="1" si="48"/>
        <v>1254</v>
      </c>
      <c r="G426" t="str">
        <f t="shared" si="49"/>
        <v>ディスク空き容量表示(disk free)</v>
      </c>
    </row>
    <row r="427" spans="1:7" ht="11.25" customHeight="1" outlineLevel="1">
      <c r="A427" s="15"/>
      <c r="B427" s="15" t="s">
        <v>1677</v>
      </c>
      <c r="C427" s="16" t="s">
        <v>1678</v>
      </c>
      <c r="D427" s="17"/>
      <c r="F427">
        <f t="shared" ca="1" si="48"/>
        <v>1255</v>
      </c>
      <c r="G427" t="str">
        <f t="shared" si="49"/>
        <v>ディレクトリサイズ表示(disk usage)</v>
      </c>
    </row>
    <row r="428" spans="1:7" ht="11.25" customHeight="1" outlineLevel="1">
      <c r="A428" s="15"/>
      <c r="B428" s="15" t="s">
        <v>1679</v>
      </c>
      <c r="C428" s="16" t="s">
        <v>1680</v>
      </c>
      <c r="D428" s="17"/>
      <c r="F428">
        <f t="shared" ca="1" si="48"/>
        <v>1256</v>
      </c>
      <c r="G428" t="str">
        <f t="shared" si="49"/>
        <v>メモリ使用状況表示</v>
      </c>
    </row>
    <row r="429" spans="1:7" ht="11.25" customHeight="1" outlineLevel="1">
      <c r="A429" s="15"/>
      <c r="B429" s="15" t="s">
        <v>1681</v>
      </c>
      <c r="C429" s="16" t="s">
        <v>1682</v>
      </c>
      <c r="D429" s="17"/>
      <c r="F429">
        <f t="shared" ca="1" si="48"/>
        <v>1257</v>
      </c>
      <c r="G429" t="str">
        <f t="shared" si="49"/>
        <v>CPU/メモリ使用状況確認</v>
      </c>
    </row>
    <row r="430" spans="1:7" ht="11.25" customHeight="1" outlineLevel="1">
      <c r="A430" s="15"/>
      <c r="B430" s="15" t="s">
        <v>1683</v>
      </c>
      <c r="C430" s="16" t="s">
        <v>1684</v>
      </c>
      <c r="D430" s="17"/>
      <c r="F430">
        <f t="shared" ca="1" si="48"/>
        <v>1258</v>
      </c>
      <c r="G430" t="str">
        <f t="shared" si="49"/>
        <v>ファイル作成/更新日時表示</v>
      </c>
    </row>
    <row r="431" spans="1:7" ht="11.25" customHeight="1" outlineLevel="1">
      <c r="A431" s="15"/>
      <c r="B431" s="15" t="s">
        <v>1685</v>
      </c>
      <c r="C431" s="16" t="s">
        <v>1686</v>
      </c>
      <c r="D431" s="17"/>
      <c r="F431">
        <f t="shared" ca="1" si="48"/>
        <v>1259</v>
      </c>
      <c r="G431" t="str">
        <f t="shared" si="49"/>
        <v>ファイル作成/更新日時表示(リンク先情報)</v>
      </c>
    </row>
    <row r="432" spans="1:7" ht="11.25" customHeight="1" outlineLevel="1">
      <c r="A432" s="15"/>
      <c r="B432" s="15" t="s">
        <v>1687</v>
      </c>
      <c r="C432" s="16" t="s">
        <v>1688</v>
      </c>
      <c r="D432" s="17"/>
      <c r="F432">
        <f t="shared" ca="1" si="48"/>
        <v>1260</v>
      </c>
      <c r="G432" t="str">
        <f t="shared" si="49"/>
        <v>ファイル作成/更新日時表示(ファイルシステム情報)</v>
      </c>
    </row>
    <row r="433" spans="1:7" ht="11.25" customHeight="1" outlineLevel="1">
      <c r="A433" s="15"/>
      <c r="B433" s="15" t="s">
        <v>1689</v>
      </c>
      <c r="C433" s="16" t="s">
        <v>1690</v>
      </c>
      <c r="D433" s="17"/>
      <c r="F433">
        <f t="shared" ca="1" si="48"/>
        <v>1261</v>
      </c>
      <c r="G433" t="str">
        <f t="shared" si="49"/>
        <v>実行中ジョブ確認</v>
      </c>
    </row>
    <row r="434" spans="1:7" ht="11.25" customHeight="1" outlineLevel="1">
      <c r="A434" s="15"/>
      <c r="B434" s="15" t="s">
        <v>1691</v>
      </c>
      <c r="C434" s="16" t="s">
        <v>1692</v>
      </c>
      <c r="D434" s="17"/>
      <c r="F434">
        <f t="shared" ca="1" si="48"/>
        <v>1262</v>
      </c>
      <c r="G434" t="str">
        <f t="shared" si="49"/>
        <v>ジョブフォアグラウンド化</v>
      </c>
    </row>
    <row r="435" spans="1:7" ht="11.25" customHeight="1" outlineLevel="1">
      <c r="A435" s="15"/>
      <c r="B435" s="15" t="s">
        <v>1693</v>
      </c>
      <c r="C435" s="16" t="s">
        <v>1694</v>
      </c>
      <c r="D435" s="17"/>
      <c r="F435">
        <f t="shared" ca="1" si="48"/>
        <v>1263</v>
      </c>
      <c r="G435" t="str">
        <f t="shared" si="49"/>
        <v>ジョブバックグラウンド化</v>
      </c>
    </row>
    <row r="436" spans="1:7" ht="11.25" customHeight="1" outlineLevel="1">
      <c r="A436" s="15"/>
      <c r="B436" s="15" t="s">
        <v>1695</v>
      </c>
      <c r="C436" s="16" t="s">
        <v>1794</v>
      </c>
      <c r="D436" s="17" t="s">
        <v>1795</v>
      </c>
      <c r="F436">
        <f t="shared" ca="1" si="48"/>
        <v>1264</v>
      </c>
      <c r="G436" t="str">
        <f t="shared" si="49"/>
        <v>コマンド実行継続設定(実行前)</v>
      </c>
    </row>
    <row r="437" spans="1:7" ht="11.25" customHeight="1" outlineLevel="1">
      <c r="A437" s="15"/>
      <c r="B437" s="15" t="s">
        <v>1696</v>
      </c>
      <c r="C437" s="16" t="s">
        <v>1796</v>
      </c>
      <c r="D437" s="17" t="s">
        <v>1797</v>
      </c>
      <c r="F437">
        <f t="shared" ca="1" si="48"/>
        <v>1265</v>
      </c>
      <c r="G437" t="str">
        <f t="shared" si="49"/>
        <v>コマンド実行継続設定(実行後)</v>
      </c>
    </row>
    <row r="438" spans="1:7" ht="11.25" customHeight="1" outlineLevel="1">
      <c r="A438" s="15"/>
      <c r="B438" s="15" t="s">
        <v>1697</v>
      </c>
      <c r="C438" s="16" t="s">
        <v>1698</v>
      </c>
      <c r="D438" s="17"/>
      <c r="F438">
        <f t="shared" ca="1" si="48"/>
        <v>1266</v>
      </c>
      <c r="G438" t="str">
        <f t="shared" si="49"/>
        <v>プロセス情報表示</v>
      </c>
    </row>
    <row r="439" spans="1:7" ht="11.25" customHeight="1" outlineLevel="1">
      <c r="A439" s="15"/>
      <c r="B439" s="15" t="s">
        <v>1699</v>
      </c>
      <c r="C439" s="16" t="s">
        <v>1700</v>
      </c>
      <c r="D439" s="17"/>
      <c r="F439">
        <f t="shared" ca="1" si="48"/>
        <v>1267</v>
      </c>
      <c r="G439" t="str">
        <f t="shared" si="49"/>
        <v>プロセス情報表示(全プロセス)</v>
      </c>
    </row>
    <row r="440" spans="1:7" ht="11.25" customHeight="1" outlineLevel="1">
      <c r="A440" s="15"/>
      <c r="B440" s="15" t="s">
        <v>1699</v>
      </c>
      <c r="C440" s="16" t="s">
        <v>1701</v>
      </c>
      <c r="D440" s="17"/>
      <c r="F440">
        <f t="shared" ca="1" si="48"/>
        <v>1268</v>
      </c>
      <c r="G440" t="str">
        <f t="shared" si="49"/>
        <v>プロセス情報表示(全プロセス)</v>
      </c>
    </row>
    <row r="441" spans="1:7" ht="11.25" customHeight="1" outlineLevel="1">
      <c r="A441" s="15"/>
      <c r="B441" s="15" t="s">
        <v>1702</v>
      </c>
      <c r="C441" s="16" t="s">
        <v>1703</v>
      </c>
      <c r="D441" s="17"/>
      <c r="F441">
        <f t="shared" ca="1" si="48"/>
        <v>1269</v>
      </c>
      <c r="G441" t="str">
        <f t="shared" si="49"/>
        <v>プロセス情報表示(現在プロセス)</v>
      </c>
    </row>
    <row r="442" spans="1:7" ht="11.25" customHeight="1" outlineLevel="1">
      <c r="A442" s="15"/>
      <c r="B442" s="15" t="s">
        <v>2091</v>
      </c>
      <c r="C442" s="16" t="s">
        <v>2100</v>
      </c>
      <c r="D442" s="17"/>
    </row>
    <row r="443" spans="1:7" ht="11.25" customHeight="1" outlineLevel="1">
      <c r="A443" s="15"/>
      <c r="B443" s="15" t="s">
        <v>2092</v>
      </c>
      <c r="C443" s="16" t="s">
        <v>2101</v>
      </c>
      <c r="D443" s="17"/>
    </row>
    <row r="444" spans="1:7" ht="11.25" customHeight="1" outlineLevel="1">
      <c r="A444" s="15"/>
      <c r="B444" s="15" t="s">
        <v>2093</v>
      </c>
      <c r="C444" s="16" t="s">
        <v>2102</v>
      </c>
      <c r="D444" s="17"/>
    </row>
    <row r="445" spans="1:7" ht="11.25" customHeight="1" outlineLevel="1">
      <c r="A445" s="15"/>
      <c r="B445" s="15" t="s">
        <v>2094</v>
      </c>
      <c r="C445" s="16" t="s">
        <v>2103</v>
      </c>
      <c r="D445" s="17"/>
    </row>
    <row r="446" spans="1:7" ht="11.25" customHeight="1" outlineLevel="1">
      <c r="A446" s="15"/>
      <c r="B446" s="15" t="s">
        <v>2095</v>
      </c>
      <c r="C446" s="16" t="s">
        <v>2104</v>
      </c>
      <c r="D446" s="17"/>
    </row>
    <row r="447" spans="1:7" ht="11.25" customHeight="1" outlineLevel="1">
      <c r="A447" s="15"/>
      <c r="B447" s="15" t="s">
        <v>2096</v>
      </c>
      <c r="C447" s="16" t="s">
        <v>2105</v>
      </c>
      <c r="D447" s="17"/>
    </row>
    <row r="448" spans="1:7" ht="11.25" customHeight="1" outlineLevel="1">
      <c r="A448" s="15"/>
      <c r="B448" s="15" t="s">
        <v>2097</v>
      </c>
      <c r="C448" s="16" t="s">
        <v>2106</v>
      </c>
      <c r="D448" s="17"/>
    </row>
    <row r="449" spans="1:7" ht="11.25" customHeight="1" outlineLevel="1">
      <c r="A449" s="15"/>
      <c r="B449" s="15" t="s">
        <v>2098</v>
      </c>
      <c r="C449" s="16" t="s">
        <v>2107</v>
      </c>
      <c r="D449" s="17"/>
    </row>
    <row r="450" spans="1:7" ht="11.25" customHeight="1" outlineLevel="1">
      <c r="A450" s="15"/>
      <c r="B450" s="15" t="s">
        <v>2099</v>
      </c>
      <c r="C450" s="16" t="s">
        <v>2108</v>
      </c>
      <c r="D450" s="17"/>
    </row>
    <row r="451" spans="1:7" ht="11.25" customHeight="1" outlineLevel="1">
      <c r="A451" s="15"/>
      <c r="B451" s="15" t="s">
        <v>1704</v>
      </c>
      <c r="C451" s="16" t="s">
        <v>1705</v>
      </c>
      <c r="D451" s="17"/>
      <c r="F451">
        <f t="shared" ca="1" si="48"/>
        <v>1</v>
      </c>
      <c r="G451" t="str">
        <f t="shared" si="49"/>
        <v>プロセス情報表示(ツリー表示)</v>
      </c>
    </row>
    <row r="452" spans="1:7" ht="11.25" customHeight="1" outlineLevel="1">
      <c r="A452" s="15"/>
      <c r="B452" s="15" t="s">
        <v>1706</v>
      </c>
      <c r="C452" s="16" t="s">
        <v>1707</v>
      </c>
      <c r="D452" s="17"/>
      <c r="F452">
        <f t="shared" ca="1" si="48"/>
        <v>2</v>
      </c>
      <c r="G452" t="str">
        <f t="shared" si="49"/>
        <v>プロセス情報表示(プロセス名指定)</v>
      </c>
    </row>
    <row r="453" spans="1:7" ht="11.25" customHeight="1" outlineLevel="1">
      <c r="A453" s="15"/>
      <c r="B453" s="15" t="s">
        <v>2326</v>
      </c>
      <c r="C453" s="16" t="s">
        <v>2327</v>
      </c>
      <c r="D453" s="17"/>
      <c r="F453">
        <f ca="1">IF(G453="",OFFSET(F453,-1,0),OFFSET(F453,-1,0)+1)</f>
        <v>3</v>
      </c>
      <c r="G453" t="str">
        <f>IF(B453="","",B453)</f>
        <v>プロセスID取得</v>
      </c>
    </row>
    <row r="454" spans="1:7" ht="11.25" customHeight="1" outlineLevel="1">
      <c r="A454" s="15"/>
      <c r="B454" s="15" t="s">
        <v>1708</v>
      </c>
      <c r="C454" s="16" t="s">
        <v>1709</v>
      </c>
      <c r="D454" s="17"/>
      <c r="F454">
        <f t="shared" ca="1" si="48"/>
        <v>4</v>
      </c>
      <c r="G454" t="str">
        <f t="shared" si="49"/>
        <v>ジョブ終了</v>
      </c>
    </row>
    <row r="455" spans="1:7" ht="11.25" customHeight="1" outlineLevel="1">
      <c r="A455" s="15"/>
      <c r="B455" s="15" t="s">
        <v>1710</v>
      </c>
      <c r="C455" s="16" t="s">
        <v>1711</v>
      </c>
      <c r="D455" s="17"/>
      <c r="F455">
        <f t="shared" ca="1" si="48"/>
        <v>5</v>
      </c>
      <c r="G455" t="str">
        <f t="shared" si="49"/>
        <v>プロセス終了(プロセスID指定)</v>
      </c>
    </row>
    <row r="456" spans="1:7" ht="11.25" customHeight="1" outlineLevel="1">
      <c r="A456" s="15"/>
      <c r="B456" s="15" t="s">
        <v>1712</v>
      </c>
      <c r="C456" s="16" t="s">
        <v>1713</v>
      </c>
      <c r="D456" s="17"/>
      <c r="F456">
        <f t="shared" ca="1" si="48"/>
        <v>6</v>
      </c>
      <c r="G456" t="str">
        <f t="shared" si="49"/>
        <v>プロセス終了(プロセス名指定)</v>
      </c>
    </row>
    <row r="457" spans="1:7" ht="11.25" customHeight="1" outlineLevel="1">
      <c r="A457" s="15"/>
      <c r="B457" s="15" t="s">
        <v>1714</v>
      </c>
      <c r="C457" s="16" t="s">
        <v>1715</v>
      </c>
      <c r="D457" s="17"/>
      <c r="F457">
        <f t="shared" ref="F457:F502" ca="1" si="60">IF(G457="",OFFSET(F457,-1,0),OFFSET(F457,-1,0)+1)</f>
        <v>7</v>
      </c>
      <c r="G457" t="str">
        <f t="shared" ref="G457:G502" si="61">IF(B457="","",B457)</f>
        <v>[キャッシュ内未処理データディスク書込み](https://linuc.org/study/knowledge/413/)</v>
      </c>
    </row>
    <row r="458" spans="1:7" ht="11.25" customHeight="1" outlineLevel="1">
      <c r="A458" s="15"/>
      <c r="B458" s="15" t="s">
        <v>1716</v>
      </c>
      <c r="C458" s="16" t="s">
        <v>1717</v>
      </c>
      <c r="D458" s="17"/>
      <c r="F458">
        <f t="shared" ca="1" si="60"/>
        <v>8</v>
      </c>
      <c r="G458" t="str">
        <f t="shared" si="61"/>
        <v>端末行設定表示</v>
      </c>
    </row>
    <row r="459" spans="1:7" ht="11.25" customHeight="1" outlineLevel="1">
      <c r="A459" s="15"/>
      <c r="B459" s="15" t="s">
        <v>1718</v>
      </c>
      <c r="C459" s="16" t="s">
        <v>1719</v>
      </c>
      <c r="D459" s="17"/>
      <c r="F459">
        <f t="shared" ca="1" si="60"/>
        <v>9</v>
      </c>
      <c r="G459" t="str">
        <f t="shared" si="61"/>
        <v>標準入力ターミナルファイルパス表示</v>
      </c>
    </row>
    <row r="460" spans="1:7" ht="11.25" customHeight="1" outlineLevel="1">
      <c r="A460" s="15"/>
      <c r="B460" s="18" t="s">
        <v>1720</v>
      </c>
      <c r="C460" s="16" t="s">
        <v>1721</v>
      </c>
      <c r="D460" s="17"/>
      <c r="F460">
        <f t="shared" ca="1" si="60"/>
        <v>10</v>
      </c>
      <c r="G460" t="str">
        <f t="shared" si="61"/>
        <v>リソース制限(設定値全表示)</v>
      </c>
    </row>
    <row r="461" spans="1:7" ht="11.25" customHeight="1" outlineLevel="1">
      <c r="A461" s="15"/>
      <c r="B461" s="15" t="s">
        <v>2943</v>
      </c>
      <c r="C461" s="16" t="s">
        <v>2942</v>
      </c>
      <c r="D461" s="17"/>
      <c r="F461">
        <f ca="1">IF(G461="",OFFSET(F461,-1,0),OFFSET(F461,-1,0)+1)</f>
        <v>11</v>
      </c>
      <c r="G461" t="str">
        <f>IF(B461="","",B461)</f>
        <v>リソース制限(設定値変更 無限)</v>
      </c>
    </row>
    <row r="462" spans="1:7" ht="11.25" customHeight="1" outlineLevel="1">
      <c r="A462" s="15"/>
      <c r="B462" s="15" t="s">
        <v>2945</v>
      </c>
      <c r="C462" s="16" t="s">
        <v>2944</v>
      </c>
      <c r="D462" s="17"/>
      <c r="F462">
        <f t="shared" ca="1" si="60"/>
        <v>12</v>
      </c>
      <c r="G462" t="str">
        <f t="shared" si="61"/>
        <v>リソース制限(設定値変更 有限)</v>
      </c>
    </row>
    <row r="463" spans="1:7" ht="11.25" customHeight="1" outlineLevel="1">
      <c r="A463" s="15"/>
      <c r="B463" s="15" t="s">
        <v>2962</v>
      </c>
      <c r="C463" s="16" t="s">
        <v>2946</v>
      </c>
      <c r="D463" s="17" t="s">
        <v>2963</v>
      </c>
      <c r="F463">
        <f t="shared" ca="1" si="60"/>
        <v>13</v>
      </c>
      <c r="G463" t="str">
        <f t="shared" si="61"/>
        <v>リソース制限(設定値変更オプション)</v>
      </c>
    </row>
    <row r="464" spans="1:7" ht="11.25" customHeight="1" outlineLevel="1">
      <c r="A464" s="15"/>
      <c r="B464" s="15" t="s">
        <v>2962</v>
      </c>
      <c r="C464" s="16" t="s">
        <v>2947</v>
      </c>
      <c r="D464" s="17" t="s">
        <v>2964</v>
      </c>
      <c r="F464">
        <f t="shared" ref="F464:F478" ca="1" si="62">IF(G464="",OFFSET(F464,-1,0),OFFSET(F464,-1,0)+1)</f>
        <v>14</v>
      </c>
      <c r="G464" t="str">
        <f t="shared" ref="G464:G478" si="63">IF(B464="","",B464)</f>
        <v>リソース制限(設定値変更オプション)</v>
      </c>
    </row>
    <row r="465" spans="1:7" ht="11.25" customHeight="1" outlineLevel="1">
      <c r="A465" s="15"/>
      <c r="B465" s="15" t="s">
        <v>2962</v>
      </c>
      <c r="C465" s="16" t="s">
        <v>2948</v>
      </c>
      <c r="D465" s="17" t="s">
        <v>2965</v>
      </c>
      <c r="F465">
        <f t="shared" ca="1" si="62"/>
        <v>15</v>
      </c>
      <c r="G465" t="str">
        <f t="shared" si="63"/>
        <v>リソース制限(設定値変更オプション)</v>
      </c>
    </row>
    <row r="466" spans="1:7" ht="11.25" customHeight="1" outlineLevel="1">
      <c r="A466" s="15"/>
      <c r="B466" s="15" t="s">
        <v>2962</v>
      </c>
      <c r="C466" s="16" t="s">
        <v>2949</v>
      </c>
      <c r="D466" s="17" t="s">
        <v>2966</v>
      </c>
      <c r="F466">
        <f t="shared" ca="1" si="62"/>
        <v>16</v>
      </c>
      <c r="G466" t="str">
        <f t="shared" si="63"/>
        <v>リソース制限(設定値変更オプション)</v>
      </c>
    </row>
    <row r="467" spans="1:7" ht="11.25" customHeight="1" outlineLevel="1">
      <c r="A467" s="15"/>
      <c r="B467" s="15" t="s">
        <v>2962</v>
      </c>
      <c r="C467" s="16" t="s">
        <v>2950</v>
      </c>
      <c r="D467" s="17" t="s">
        <v>2967</v>
      </c>
      <c r="F467">
        <f t="shared" ca="1" si="62"/>
        <v>17</v>
      </c>
      <c r="G467" t="str">
        <f t="shared" si="63"/>
        <v>リソース制限(設定値変更オプション)</v>
      </c>
    </row>
    <row r="468" spans="1:7" ht="11.25" customHeight="1" outlineLevel="1">
      <c r="A468" s="15"/>
      <c r="B468" s="15" t="s">
        <v>2962</v>
      </c>
      <c r="C468" s="16" t="s">
        <v>2951</v>
      </c>
      <c r="D468" s="17" t="s">
        <v>2968</v>
      </c>
      <c r="F468">
        <f ca="1">IF(G468="",OFFSET(F468,-1,0),OFFSET(F468,-1,0)+1)</f>
        <v>18</v>
      </c>
      <c r="G468" t="str">
        <f>IF(B468="","",B468)</f>
        <v>リソース制限(設定値変更オプション)</v>
      </c>
    </row>
    <row r="469" spans="1:7" ht="11.25" customHeight="1" outlineLevel="1">
      <c r="A469" s="15"/>
      <c r="B469" s="15" t="s">
        <v>2962</v>
      </c>
      <c r="C469" s="16" t="s">
        <v>2952</v>
      </c>
      <c r="D469" s="17" t="s">
        <v>2969</v>
      </c>
      <c r="F469">
        <f ca="1">IF(G469="",OFFSET(F469,-1,0),OFFSET(F469,-1,0)+1)</f>
        <v>19</v>
      </c>
      <c r="G469" t="str">
        <f>IF(B469="","",B469)</f>
        <v>リソース制限(設定値変更オプション)</v>
      </c>
    </row>
    <row r="470" spans="1:7" ht="11.25" customHeight="1" outlineLevel="1">
      <c r="A470" s="15"/>
      <c r="B470" s="15" t="s">
        <v>2962</v>
      </c>
      <c r="C470" s="16" t="s">
        <v>2953</v>
      </c>
      <c r="D470" s="17" t="s">
        <v>2970</v>
      </c>
      <c r="F470">
        <f ca="1">IF(G470="",OFFSET(F470,-1,0),OFFSET(F470,-1,0)+1)</f>
        <v>20</v>
      </c>
      <c r="G470" t="str">
        <f>IF(B470="","",B470)</f>
        <v>リソース制限(設定値変更オプション)</v>
      </c>
    </row>
    <row r="471" spans="1:7" ht="11.25" customHeight="1" outlineLevel="1">
      <c r="A471" s="15"/>
      <c r="B471" s="15" t="s">
        <v>2962</v>
      </c>
      <c r="C471" s="16" t="s">
        <v>2954</v>
      </c>
      <c r="D471" s="17" t="s">
        <v>2971</v>
      </c>
      <c r="F471">
        <f ca="1">IF(G471="",OFFSET(F471,-1,0),OFFSET(F471,-1,0)+1)</f>
        <v>21</v>
      </c>
      <c r="G471" t="str">
        <f>IF(B471="","",B471)</f>
        <v>リソース制限(設定値変更オプション)</v>
      </c>
    </row>
    <row r="472" spans="1:7" ht="11.25" customHeight="1" outlineLevel="1">
      <c r="A472" s="15"/>
      <c r="B472" s="15" t="s">
        <v>2962</v>
      </c>
      <c r="C472" s="16" t="s">
        <v>2955</v>
      </c>
      <c r="D472" s="17" t="s">
        <v>2972</v>
      </c>
      <c r="F472">
        <f t="shared" ca="1" si="62"/>
        <v>22</v>
      </c>
      <c r="G472" t="str">
        <f t="shared" si="63"/>
        <v>リソース制限(設定値変更オプション)</v>
      </c>
    </row>
    <row r="473" spans="1:7" ht="11.25" customHeight="1" outlineLevel="1">
      <c r="A473" s="15"/>
      <c r="B473" s="15" t="s">
        <v>2962</v>
      </c>
      <c r="C473" s="16" t="s">
        <v>2956</v>
      </c>
      <c r="D473" s="17" t="s">
        <v>2973</v>
      </c>
      <c r="F473">
        <f t="shared" ca="1" si="62"/>
        <v>23</v>
      </c>
      <c r="G473" t="str">
        <f t="shared" si="63"/>
        <v>リソース制限(設定値変更オプション)</v>
      </c>
    </row>
    <row r="474" spans="1:7" ht="11.25" customHeight="1" outlineLevel="1">
      <c r="A474" s="15"/>
      <c r="B474" s="15" t="s">
        <v>2962</v>
      </c>
      <c r="C474" s="16" t="s">
        <v>2957</v>
      </c>
      <c r="D474" s="17" t="s">
        <v>2974</v>
      </c>
      <c r="F474">
        <f t="shared" ca="1" si="62"/>
        <v>24</v>
      </c>
      <c r="G474" t="str">
        <f t="shared" si="63"/>
        <v>リソース制限(設定値変更オプション)</v>
      </c>
    </row>
    <row r="475" spans="1:7" ht="11.25" customHeight="1" outlineLevel="1">
      <c r="A475" s="15"/>
      <c r="B475" s="15" t="s">
        <v>2962</v>
      </c>
      <c r="C475" s="16" t="s">
        <v>2958</v>
      </c>
      <c r="D475" s="17" t="s">
        <v>2975</v>
      </c>
      <c r="F475">
        <f t="shared" ca="1" si="62"/>
        <v>25</v>
      </c>
      <c r="G475" t="str">
        <f t="shared" si="63"/>
        <v>リソース制限(設定値変更オプション)</v>
      </c>
    </row>
    <row r="476" spans="1:7" ht="11.25" customHeight="1" outlineLevel="1">
      <c r="A476" s="15"/>
      <c r="B476" s="15" t="s">
        <v>2962</v>
      </c>
      <c r="C476" s="16" t="s">
        <v>2959</v>
      </c>
      <c r="D476" s="17" t="s">
        <v>2976</v>
      </c>
      <c r="F476">
        <f t="shared" ca="1" si="62"/>
        <v>26</v>
      </c>
      <c r="G476" t="str">
        <f t="shared" si="63"/>
        <v>リソース制限(設定値変更オプション)</v>
      </c>
    </row>
    <row r="477" spans="1:7" ht="11.25" customHeight="1" outlineLevel="1">
      <c r="A477" s="15"/>
      <c r="B477" s="15" t="s">
        <v>2962</v>
      </c>
      <c r="C477" s="16" t="s">
        <v>2960</v>
      </c>
      <c r="D477" s="17" t="s">
        <v>2977</v>
      </c>
      <c r="F477">
        <f t="shared" ca="1" si="62"/>
        <v>27</v>
      </c>
      <c r="G477" t="str">
        <f t="shared" si="63"/>
        <v>リソース制限(設定値変更オプション)</v>
      </c>
    </row>
    <row r="478" spans="1:7" ht="11.25" customHeight="1" outlineLevel="1">
      <c r="A478" s="15"/>
      <c r="B478" s="15" t="s">
        <v>2962</v>
      </c>
      <c r="C478" s="16" t="s">
        <v>2961</v>
      </c>
      <c r="D478" s="17" t="s">
        <v>2978</v>
      </c>
      <c r="F478">
        <f t="shared" ca="1" si="62"/>
        <v>28</v>
      </c>
      <c r="G478" t="str">
        <f t="shared" si="63"/>
        <v>リソース制限(設定値変更オプション)</v>
      </c>
    </row>
    <row r="479" spans="1:7" ht="11.25" customHeight="1" outlineLevel="1">
      <c r="A479" s="15"/>
      <c r="B479" s="15" t="s">
        <v>1724</v>
      </c>
      <c r="C479" s="16" t="s">
        <v>1725</v>
      </c>
      <c r="D479" s="17"/>
      <c r="F479">
        <f t="shared" ca="1" si="60"/>
        <v>29</v>
      </c>
      <c r="G479" t="str">
        <f t="shared" si="61"/>
        <v>ユーザID表示</v>
      </c>
    </row>
    <row r="480" spans="1:7" ht="11.25" customHeight="1" outlineLevel="1">
      <c r="A480" s="15"/>
      <c r="B480" s="15" t="s">
        <v>1726</v>
      </c>
      <c r="C480" s="16" t="s">
        <v>1727</v>
      </c>
      <c r="D480" s="17"/>
      <c r="F480">
        <f t="shared" ca="1" si="60"/>
        <v>30</v>
      </c>
      <c r="G480" t="str">
        <f t="shared" si="61"/>
        <v>現在ログイン名表示</v>
      </c>
    </row>
    <row r="481" spans="1:7" ht="11.25" customHeight="1" outlineLevel="1">
      <c r="A481" s="15"/>
      <c r="B481" s="15" t="s">
        <v>1728</v>
      </c>
      <c r="C481" s="16" t="s">
        <v>1729</v>
      </c>
      <c r="D481" s="17"/>
      <c r="F481">
        <f t="shared" ca="1" si="60"/>
        <v>31</v>
      </c>
      <c r="G481" t="str">
        <f t="shared" si="61"/>
        <v>現在ユーザIDに関連付けされているユーザ名表示</v>
      </c>
    </row>
    <row r="482" spans="1:7" ht="11.25" customHeight="1" outlineLevel="1">
      <c r="A482" s="15"/>
      <c r="B482" s="15" t="s">
        <v>1730</v>
      </c>
      <c r="C482" s="16" t="s">
        <v>1731</v>
      </c>
      <c r="D482" s="17"/>
      <c r="F482">
        <f t="shared" ca="1" si="60"/>
        <v>32</v>
      </c>
      <c r="G482" t="str">
        <f t="shared" si="61"/>
        <v>所属グループ名表示</v>
      </c>
    </row>
    <row r="483" spans="1:7" ht="11.25" customHeight="1" outlineLevel="1">
      <c r="A483" s="15"/>
      <c r="B483" s="15" t="s">
        <v>1732</v>
      </c>
      <c r="C483" s="16" t="s">
        <v>1733</v>
      </c>
      <c r="D483" s="17"/>
      <c r="F483">
        <f t="shared" ca="1" si="60"/>
        <v>33</v>
      </c>
      <c r="G483" t="str">
        <f t="shared" si="61"/>
        <v>ログインユーザ一覧表示</v>
      </c>
    </row>
    <row r="484" spans="1:7" ht="11.25" customHeight="1" outlineLevel="1">
      <c r="A484" s="15"/>
      <c r="B484" s="15" t="s">
        <v>1734</v>
      </c>
      <c r="C484" s="16" t="s">
        <v>1735</v>
      </c>
      <c r="D484" s="17"/>
      <c r="F484">
        <f t="shared" ca="1" si="60"/>
        <v>34</v>
      </c>
      <c r="G484" t="str">
        <f t="shared" si="61"/>
        <v>ログオン中ユーザ情報表示</v>
      </c>
    </row>
    <row r="485" spans="1:7" ht="11.25" customHeight="1" outlineLevel="1">
      <c r="A485" s="15"/>
      <c r="B485" s="15" t="s">
        <v>1736</v>
      </c>
      <c r="C485" s="16" t="s">
        <v>1737</v>
      </c>
      <c r="D485" s="17" t="s">
        <v>1738</v>
      </c>
      <c r="F485">
        <f t="shared" ca="1" si="60"/>
        <v>35</v>
      </c>
      <c r="G485" t="str">
        <f t="shared" si="61"/>
        <v>ユーザアカウント作成</v>
      </c>
    </row>
    <row r="486" spans="1:7" ht="11.25" customHeight="1" outlineLevel="1">
      <c r="A486" s="15"/>
      <c r="B486" s="15" t="s">
        <v>1739</v>
      </c>
      <c r="C486" s="16" t="s">
        <v>1740</v>
      </c>
      <c r="D486" s="17"/>
      <c r="F486">
        <f t="shared" ca="1" si="60"/>
        <v>36</v>
      </c>
      <c r="G486" t="str">
        <f t="shared" si="61"/>
        <v>ユーザアカウント変更(グループ変更)</v>
      </c>
    </row>
    <row r="487" spans="1:7" ht="11.25" customHeight="1" outlineLevel="1">
      <c r="A487" s="15"/>
      <c r="B487" s="15" t="s">
        <v>1741</v>
      </c>
      <c r="C487" s="16" t="s">
        <v>1742</v>
      </c>
      <c r="D487" s="17"/>
      <c r="F487">
        <f t="shared" ca="1" si="60"/>
        <v>37</v>
      </c>
      <c r="G487" t="str">
        <f t="shared" si="61"/>
        <v>ユーザアカウント削除</v>
      </c>
    </row>
    <row r="488" spans="1:7" ht="11.25" customHeight="1" outlineLevel="1">
      <c r="A488" s="15"/>
      <c r="B488" s="15" t="s">
        <v>1743</v>
      </c>
      <c r="C488" s="16" t="s">
        <v>1744</v>
      </c>
      <c r="D488" s="17"/>
      <c r="F488">
        <f t="shared" ca="1" si="60"/>
        <v>38</v>
      </c>
      <c r="G488" t="str">
        <f t="shared" si="61"/>
        <v>グループアカウント作成</v>
      </c>
    </row>
    <row r="489" spans="1:7" ht="11.25" customHeight="1" outlineLevel="1">
      <c r="A489" s="15"/>
      <c r="B489" s="15" t="s">
        <v>1745</v>
      </c>
      <c r="C489" s="16" t="s">
        <v>1746</v>
      </c>
      <c r="D489" s="17"/>
      <c r="F489">
        <f t="shared" ca="1" si="60"/>
        <v>39</v>
      </c>
      <c r="G489" t="str">
        <f t="shared" si="61"/>
        <v>グループアカウント変更</v>
      </c>
    </row>
    <row r="490" spans="1:7" ht="11.25" customHeight="1" outlineLevel="1">
      <c r="A490" s="15"/>
      <c r="B490" s="15" t="s">
        <v>1747</v>
      </c>
      <c r="C490" s="16" t="s">
        <v>1748</v>
      </c>
      <c r="D490" s="17"/>
      <c r="F490">
        <f t="shared" ca="1" si="60"/>
        <v>40</v>
      </c>
      <c r="G490" t="str">
        <f t="shared" si="61"/>
        <v>グループアカウント削除</v>
      </c>
    </row>
    <row r="491" spans="1:7" ht="11.25" customHeight="1" outlineLevel="1">
      <c r="A491" s="15"/>
      <c r="B491" s="15" t="s">
        <v>1749</v>
      </c>
      <c r="C491" s="16" t="s">
        <v>1750</v>
      </c>
      <c r="D491" s="17"/>
      <c r="F491">
        <f t="shared" ca="1" si="60"/>
        <v>41</v>
      </c>
      <c r="G491" t="str">
        <f t="shared" si="61"/>
        <v>所属グループ表示</v>
      </c>
    </row>
    <row r="492" spans="1:7" ht="11.25" customHeight="1" outlineLevel="1">
      <c r="A492" s="15"/>
      <c r="B492" s="15" t="s">
        <v>1751</v>
      </c>
      <c r="C492" s="16" t="s">
        <v>1752</v>
      </c>
      <c r="D492" s="17"/>
      <c r="F492">
        <f t="shared" ca="1" si="60"/>
        <v>42</v>
      </c>
      <c r="G492" t="str">
        <f t="shared" si="61"/>
        <v>ログインパスワード変更</v>
      </c>
    </row>
    <row r="493" spans="1:7" ht="11.25" customHeight="1" outlineLevel="1">
      <c r="A493" s="15"/>
      <c r="B493" s="15" t="s">
        <v>1753</v>
      </c>
      <c r="C493" s="16" t="s">
        <v>1754</v>
      </c>
      <c r="D493" s="17" t="s">
        <v>1755</v>
      </c>
      <c r="F493">
        <f t="shared" ca="1" si="60"/>
        <v>43</v>
      </c>
      <c r="G493" t="str">
        <f t="shared" si="61"/>
        <v>ログインシェル変更</v>
      </c>
    </row>
    <row r="494" spans="1:7" ht="11.25" customHeight="1" outlineLevel="1">
      <c r="A494" s="15"/>
      <c r="B494" s="15" t="s">
        <v>1756</v>
      </c>
      <c r="C494" s="16" t="s">
        <v>1757</v>
      </c>
      <c r="D494" s="17"/>
      <c r="F494">
        <f t="shared" ca="1" si="60"/>
        <v>44</v>
      </c>
      <c r="G494" t="str">
        <f t="shared" si="61"/>
        <v>環境変数表示</v>
      </c>
    </row>
    <row r="495" spans="1:7" ht="11.25" customHeight="1" outlineLevel="1">
      <c r="A495" s="15"/>
      <c r="B495" s="15" t="s">
        <v>1758</v>
      </c>
      <c r="C495" s="16" t="s">
        <v>1759</v>
      </c>
      <c r="D495" s="17"/>
      <c r="F495">
        <f t="shared" ca="1" si="60"/>
        <v>45</v>
      </c>
      <c r="G495" t="str">
        <f t="shared" si="61"/>
        <v>環境変数設定(csh系用)</v>
      </c>
    </row>
    <row r="496" spans="1:7" ht="11.25" customHeight="1" outlineLevel="1">
      <c r="A496" s="15"/>
      <c r="B496" s="15" t="s">
        <v>1760</v>
      </c>
      <c r="C496" s="16" t="s">
        <v>1761</v>
      </c>
      <c r="D496" s="17"/>
      <c r="F496">
        <f t="shared" ca="1" si="60"/>
        <v>46</v>
      </c>
      <c r="G496" t="str">
        <f t="shared" si="61"/>
        <v>環境変数設定(sh系用)</v>
      </c>
    </row>
    <row r="497" spans="1:7" ht="11.25" customHeight="1" outlineLevel="1">
      <c r="A497" s="15"/>
      <c r="B497" s="15" t="s">
        <v>1762</v>
      </c>
      <c r="C497" s="16" t="s">
        <v>1763</v>
      </c>
      <c r="D497" s="17"/>
      <c r="F497">
        <f t="shared" ca="1" si="60"/>
        <v>47</v>
      </c>
      <c r="G497" t="str">
        <f t="shared" si="61"/>
        <v>環境変数変更(一時的)</v>
      </c>
    </row>
    <row r="498" spans="1:7" ht="11.25" customHeight="1" outlineLevel="1">
      <c r="A498" s="15"/>
      <c r="B498" s="15" t="s">
        <v>1756</v>
      </c>
      <c r="C498" s="16" t="s">
        <v>1763</v>
      </c>
      <c r="D498" s="17"/>
      <c r="F498">
        <f t="shared" ca="1" si="60"/>
        <v>48</v>
      </c>
      <c r="G498" t="str">
        <f t="shared" si="61"/>
        <v>環境変数表示</v>
      </c>
    </row>
    <row r="499" spans="1:7" ht="11.25" customHeight="1" outlineLevel="1">
      <c r="A499" s="15"/>
      <c r="B499" s="15" t="s">
        <v>1789</v>
      </c>
      <c r="C499" s="16" t="str">
        <f>"export OPTIONS="" \
-O1
-verbose
-v
"""</f>
        <v>export OPTIONS=" \
-O1
-verbose
-v
"</v>
      </c>
      <c r="D499" s="17"/>
      <c r="F499">
        <f t="shared" ca="1" si="60"/>
        <v>49</v>
      </c>
      <c r="G499" t="str">
        <f t="shared" si="61"/>
        <v>環境変数設定(複数行)</v>
      </c>
    </row>
    <row r="500" spans="1:7" ht="11.25" customHeight="1" outlineLevel="1">
      <c r="A500" s="15"/>
      <c r="B500" s="15" t="s">
        <v>1764</v>
      </c>
      <c r="C500" s="16" t="s">
        <v>1765</v>
      </c>
      <c r="D500" s="17" t="s">
        <v>1766</v>
      </c>
      <c r="F500">
        <f t="shared" ca="1" si="60"/>
        <v>50</v>
      </c>
      <c r="G500" t="str">
        <f t="shared" si="61"/>
        <v>マウント</v>
      </c>
    </row>
    <row r="501" spans="1:7" ht="11.25" customHeight="1" outlineLevel="1">
      <c r="A501" s="15"/>
      <c r="B501" s="15" t="s">
        <v>1767</v>
      </c>
      <c r="C501" s="16" t="s">
        <v>1768</v>
      </c>
      <c r="D501" s="17"/>
      <c r="F501">
        <f t="shared" ca="1" si="60"/>
        <v>51</v>
      </c>
      <c r="G501" t="str">
        <f t="shared" si="61"/>
        <v>アンマウント</v>
      </c>
    </row>
    <row r="502" spans="1:7" ht="11.25" customHeight="1" outlineLevel="1">
      <c r="A502" s="15"/>
      <c r="B502" s="15" t="s">
        <v>1769</v>
      </c>
      <c r="C502" s="16" t="s">
        <v>1770</v>
      </c>
      <c r="D502" s="17"/>
      <c r="F502">
        <f t="shared" ca="1" si="60"/>
        <v>52</v>
      </c>
      <c r="G502" t="str">
        <f t="shared" si="61"/>
        <v>マウント状況確認</v>
      </c>
    </row>
    <row r="503" spans="1:7" ht="11.25" customHeight="1" outlineLevel="1">
      <c r="A503" s="15"/>
      <c r="B503" s="15" t="s">
        <v>1771</v>
      </c>
      <c r="C503" s="16" t="s">
        <v>1772</v>
      </c>
      <c r="D503" s="17"/>
      <c r="F503">
        <f t="shared" ref="F503:F537" ca="1" si="64">IF(G503="",OFFSET(F503,-1,0),OFFSET(F503,-1,0)+1)</f>
        <v>53</v>
      </c>
      <c r="G503" t="str">
        <f t="shared" ref="G503:G537" si="65">IF(B503="","",B503)</f>
        <v>デバイス一覧表示</v>
      </c>
    </row>
    <row r="504" spans="1:7" ht="11.25" customHeight="1" outlineLevel="1">
      <c r="A504" s="15"/>
      <c r="B504" s="15" t="s">
        <v>1773</v>
      </c>
      <c r="C504" s="24" t="s">
        <v>1774</v>
      </c>
      <c r="D504" s="17"/>
      <c r="F504">
        <f t="shared" ca="1" si="64"/>
        <v>54</v>
      </c>
      <c r="G504" t="str">
        <f t="shared" si="65"/>
        <v>時刻(システムクロック)表示</v>
      </c>
    </row>
    <row r="505" spans="1:7" ht="11.25" customHeight="1" outlineLevel="1">
      <c r="A505" s="15"/>
      <c r="B505" s="15" t="s">
        <v>1775</v>
      </c>
      <c r="C505" s="16" t="s">
        <v>1790</v>
      </c>
      <c r="D505" s="17" t="s">
        <v>1791</v>
      </c>
      <c r="F505">
        <f t="shared" ca="1" si="64"/>
        <v>55</v>
      </c>
      <c r="G505" t="str">
        <f t="shared" si="65"/>
        <v>時刻(システムクロック)変更</v>
      </c>
    </row>
    <row r="506" spans="1:7" ht="11.25" customHeight="1" outlineLevel="1">
      <c r="A506" s="15"/>
      <c r="B506" s="15" t="s">
        <v>1776</v>
      </c>
      <c r="C506" s="16" t="s">
        <v>1792</v>
      </c>
      <c r="D506" s="17" t="s">
        <v>1793</v>
      </c>
      <c r="F506">
        <f t="shared" ca="1" si="64"/>
        <v>56</v>
      </c>
      <c r="G506" t="str">
        <f t="shared" si="65"/>
        <v>時刻(ハードウェアクロック)変更</v>
      </c>
    </row>
    <row r="507" spans="1:7" ht="11.25" customHeight="1" outlineLevel="1">
      <c r="A507" s="15"/>
      <c r="B507" s="15" t="s">
        <v>1777</v>
      </c>
      <c r="C507" s="16" t="s">
        <v>1778</v>
      </c>
      <c r="D507" s="17"/>
      <c r="F507">
        <f t="shared" ca="1" si="64"/>
        <v>57</v>
      </c>
      <c r="G507" t="str">
        <f t="shared" si="65"/>
        <v>プロセッサ数表示</v>
      </c>
    </row>
    <row r="508" spans="1:7" ht="11.25" customHeight="1" outlineLevel="1">
      <c r="A508" s="15"/>
      <c r="B508" s="15" t="s">
        <v>1779</v>
      </c>
      <c r="C508" s="16" t="s">
        <v>1780</v>
      </c>
      <c r="D508" s="17"/>
      <c r="F508">
        <f t="shared" ca="1" si="64"/>
        <v>58</v>
      </c>
      <c r="G508" t="str">
        <f t="shared" si="65"/>
        <v>システム情報表示</v>
      </c>
    </row>
    <row r="509" spans="1:7" ht="11.25" customHeight="1" outlineLevel="1">
      <c r="A509" s="15"/>
      <c r="B509" s="15" t="s">
        <v>1781</v>
      </c>
      <c r="C509" s="16" t="s">
        <v>1782</v>
      </c>
      <c r="D509" s="17"/>
      <c r="F509">
        <f t="shared" ca="1" si="64"/>
        <v>59</v>
      </c>
      <c r="G509" t="str">
        <f t="shared" si="65"/>
        <v>ハードウェア名表示</v>
      </c>
    </row>
    <row r="510" spans="1:7" ht="11.25" customHeight="1" outlineLevel="1">
      <c r="A510" s="15"/>
      <c r="B510" s="15" t="s">
        <v>1783</v>
      </c>
      <c r="C510" s="16" t="s">
        <v>1784</v>
      </c>
      <c r="D510" s="17"/>
      <c r="F510">
        <f t="shared" ca="1" si="64"/>
        <v>60</v>
      </c>
      <c r="G510" t="str">
        <f t="shared" si="65"/>
        <v>ホスト名表示</v>
      </c>
    </row>
    <row r="511" spans="1:7" ht="11.25" customHeight="1" outlineLevel="1">
      <c r="A511" s="15"/>
      <c r="B511" s="15" t="s">
        <v>1785</v>
      </c>
      <c r="C511" s="16" t="s">
        <v>1786</v>
      </c>
      <c r="D511" s="17"/>
      <c r="F511">
        <f t="shared" ca="1" si="64"/>
        <v>61</v>
      </c>
      <c r="G511" t="str">
        <f t="shared" si="65"/>
        <v>ホスト識別子表示(16進数)</v>
      </c>
    </row>
    <row r="512" spans="1:7" ht="11.25" customHeight="1" outlineLevel="1">
      <c r="A512" s="15"/>
      <c r="B512" s="15" t="s">
        <v>1787</v>
      </c>
      <c r="C512" s="16" t="s">
        <v>1788</v>
      </c>
      <c r="D512" s="17"/>
      <c r="F512">
        <f t="shared" ca="1" si="64"/>
        <v>62</v>
      </c>
      <c r="G512" t="str">
        <f t="shared" si="65"/>
        <v>システム起動時間等表示</v>
      </c>
    </row>
    <row r="513" spans="1:7" ht="11.25" customHeight="1" outlineLevel="1">
      <c r="A513" s="15"/>
      <c r="B513" s="18" t="s">
        <v>1851</v>
      </c>
      <c r="C513" s="16" t="s">
        <v>1798</v>
      </c>
      <c r="D513" s="17"/>
      <c r="F513">
        <f t="shared" ca="1" si="64"/>
        <v>63</v>
      </c>
      <c r="G513" t="str">
        <f t="shared" si="65"/>
        <v>名前付きパイプ作成</v>
      </c>
    </row>
    <row r="514" spans="1:7" ht="11.25" customHeight="1" outlineLevel="1">
      <c r="A514" s="15"/>
      <c r="B514" s="18" t="s">
        <v>1852</v>
      </c>
      <c r="C514" s="16" t="s">
        <v>1799</v>
      </c>
      <c r="D514" s="17"/>
      <c r="F514">
        <f t="shared" ca="1" si="64"/>
        <v>64</v>
      </c>
      <c r="G514" t="str">
        <f t="shared" si="65"/>
        <v>特殊ファイル作成</v>
      </c>
    </row>
    <row r="515" spans="1:7" ht="11.25" customHeight="1" outlineLevel="1">
      <c r="A515" s="15"/>
      <c r="B515" s="15" t="s">
        <v>1806</v>
      </c>
      <c r="C515" s="16" t="s">
        <v>1895</v>
      </c>
      <c r="D515" s="17"/>
      <c r="F515">
        <f t="shared" ca="1" si="64"/>
        <v>65</v>
      </c>
      <c r="G515" t="str">
        <f t="shared" si="65"/>
        <v>マニュアル確認</v>
      </c>
    </row>
    <row r="516" spans="1:7" ht="11.25" customHeight="1" outlineLevel="1">
      <c r="A516" s="15"/>
      <c r="B516" s="15" t="s">
        <v>1808</v>
      </c>
      <c r="C516" s="16" t="s">
        <v>1809</v>
      </c>
      <c r="D516" s="17"/>
      <c r="F516">
        <f t="shared" ca="1" si="64"/>
        <v>66</v>
      </c>
      <c r="G516" t="str">
        <f t="shared" si="65"/>
        <v>カレンダー表示</v>
      </c>
    </row>
    <row r="517" spans="1:7" ht="11.25" customHeight="1" outlineLevel="1">
      <c r="A517" s="15"/>
      <c r="B517" s="15" t="s">
        <v>1816</v>
      </c>
      <c r="C517" s="16" t="s">
        <v>1817</v>
      </c>
      <c r="D517" s="17"/>
      <c r="F517">
        <f t="shared" ca="1" si="64"/>
        <v>67</v>
      </c>
      <c r="G517" t="str">
        <f t="shared" si="65"/>
        <v>特定ルートディレクトリでコマンド実行</v>
      </c>
    </row>
    <row r="518" spans="1:7" ht="11.25" customHeight="1" outlineLevel="1">
      <c r="A518" s="15"/>
      <c r="B518" s="15" t="s">
        <v>1818</v>
      </c>
      <c r="C518" s="16" t="s">
        <v>1819</v>
      </c>
      <c r="D518" s="17"/>
      <c r="F518">
        <f t="shared" ca="1" si="64"/>
        <v>68</v>
      </c>
      <c r="G518" t="str">
        <f t="shared" si="65"/>
        <v>バッファリングモード変更＆コマンド実行</v>
      </c>
    </row>
    <row r="519" spans="1:7" ht="11.25" customHeight="1" outlineLevel="1">
      <c r="A519" s="15"/>
      <c r="B519" s="15" t="s">
        <v>1820</v>
      </c>
      <c r="C519" s="16" t="s">
        <v>1872</v>
      </c>
      <c r="D519" s="17" t="s">
        <v>1873</v>
      </c>
      <c r="F519">
        <f t="shared" ca="1" si="64"/>
        <v>69</v>
      </c>
      <c r="G519" t="str">
        <f t="shared" si="65"/>
        <v>素因数分解</v>
      </c>
    </row>
    <row r="520" spans="1:7" ht="11.25" customHeight="1" outlineLevel="1">
      <c r="A520" s="15"/>
      <c r="B520" s="15" t="s">
        <v>1379</v>
      </c>
      <c r="C520" s="16" t="s">
        <v>1380</v>
      </c>
      <c r="D520" s="17"/>
      <c r="F520">
        <f t="shared" ca="1" si="64"/>
        <v>70</v>
      </c>
      <c r="G520" t="str">
        <f t="shared" si="65"/>
        <v>簡易電卓</v>
      </c>
    </row>
    <row r="521" spans="1:7" ht="11.25" customHeight="1" outlineLevel="1">
      <c r="A521" s="15"/>
      <c r="B521" s="15" t="s">
        <v>1364</v>
      </c>
      <c r="C521" s="16" t="s">
        <v>1365</v>
      </c>
      <c r="D521" s="25" t="s">
        <v>1384</v>
      </c>
      <c r="F521">
        <f t="shared" ca="1" si="64"/>
        <v>71</v>
      </c>
      <c r="G521" t="str">
        <f t="shared" si="65"/>
        <v>コマンド結果をクリップボードにコピー</v>
      </c>
    </row>
    <row r="522" spans="1:7" ht="11.25" customHeight="1" outlineLevel="1">
      <c r="A522" s="15"/>
      <c r="B522" s="15" t="s">
        <v>1374</v>
      </c>
      <c r="C522" s="16" t="s">
        <v>1375</v>
      </c>
      <c r="D522" s="17" t="s">
        <v>1993</v>
      </c>
      <c r="F522">
        <f t="shared" ca="1" si="64"/>
        <v>72</v>
      </c>
      <c r="G522" t="str">
        <f t="shared" si="65"/>
        <v>プロセス実行優先度変更後コマンド実行</v>
      </c>
    </row>
    <row r="523" spans="1:7" ht="11.25" customHeight="1" outlineLevel="1">
      <c r="A523" s="15"/>
      <c r="B523" s="15" t="s">
        <v>1376</v>
      </c>
      <c r="C523" s="16" t="s">
        <v>1377</v>
      </c>
      <c r="D523" s="17"/>
      <c r="F523">
        <f t="shared" ca="1" si="64"/>
        <v>73</v>
      </c>
      <c r="G523" t="str">
        <f t="shared" si="65"/>
        <v>ログアウト後継続コマンド実行</v>
      </c>
    </row>
    <row r="524" spans="1:7" ht="11.25" customHeight="1" outlineLevel="1">
      <c r="A524" s="15"/>
      <c r="B524" s="15" t="s">
        <v>1994</v>
      </c>
      <c r="C524" s="16" t="s">
        <v>1378</v>
      </c>
      <c r="D524" s="17" t="s">
        <v>2004</v>
      </c>
      <c r="F524">
        <f t="shared" ca="1" si="64"/>
        <v>74</v>
      </c>
      <c r="G524" t="str">
        <f t="shared" si="65"/>
        <v>スクリプト自動実行＠at</v>
      </c>
    </row>
    <row r="525" spans="1:7" ht="11.25" customHeight="1" outlineLevel="1">
      <c r="A525" s="15"/>
      <c r="B525" s="3" t="s">
        <v>1996</v>
      </c>
      <c r="C525" s="24" t="s">
        <v>1995</v>
      </c>
      <c r="D525" s="51" t="s">
        <v>2001</v>
      </c>
      <c r="F525">
        <f t="shared" ca="1" si="64"/>
        <v>75</v>
      </c>
      <c r="G525" t="str">
        <f t="shared" si="65"/>
        <v>スクリプト自動実行＠cron 設定</v>
      </c>
    </row>
    <row r="526" spans="1:7" ht="11.25" customHeight="1" outlineLevel="1">
      <c r="A526" s="15"/>
      <c r="B526" s="15" t="s">
        <v>1998</v>
      </c>
      <c r="C526" s="24" t="s">
        <v>1997</v>
      </c>
      <c r="D526" s="17"/>
      <c r="F526">
        <f t="shared" ca="1" si="64"/>
        <v>76</v>
      </c>
      <c r="G526" t="str">
        <f t="shared" si="65"/>
        <v>スクリプト自動実行＠cron 設定情報表示</v>
      </c>
    </row>
    <row r="527" spans="1:7" ht="11.25" customHeight="1" outlineLevel="1">
      <c r="A527" s="15"/>
      <c r="B527" s="15" t="s">
        <v>1999</v>
      </c>
      <c r="C527" s="24" t="s">
        <v>2000</v>
      </c>
      <c r="D527" s="17"/>
      <c r="F527">
        <f t="shared" ca="1" si="64"/>
        <v>77</v>
      </c>
      <c r="G527" t="str">
        <f t="shared" si="65"/>
        <v>スクリプト自動実行＠cron 設定削除</v>
      </c>
    </row>
    <row r="528" spans="1:7" ht="11.25" customHeight="1" outlineLevel="1">
      <c r="A528" s="15"/>
      <c r="B528" s="15" t="s">
        <v>1849</v>
      </c>
      <c r="C528" s="16" t="s">
        <v>1850</v>
      </c>
      <c r="D528" s="17"/>
      <c r="F528">
        <f t="shared" ca="1" si="64"/>
        <v>78</v>
      </c>
      <c r="G528" t="str">
        <f t="shared" si="65"/>
        <v>vim(垂直分割)</v>
      </c>
    </row>
    <row r="529" spans="1:7" ht="11.25" customHeight="1" outlineLevel="1">
      <c r="A529" s="15"/>
      <c r="B529" s="3" t="s">
        <v>2007</v>
      </c>
      <c r="C529" s="16" t="s">
        <v>2009</v>
      </c>
      <c r="D529" s="17" t="s">
        <v>2011</v>
      </c>
      <c r="F529">
        <f t="shared" ca="1" si="64"/>
        <v>79</v>
      </c>
      <c r="G529" t="str">
        <f t="shared" si="65"/>
        <v>排他ロック</v>
      </c>
    </row>
    <row r="530" spans="1:7" ht="11.25" customHeight="1" outlineLevel="1">
      <c r="A530" s="15"/>
      <c r="B530" s="3" t="s">
        <v>2008</v>
      </c>
      <c r="C530" s="16" t="s">
        <v>2010</v>
      </c>
      <c r="D530" s="17" t="s">
        <v>2012</v>
      </c>
      <c r="F530">
        <f t="shared" ca="1" si="64"/>
        <v>80</v>
      </c>
      <c r="G530" t="str">
        <f t="shared" si="65"/>
        <v>共有ロック</v>
      </c>
    </row>
    <row r="531" spans="1:7" ht="11.25" customHeight="1" outlineLevel="1">
      <c r="A531" s="15"/>
      <c r="B531" s="15" t="s">
        <v>2855</v>
      </c>
      <c r="C531" s="16" t="s">
        <v>2850</v>
      </c>
      <c r="D531" s="19" t="s">
        <v>2851</v>
      </c>
      <c r="F531">
        <f t="shared" ca="1" si="64"/>
        <v>81</v>
      </c>
      <c r="G531" t="str">
        <f t="shared" si="65"/>
        <v>コマンドバージョン切替え 切替え対象バージョン追加</v>
      </c>
    </row>
    <row r="532" spans="1:7" ht="11.25" customHeight="1" outlineLevel="1">
      <c r="A532" s="15"/>
      <c r="B532" s="15" t="s">
        <v>2856</v>
      </c>
      <c r="C532" s="16" t="s">
        <v>2852</v>
      </c>
      <c r="D532" s="17" t="s">
        <v>2859</v>
      </c>
      <c r="F532">
        <f t="shared" ca="1" si="64"/>
        <v>82</v>
      </c>
      <c r="G532" t="str">
        <f t="shared" si="65"/>
        <v>コマンドバージョン切替え 切替え実行（手動）</v>
      </c>
    </row>
    <row r="533" spans="1:7" ht="11.25" customHeight="1" outlineLevel="1">
      <c r="A533" s="15"/>
      <c r="B533" s="15" t="s">
        <v>2857</v>
      </c>
      <c r="C533" s="16" t="s">
        <v>2853</v>
      </c>
      <c r="D533" s="17" t="s">
        <v>2858</v>
      </c>
      <c r="F533">
        <f t="shared" ca="1" si="64"/>
        <v>83</v>
      </c>
      <c r="G533" t="str">
        <f t="shared" si="65"/>
        <v>コマンドバージョン切替え 切替え実行（自動）</v>
      </c>
    </row>
    <row r="534" spans="1:7" ht="11.25" customHeight="1" outlineLevel="1">
      <c r="A534" s="15"/>
      <c r="B534" s="15" t="s">
        <v>2860</v>
      </c>
      <c r="C534" s="16" t="s">
        <v>2854</v>
      </c>
      <c r="D534" s="17" t="s">
        <v>2849</v>
      </c>
      <c r="F534">
        <f t="shared" ca="1" si="64"/>
        <v>84</v>
      </c>
      <c r="G534" t="str">
        <f t="shared" si="65"/>
        <v>コマンドバージョン切替え 切替え対象バージョン確認</v>
      </c>
    </row>
    <row r="535" spans="1:7" ht="11.25" customHeight="1" outlineLevel="1">
      <c r="A535" s="15"/>
      <c r="B535" s="15" t="s">
        <v>3375</v>
      </c>
      <c r="C535" s="16" t="s">
        <v>3374</v>
      </c>
      <c r="D535" s="17" t="s">
        <v>122</v>
      </c>
      <c r="F535">
        <f t="shared" ref="F535:F536" ca="1" si="66">IF(G535="",OFFSET(F535,-1,0),OFFSET(F535,-1,0)+1)</f>
        <v>85</v>
      </c>
      <c r="G535" t="str">
        <f t="shared" ref="G535:G536" si="67">IF(B535="","",B535)</f>
        <v>再起動</v>
      </c>
    </row>
    <row r="536" spans="1:7" ht="11.25" customHeight="1" outlineLevel="1">
      <c r="A536" s="15"/>
      <c r="B536" s="15" t="s">
        <v>3376</v>
      </c>
      <c r="C536" s="16" t="s">
        <v>3377</v>
      </c>
      <c r="D536" s="17" t="s">
        <v>122</v>
      </c>
      <c r="F536">
        <f t="shared" ca="1" si="66"/>
        <v>86</v>
      </c>
      <c r="G536" t="str">
        <f t="shared" si="67"/>
        <v>シャットダウン</v>
      </c>
    </row>
    <row r="537" spans="1:7" ht="11.25" customHeight="1">
      <c r="A537" s="12" t="s">
        <v>2003</v>
      </c>
      <c r="B537" s="13"/>
      <c r="C537" s="13"/>
      <c r="D537" s="14" t="s">
        <v>122</v>
      </c>
      <c r="E537" t="s">
        <v>122</v>
      </c>
      <c r="F537">
        <f t="shared" ca="1" si="64"/>
        <v>86</v>
      </c>
      <c r="G537" t="str">
        <f t="shared" si="65"/>
        <v/>
      </c>
    </row>
    <row r="538" spans="1:7" ht="11.25" customHeight="1" outlineLevel="1">
      <c r="A538" s="15"/>
      <c r="B538" s="15" t="s">
        <v>1834</v>
      </c>
      <c r="C538" s="16" t="s">
        <v>1835</v>
      </c>
      <c r="D538" s="17"/>
      <c r="F538">
        <f t="shared" ref="F538:F543" ca="1" si="68">IF(G538="",OFFSET(F538,-1,0),OFFSET(F538,-1,0)+1)</f>
        <v>87</v>
      </c>
      <c r="G538" t="str">
        <f t="shared" ref="G538:G543" si="69">IF(B538="","",B538)</f>
        <v>SCP転送(ファイル)</v>
      </c>
    </row>
    <row r="539" spans="1:7" ht="11.25" customHeight="1" outlineLevel="1">
      <c r="A539" s="15"/>
      <c r="B539" s="15" t="s">
        <v>1836</v>
      </c>
      <c r="C539" s="16" t="s">
        <v>1837</v>
      </c>
      <c r="D539" s="17"/>
      <c r="F539">
        <f t="shared" ca="1" si="68"/>
        <v>88</v>
      </c>
      <c r="G539" t="str">
        <f t="shared" si="69"/>
        <v>SCP転送(フォルダ)</v>
      </c>
    </row>
    <row r="540" spans="1:7" ht="11.25" customHeight="1" outlineLevel="1">
      <c r="A540" s="15"/>
      <c r="B540" s="15" t="s">
        <v>1838</v>
      </c>
      <c r="C540" s="16" t="s">
        <v>1839</v>
      </c>
      <c r="D540" s="17" t="s">
        <v>1840</v>
      </c>
      <c r="F540">
        <f t="shared" ca="1" si="68"/>
        <v>89</v>
      </c>
      <c r="G540" t="str">
        <f t="shared" si="69"/>
        <v>SCP転送(パスワード自動入力)</v>
      </c>
    </row>
    <row r="541" spans="1:7" ht="11.25" customHeight="1" outlineLevel="1">
      <c r="A541" s="15"/>
      <c r="B541" s="15" t="s">
        <v>1810</v>
      </c>
      <c r="C541" s="16" t="s">
        <v>1896</v>
      </c>
      <c r="D541" s="17"/>
      <c r="F541">
        <f t="shared" ca="1" si="68"/>
        <v>90</v>
      </c>
      <c r="G541" t="str">
        <f t="shared" si="69"/>
        <v>URLコンテンツ取得(Client for URL)</v>
      </c>
    </row>
    <row r="542" spans="1:7" ht="11.25" customHeight="1" outlineLevel="1">
      <c r="A542" s="15"/>
      <c r="B542" s="15" t="s">
        <v>1811</v>
      </c>
      <c r="C542" s="16" t="s">
        <v>1897</v>
      </c>
      <c r="D542" s="17"/>
      <c r="F542">
        <f t="shared" ca="1" si="68"/>
        <v>91</v>
      </c>
      <c r="G542" t="str">
        <f t="shared" si="69"/>
        <v>URLコンテンツ取得(ファイルダウンロード)</v>
      </c>
    </row>
    <row r="543" spans="1:7" ht="11.25" customHeight="1" outlineLevel="1">
      <c r="A543" s="15"/>
      <c r="B543" s="15" t="s">
        <v>1812</v>
      </c>
      <c r="C543" s="16" t="s">
        <v>1813</v>
      </c>
      <c r="D543" s="17"/>
      <c r="F543">
        <f t="shared" ca="1" si="68"/>
        <v>92</v>
      </c>
      <c r="G543" t="str">
        <f t="shared" si="69"/>
        <v>TCP/IPアドレス情報表示</v>
      </c>
    </row>
    <row r="544" spans="1:7" ht="11.25" customHeight="1" outlineLevel="1">
      <c r="A544" s="15"/>
      <c r="B544" s="15" t="s">
        <v>1989</v>
      </c>
      <c r="C544" s="16" t="s">
        <v>1990</v>
      </c>
      <c r="D544" s="17"/>
      <c r="F544">
        <f t="shared" ref="F544:F550" ca="1" si="70">IF(G544="",OFFSET(F544,-1,0),OFFSET(F544,-1,0)+1)</f>
        <v>93</v>
      </c>
      <c r="G544" t="str">
        <f t="shared" ref="G544:G550" si="71">IF(B544="","",B544)</f>
        <v>TCP/IPアドレス情報表示(MACアドレス取得)</v>
      </c>
    </row>
    <row r="545" spans="1:7" ht="11.25" customHeight="1" outlineLevel="1">
      <c r="A545" s="15"/>
      <c r="B545" s="15" t="s">
        <v>1992</v>
      </c>
      <c r="C545" s="16" t="s">
        <v>1991</v>
      </c>
      <c r="D545" s="17"/>
      <c r="F545">
        <f t="shared" ca="1" si="70"/>
        <v>94</v>
      </c>
      <c r="G545" t="str">
        <f t="shared" si="71"/>
        <v>TCP/IPアドレス情報表示(IPアドレス取得)</v>
      </c>
    </row>
    <row r="546" spans="1:7" ht="11.25" customHeight="1" outlineLevel="1">
      <c r="A546" s="15"/>
      <c r="B546" s="15" t="s">
        <v>1814</v>
      </c>
      <c r="C546" s="16" t="s">
        <v>1815</v>
      </c>
      <c r="D546" s="17"/>
      <c r="F546">
        <f t="shared" ca="1" si="70"/>
        <v>95</v>
      </c>
      <c r="G546" t="str">
        <f t="shared" si="71"/>
        <v>パケット送付</v>
      </c>
    </row>
    <row r="547" spans="1:7" ht="11.25" customHeight="1" outlineLevel="1">
      <c r="A547" s="15"/>
      <c r="B547" s="15" t="s">
        <v>1800</v>
      </c>
      <c r="C547" s="16" t="s">
        <v>1801</v>
      </c>
      <c r="D547" s="17"/>
      <c r="F547">
        <f t="shared" ca="1" si="70"/>
        <v>96</v>
      </c>
      <c r="G547" t="str">
        <f t="shared" si="71"/>
        <v>ネットワーク切断</v>
      </c>
    </row>
    <row r="548" spans="1:7" ht="11.25" customHeight="1" outlineLevel="1">
      <c r="A548" s="15"/>
      <c r="B548" s="15" t="s">
        <v>1802</v>
      </c>
      <c r="C548" s="16" t="s">
        <v>1803</v>
      </c>
      <c r="D548" s="17"/>
      <c r="F548">
        <f t="shared" ca="1" si="70"/>
        <v>97</v>
      </c>
      <c r="G548" t="str">
        <f t="shared" si="71"/>
        <v>ネットワーク接続</v>
      </c>
    </row>
    <row r="549" spans="1:7" ht="11.25" customHeight="1" outlineLevel="1">
      <c r="A549" s="15"/>
      <c r="B549" s="15" t="s">
        <v>1804</v>
      </c>
      <c r="C549" s="16" t="s">
        <v>1805</v>
      </c>
      <c r="D549" s="17"/>
      <c r="F549">
        <f t="shared" ca="1" si="70"/>
        <v>98</v>
      </c>
      <c r="G549" t="str">
        <f t="shared" si="71"/>
        <v>ネットワーク状況確認</v>
      </c>
    </row>
    <row r="550" spans="1:7" ht="11.25" customHeight="1">
      <c r="A550" s="12" t="s">
        <v>2002</v>
      </c>
      <c r="B550" s="13"/>
      <c r="C550" s="13"/>
      <c r="D550" s="14" t="s">
        <v>122</v>
      </c>
      <c r="E550" t="s">
        <v>122</v>
      </c>
      <c r="F550">
        <f t="shared" ca="1" si="70"/>
        <v>98</v>
      </c>
      <c r="G550" t="str">
        <f t="shared" si="71"/>
        <v/>
      </c>
    </row>
    <row r="551" spans="1:7" ht="11.25" customHeight="1" outlineLevel="1">
      <c r="A551" s="15"/>
      <c r="B551" s="15" t="s">
        <v>1360</v>
      </c>
      <c r="C551" s="16" t="s">
        <v>1361</v>
      </c>
      <c r="D551" s="17"/>
      <c r="F551">
        <f t="shared" ref="F551:F559" ca="1" si="72">IF(G551="",OFFSET(F551,-1,0),OFFSET(F551,-1,0)+1)</f>
        <v>99</v>
      </c>
      <c r="G551" t="str">
        <f t="shared" ref="G551:G559" si="73">IF(B551="","",B551)</f>
        <v>コンパイル実行</v>
      </c>
    </row>
    <row r="552" spans="1:7" ht="11.25" customHeight="1" outlineLevel="1">
      <c r="A552" s="15"/>
      <c r="B552" s="15" t="s">
        <v>1362</v>
      </c>
      <c r="C552" s="16" t="s">
        <v>1363</v>
      </c>
      <c r="D552" s="17"/>
      <c r="F552">
        <f t="shared" ca="1" si="72"/>
        <v>100</v>
      </c>
      <c r="G552" t="str">
        <f t="shared" si="73"/>
        <v>コンパイル実行(コンパイル＆アセンブルのみ)</v>
      </c>
    </row>
    <row r="553" spans="1:7" ht="11.25" customHeight="1" outlineLevel="1">
      <c r="A553" s="15"/>
      <c r="B553" s="15" t="s">
        <v>1821</v>
      </c>
      <c r="C553" s="16" t="s">
        <v>1822</v>
      </c>
      <c r="D553" s="17"/>
      <c r="F553">
        <f t="shared" ca="1" si="72"/>
        <v>101</v>
      </c>
      <c r="G553" t="str">
        <f t="shared" si="73"/>
        <v>make(デフォルトターゲット指定)</v>
      </c>
    </row>
    <row r="554" spans="1:7" ht="11.25" customHeight="1" outlineLevel="1">
      <c r="A554" s="15"/>
      <c r="B554" s="15" t="s">
        <v>1823</v>
      </c>
      <c r="C554" s="16" t="s">
        <v>1824</v>
      </c>
      <c r="D554" s="17"/>
      <c r="F554">
        <f t="shared" ca="1" si="72"/>
        <v>102</v>
      </c>
      <c r="G554" t="str">
        <f t="shared" si="73"/>
        <v>make(ターゲット指定)</v>
      </c>
    </row>
    <row r="555" spans="1:7" ht="11.25" customHeight="1" outlineLevel="1">
      <c r="A555" s="15"/>
      <c r="B555" s="15" t="s">
        <v>1825</v>
      </c>
      <c r="C555" s="16" t="s">
        <v>1826</v>
      </c>
      <c r="D555" s="17"/>
      <c r="F555">
        <f t="shared" ca="1" si="72"/>
        <v>103</v>
      </c>
      <c r="G555" t="str">
        <f t="shared" si="73"/>
        <v>make(メイクファイル指定)</v>
      </c>
    </row>
    <row r="556" spans="1:7" ht="11.25" customHeight="1" outlineLevel="1">
      <c r="A556" s="15"/>
      <c r="B556" s="15" t="s">
        <v>1827</v>
      </c>
      <c r="C556" s="16" t="s">
        <v>1828</v>
      </c>
      <c r="D556" s="17"/>
      <c r="F556">
        <f t="shared" ca="1" si="72"/>
        <v>104</v>
      </c>
      <c r="G556" t="str">
        <f t="shared" si="73"/>
        <v>make(標準入力指定)</v>
      </c>
    </row>
    <row r="557" spans="1:7" ht="11.25" customHeight="1" outlineLevel="1">
      <c r="A557" s="15"/>
      <c r="B557" s="15" t="s">
        <v>1829</v>
      </c>
      <c r="C557" s="16" t="s">
        <v>1830</v>
      </c>
      <c r="D557" s="17"/>
      <c r="F557">
        <f t="shared" ca="1" si="72"/>
        <v>105</v>
      </c>
      <c r="G557" t="str">
        <f t="shared" si="73"/>
        <v>make(エラー無視)</v>
      </c>
    </row>
    <row r="558" spans="1:7" ht="11.25" customHeight="1" outlineLevel="1">
      <c r="A558" s="15"/>
      <c r="B558" s="15" t="s">
        <v>1831</v>
      </c>
      <c r="C558" s="16" t="s">
        <v>1832</v>
      </c>
      <c r="D558" s="17"/>
      <c r="F558">
        <f t="shared" ca="1" si="72"/>
        <v>106</v>
      </c>
      <c r="G558" t="str">
        <f t="shared" si="73"/>
        <v>make(コマンド出力のみ)</v>
      </c>
    </row>
    <row r="559" spans="1:7" ht="11.25" customHeight="1" outlineLevel="1">
      <c r="A559" s="15"/>
      <c r="B559" s="18" t="s">
        <v>1860</v>
      </c>
      <c r="C559" s="16" t="s">
        <v>1841</v>
      </c>
      <c r="D559" s="17"/>
      <c r="F559">
        <f t="shared" ca="1" si="72"/>
        <v>107</v>
      </c>
      <c r="G559" t="str">
        <f t="shared" si="73"/>
        <v>シンボル情報表示</v>
      </c>
    </row>
    <row r="560" spans="1:7" ht="11.25" customHeight="1" outlineLevel="1">
      <c r="A560" s="15"/>
      <c r="B560" s="15" t="s">
        <v>1844</v>
      </c>
      <c r="C560" s="16" t="s">
        <v>1902</v>
      </c>
      <c r="D560" s="17"/>
      <c r="F560">
        <f t="shared" ref="F560:F571" ca="1" si="74">IF(G560="",OFFSET(F560,-1,0),OFFSET(F560,-1,0)+1)</f>
        <v>108</v>
      </c>
      <c r="G560" t="str">
        <f t="shared" ref="G560:G571" si="75">IF(B560="","",B560)</f>
        <v>アーカイブファイル作成</v>
      </c>
    </row>
    <row r="561" spans="1:7" ht="11.25" customHeight="1" outlineLevel="1">
      <c r="A561" s="15"/>
      <c r="B561" s="15" t="s">
        <v>1842</v>
      </c>
      <c r="C561" s="16" t="s">
        <v>1843</v>
      </c>
      <c r="D561" s="17" t="s">
        <v>1964</v>
      </c>
      <c r="F561">
        <f t="shared" ca="1" si="74"/>
        <v>109</v>
      </c>
      <c r="G561" t="str">
        <f t="shared" si="75"/>
        <v>書庫インデックス作成</v>
      </c>
    </row>
    <row r="562" spans="1:7" ht="11.25" customHeight="1" outlineLevel="1">
      <c r="A562" s="15"/>
      <c r="B562" s="15" t="s">
        <v>1845</v>
      </c>
      <c r="C562" s="16" t="s">
        <v>1846</v>
      </c>
      <c r="D562" s="17"/>
      <c r="F562">
        <f t="shared" ca="1" si="74"/>
        <v>110</v>
      </c>
      <c r="G562" t="str">
        <f t="shared" si="75"/>
        <v>ctags</v>
      </c>
    </row>
    <row r="563" spans="1:7" ht="11.25" customHeight="1" outlineLevel="1">
      <c r="A563" s="15"/>
      <c r="B563" s="15" t="s">
        <v>1847</v>
      </c>
      <c r="C563" s="16" t="s">
        <v>1848</v>
      </c>
      <c r="D563" s="17"/>
      <c r="F563">
        <f t="shared" ca="1" si="74"/>
        <v>111</v>
      </c>
      <c r="G563" t="str">
        <f t="shared" si="75"/>
        <v>gtags</v>
      </c>
    </row>
    <row r="564" spans="1:7" ht="11.25" customHeight="1">
      <c r="A564" s="12" t="s">
        <v>1903</v>
      </c>
      <c r="B564" s="13"/>
      <c r="C564" s="13"/>
      <c r="D564" s="14" t="s">
        <v>122</v>
      </c>
      <c r="E564" t="s">
        <v>122</v>
      </c>
      <c r="F564">
        <f t="shared" ca="1" si="74"/>
        <v>111</v>
      </c>
      <c r="G564" t="str">
        <f t="shared" si="75"/>
        <v/>
      </c>
    </row>
    <row r="565" spans="1:7" ht="11.25" customHeight="1" outlineLevel="1">
      <c r="A565" s="15"/>
      <c r="B565" s="18" t="s">
        <v>2758</v>
      </c>
      <c r="C565"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5" s="17" t="s">
        <v>2785</v>
      </c>
      <c r="F565">
        <f t="shared" ca="1" si="74"/>
        <v>112</v>
      </c>
      <c r="G565" t="str">
        <f t="shared" si="75"/>
        <v>引数パーサー</v>
      </c>
    </row>
    <row r="566" spans="1:7" ht="11.25" customHeight="1" outlineLevel="1">
      <c r="A566" s="15"/>
      <c r="B566" s="15"/>
      <c r="C566" s="16"/>
      <c r="D566" s="17" t="s">
        <v>2075</v>
      </c>
      <c r="F566">
        <f t="shared" ca="1" si="74"/>
        <v>112</v>
      </c>
      <c r="G566" t="str">
        <f t="shared" si="75"/>
        <v/>
      </c>
    </row>
    <row r="567" spans="1:7" ht="11.25" customHeight="1" outlineLevel="1">
      <c r="A567" s="15"/>
      <c r="B567" s="15"/>
      <c r="C567" s="16"/>
      <c r="D567" s="17" t="s">
        <v>2075</v>
      </c>
      <c r="F567">
        <f t="shared" ca="1" si="74"/>
        <v>112</v>
      </c>
      <c r="G567" t="str">
        <f t="shared" si="75"/>
        <v/>
      </c>
    </row>
    <row r="568" spans="1:7" ht="11.25" customHeight="1" outlineLevel="1">
      <c r="A568" s="15"/>
      <c r="B568" s="15"/>
      <c r="C568" s="16"/>
      <c r="D568" s="17" t="s">
        <v>2075</v>
      </c>
      <c r="F568">
        <f t="shared" ca="1" si="74"/>
        <v>112</v>
      </c>
      <c r="G568" t="str">
        <f t="shared" si="75"/>
        <v/>
      </c>
    </row>
    <row r="569" spans="1:7" ht="11.25" customHeight="1" outlineLevel="1">
      <c r="A569" s="15"/>
      <c r="B569" s="15"/>
      <c r="C569" s="16"/>
      <c r="D569" s="17" t="s">
        <v>2075</v>
      </c>
      <c r="F569">
        <f t="shared" ca="1" si="74"/>
        <v>112</v>
      </c>
      <c r="G569" t="str">
        <f t="shared" si="75"/>
        <v/>
      </c>
    </row>
    <row r="570" spans="1:7" ht="11.25" customHeight="1" outlineLevel="1">
      <c r="A570" s="15"/>
      <c r="B570" s="15"/>
      <c r="C570" s="16"/>
      <c r="D570" s="17" t="s">
        <v>2075</v>
      </c>
      <c r="F570">
        <f t="shared" ca="1" si="74"/>
        <v>112</v>
      </c>
      <c r="G570" t="str">
        <f t="shared" si="75"/>
        <v/>
      </c>
    </row>
    <row r="571" spans="1:7" ht="11.25" customHeight="1" outlineLevel="1">
      <c r="A571" s="15"/>
      <c r="B571" s="15"/>
      <c r="C571" s="16"/>
      <c r="D571" s="17" t="s">
        <v>2075</v>
      </c>
      <c r="F571">
        <f t="shared" ca="1" si="74"/>
        <v>112</v>
      </c>
      <c r="G571" t="str">
        <f t="shared" si="75"/>
        <v/>
      </c>
    </row>
    <row r="572" spans="1:7" ht="11.25" customHeight="1">
      <c r="A572" t="s">
        <v>393</v>
      </c>
      <c r="B572" t="s">
        <v>393</v>
      </c>
      <c r="C572" t="s">
        <v>393</v>
      </c>
      <c r="D572"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1" r:id="rId14" xr:uid="{D46EE624-4F47-478E-B5BD-C8E26E7A0A82}"/>
    <hyperlink ref="D398" r:id="rId15" xr:uid="{3C2D4B8E-D654-4FE2-B8E1-9D9C91518CAA}"/>
    <hyperlink ref="B220" r:id="rId16" xr:uid="{74CD86D0-2779-4C6F-91C0-82169D19DFC2}"/>
    <hyperlink ref="B243" r:id="rId17" xr:uid="{D820A2D1-981E-486F-8A50-6FFBFC61DDA0}"/>
    <hyperlink ref="D260" r:id="rId18" xr:uid="{2DFDD037-1F36-4BB5-B190-8E6B7A0AC7A9}"/>
    <hyperlink ref="B331" r:id="rId19" xr:uid="{D789877F-BEEB-4908-A574-65A31B61AE3A}"/>
    <hyperlink ref="B335" r:id="rId20" xr:uid="{D94FE99A-D68D-431B-98B7-5B041B329F6D}"/>
    <hyperlink ref="B362" r:id="rId21" xr:uid="{16533156-79C8-4C16-B11F-C05BB941609C}"/>
    <hyperlink ref="B364" r:id="rId22" xr:uid="{8EE94606-745E-4BE7-A9E0-80FB7B283739}"/>
    <hyperlink ref="D299" r:id="rId23" xr:uid="{1C3FEECF-9035-4155-8B22-ECF00B300669}"/>
    <hyperlink ref="B513" r:id="rId24" xr:uid="{A1FAA3CC-02A2-43E5-8196-D8AB7A2F47E9}"/>
    <hyperlink ref="B514" r:id="rId25" xr:uid="{2C1D469C-8C10-4D93-A896-C55A708416D7}"/>
    <hyperlink ref="B370" r:id="rId26" xr:uid="{F570FBE9-0ED8-45D2-BCA2-DA9F8AA716C8}"/>
    <hyperlink ref="B559" r:id="rId27" xr:uid="{BCDD13C5-F01B-408A-80CB-CD353AA17C0A}"/>
    <hyperlink ref="B54" r:id="rId28" xr:uid="{C5AC84D6-5591-4F38-8A00-D6AB8B572967}"/>
    <hyperlink ref="B77" r:id="rId29" xr:uid="{E48D37EE-85C8-4AD2-8741-34595708582A}"/>
    <hyperlink ref="B88" r:id="rId30" xr:uid="{2631135A-D57F-4FE1-BA3E-C58BF26529B8}"/>
    <hyperlink ref="B238" r:id="rId31" xr:uid="{DAFD9059-72A7-4AEF-A920-D7ADECBF8480}"/>
    <hyperlink ref="B375" r:id="rId32" xr:uid="{1F03796D-ED57-4BB0-8587-CE71C446575D}"/>
    <hyperlink ref="B525" r:id="rId33" xr:uid="{72589B39-F472-43F9-A019-1F43B74CBF24}"/>
    <hyperlink ref="B203" r:id="rId34" xr:uid="{4A95ABB7-9226-4964-8B5A-842655F14AB0}"/>
    <hyperlink ref="B529" r:id="rId35" xr:uid="{0C4C0F4E-0F13-4C02-905F-2D95DE378151}"/>
    <hyperlink ref="B530"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5" r:id="rId43" display="引数パース" xr:uid="{62A59E0D-C3BD-4141-8C05-9A51B9F70C25}"/>
    <hyperlink ref="B460"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2" activePane="bottomRight" state="frozen"/>
      <selection pane="topRight" activeCell="L1" sqref="L1"/>
      <selection pane="bottomLeft" activeCell="A2" sqref="A2"/>
      <selection pane="bottomRight" activeCell="C525" sqref="C52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3"/>
  <sheetViews>
    <sheetView showGridLines="0" tabSelected="1"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D87" sqref="D87"/>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9"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9"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4056</v>
      </c>
      <c r="C66" s="26" t="s">
        <v>4057</v>
      </c>
      <c r="D66" s="17" t="s">
        <v>4058</v>
      </c>
      <c r="F66">
        <f t="shared" ref="F66" ca="1" si="10">IF(G66="",OFFSET(F66,-1,0),OFFSET(F66,-1,0)+1)</f>
        <v>901</v>
      </c>
      <c r="G66" t="str">
        <f t="shared" ref="G66" si="11">IF(B66="","",B66)</f>
        <v>変更取消し ステージング時</v>
      </c>
    </row>
    <row r="67" spans="1:7" ht="11.25" customHeight="1" outlineLevel="1">
      <c r="A67" s="15"/>
      <c r="B67" s="15" t="s">
        <v>2663</v>
      </c>
      <c r="C67" s="16" t="s">
        <v>2664</v>
      </c>
      <c r="D67" s="17"/>
      <c r="F67">
        <f t="shared" ca="1" si="6"/>
        <v>902</v>
      </c>
      <c r="G67" t="str">
        <f t="shared" si="7"/>
        <v>直前reset取消し</v>
      </c>
    </row>
    <row r="68" spans="1:7" ht="11.25" customHeight="1" outlineLevel="1">
      <c r="A68" s="15"/>
      <c r="B68" s="15" t="s">
        <v>2665</v>
      </c>
      <c r="C68" s="16" t="s">
        <v>2666</v>
      </c>
      <c r="D68" s="17"/>
      <c r="F68">
        <f t="shared" ca="1" si="6"/>
        <v>903</v>
      </c>
      <c r="G68" t="str">
        <f t="shared" si="7"/>
        <v>全変更取消し インデックス変更後</v>
      </c>
    </row>
    <row r="69" spans="1:7" ht="11.25" customHeight="1" outlineLevel="1">
      <c r="A69" s="15"/>
      <c r="B69" s="15" t="s">
        <v>2667</v>
      </c>
      <c r="C69" s="16" t="s">
        <v>2668</v>
      </c>
      <c r="D69" s="17"/>
      <c r="F69">
        <f t="shared" ca="1" si="6"/>
        <v>904</v>
      </c>
      <c r="G69" t="str">
        <f t="shared" si="7"/>
        <v>ファイル変更削除</v>
      </c>
    </row>
    <row r="70" spans="1:7" ht="11.25" customHeight="1" outlineLevel="1">
      <c r="A70" s="15"/>
      <c r="B70" s="15" t="s">
        <v>2669</v>
      </c>
      <c r="C70" s="16" t="s">
        <v>2670</v>
      </c>
      <c r="D70" s="17"/>
      <c r="F70">
        <f t="shared" ca="1" si="6"/>
        <v>905</v>
      </c>
      <c r="G70" t="str">
        <f t="shared" si="7"/>
        <v>アンドゥ(reflog) 対象確認</v>
      </c>
    </row>
    <row r="71" spans="1:7" ht="11.25" customHeight="1" outlineLevel="1">
      <c r="A71" s="15"/>
      <c r="B71" s="15" t="s">
        <v>2671</v>
      </c>
      <c r="C71" s="16" t="s">
        <v>3001</v>
      </c>
      <c r="D71" s="17" t="s">
        <v>2672</v>
      </c>
      <c r="F71">
        <f t="shared" ca="1" si="6"/>
        <v>906</v>
      </c>
      <c r="G71" t="str">
        <f t="shared" si="7"/>
        <v>アンドゥ(reflog) 実行</v>
      </c>
    </row>
    <row r="72" spans="1:7" ht="11.25" customHeight="1" outlineLevel="1">
      <c r="A72" s="15"/>
      <c r="B72" s="62" t="s">
        <v>2731</v>
      </c>
      <c r="C72" s="16"/>
      <c r="D72" s="17"/>
      <c r="F72">
        <f t="shared" ca="1" si="6"/>
        <v>907</v>
      </c>
      <c r="G72" t="str">
        <f t="shared" si="7"/>
        <v>★</v>
      </c>
    </row>
    <row r="73" spans="1:7" ht="11.25" customHeight="1">
      <c r="A73" s="12" t="s">
        <v>2729</v>
      </c>
      <c r="B73" s="13"/>
      <c r="C73" s="13"/>
      <c r="D73" s="14"/>
      <c r="F73">
        <f t="shared" ca="1" si="6"/>
        <v>907</v>
      </c>
      <c r="G73" t="str">
        <f t="shared" si="7"/>
        <v/>
      </c>
    </row>
    <row r="74" spans="1:7" ht="11.25" customHeight="1" outlineLevel="1">
      <c r="A74" s="15"/>
      <c r="B74" s="15" t="s">
        <v>2673</v>
      </c>
      <c r="C74" s="16" t="s">
        <v>2674</v>
      </c>
      <c r="D74" s="17"/>
      <c r="F74">
        <f t="shared" ca="1" si="6"/>
        <v>908</v>
      </c>
      <c r="G74" t="str">
        <f t="shared" si="7"/>
        <v>変更差分表示 Work⇔Idx間</v>
      </c>
    </row>
    <row r="75" spans="1:7" ht="11.25" customHeight="1" outlineLevel="1">
      <c r="A75" s="15"/>
      <c r="B75" s="15" t="s">
        <v>2675</v>
      </c>
      <c r="C75" s="16" t="s">
        <v>2676</v>
      </c>
      <c r="D75" s="17"/>
      <c r="F75">
        <f t="shared" ca="1" si="6"/>
        <v>909</v>
      </c>
      <c r="G75" t="str">
        <f t="shared" si="7"/>
        <v>変更差分表示 Work⇔Idx間(ファイル名)</v>
      </c>
    </row>
    <row r="76" spans="1:7" ht="11.25" customHeight="1" outlineLevel="1">
      <c r="A76" s="15"/>
      <c r="B76" s="15" t="s">
        <v>2677</v>
      </c>
      <c r="C76" s="16" t="s">
        <v>2678</v>
      </c>
      <c r="D76" s="17"/>
      <c r="F76">
        <f t="shared" ca="1" si="6"/>
        <v>910</v>
      </c>
      <c r="G76" t="str">
        <f t="shared" si="7"/>
        <v>変更差分表示 Work⇔Lcl(HEAD)間</v>
      </c>
    </row>
    <row r="77" spans="1:7" ht="11.25" customHeight="1" outlineLevel="1">
      <c r="A77" s="15"/>
      <c r="B77" s="15" t="s">
        <v>2679</v>
      </c>
      <c r="C77" s="16" t="s">
        <v>2680</v>
      </c>
      <c r="D77" s="17"/>
      <c r="F77">
        <f t="shared" ca="1" si="6"/>
        <v>911</v>
      </c>
      <c r="G77" t="str">
        <f t="shared" si="7"/>
        <v>変更差分表示 Idx⇔Lcl(HEAD)間</v>
      </c>
    </row>
    <row r="78" spans="1:7" ht="11.25" customHeight="1" outlineLevel="1">
      <c r="A78" s="15"/>
      <c r="B78" s="15" t="s">
        <v>2681</v>
      </c>
      <c r="C78" s="16" t="s">
        <v>2682</v>
      </c>
      <c r="D78" s="17"/>
      <c r="F78">
        <f t="shared" ca="1" si="6"/>
        <v>912</v>
      </c>
      <c r="G78" t="str">
        <f t="shared" si="7"/>
        <v>変更差分表示 Lcl⇔Rmt間</v>
      </c>
    </row>
    <row r="79" spans="1:7" ht="11.25" customHeight="1" outlineLevel="1">
      <c r="A79" s="15"/>
      <c r="B79" s="15" t="s">
        <v>2683</v>
      </c>
      <c r="C79" s="16" t="s">
        <v>2684</v>
      </c>
      <c r="D79" s="17"/>
      <c r="F79">
        <f t="shared" ca="1" si="6"/>
        <v>913</v>
      </c>
      <c r="G79" t="str">
        <f t="shared" si="7"/>
        <v>変更差分表示 Rmt Rev間</v>
      </c>
    </row>
    <row r="80" spans="1:7" ht="11.25" customHeight="1" outlineLevel="1">
      <c r="A80" s="15"/>
      <c r="B80" s="18" t="s">
        <v>2732</v>
      </c>
      <c r="C80" s="16" t="s">
        <v>2685</v>
      </c>
      <c r="D80" s="17"/>
      <c r="F80">
        <f t="shared" ca="1" si="6"/>
        <v>914</v>
      </c>
      <c r="G80" t="str">
        <f t="shared" ref="G80:G114" si="12">IF(B80="","",B80)</f>
        <v>diffアルゴリズム変更</v>
      </c>
    </row>
    <row r="81" spans="1:7" ht="11.25" customHeight="1">
      <c r="A81" s="12" t="s">
        <v>2728</v>
      </c>
      <c r="B81" s="13"/>
      <c r="C81" s="13"/>
      <c r="D81" s="14"/>
      <c r="F81">
        <f t="shared" ca="1" si="6"/>
        <v>914</v>
      </c>
      <c r="G81" t="str">
        <f t="shared" si="12"/>
        <v/>
      </c>
    </row>
    <row r="82" spans="1:7" ht="11.25" customHeight="1" outlineLevel="1">
      <c r="A82" s="15"/>
      <c r="B82" s="18" t="s">
        <v>2686</v>
      </c>
      <c r="C82" s="16" t="s">
        <v>2749</v>
      </c>
      <c r="D82" s="16" t="s">
        <v>2937</v>
      </c>
      <c r="F82">
        <f t="shared" ca="1" si="6"/>
        <v>915</v>
      </c>
      <c r="G82" t="str">
        <f t="shared" si="12"/>
        <v>マージ(Non Fast-Forward)</v>
      </c>
    </row>
    <row r="83" spans="1:7" ht="11.25" customHeight="1" outlineLevel="1">
      <c r="A83" s="15"/>
      <c r="B83" s="18" t="s">
        <v>2687</v>
      </c>
      <c r="C83" s="16" t="s">
        <v>2750</v>
      </c>
      <c r="D83" s="16" t="s">
        <v>2938</v>
      </c>
      <c r="F83">
        <f t="shared" ca="1" si="6"/>
        <v>916</v>
      </c>
      <c r="G83" t="str">
        <f t="shared" si="12"/>
        <v>マージ(Fast-Forward)</v>
      </c>
    </row>
    <row r="84" spans="1:7" ht="11.25" customHeight="1" outlineLevel="1">
      <c r="A84" s="15"/>
      <c r="B84" s="15" t="s">
        <v>2688</v>
      </c>
      <c r="C84" s="16" t="s">
        <v>2689</v>
      </c>
      <c r="D84" s="17"/>
      <c r="F84">
        <f t="shared" ca="1" si="6"/>
        <v>917</v>
      </c>
      <c r="G84" t="str">
        <f t="shared" si="12"/>
        <v>マージ取消し</v>
      </c>
    </row>
    <row r="85" spans="1:7" ht="11.25" customHeight="1" outlineLevel="1">
      <c r="A85" s="15"/>
      <c r="B85" s="18" t="s">
        <v>2690</v>
      </c>
      <c r="C85" s="16" t="s">
        <v>2691</v>
      </c>
      <c r="D85" s="17" t="s">
        <v>2692</v>
      </c>
      <c r="F85">
        <f t="shared" ca="1" si="6"/>
        <v>918</v>
      </c>
      <c r="G85" t="str">
        <f t="shared" si="12"/>
        <v>リベース</v>
      </c>
    </row>
    <row r="86" spans="1:7" ht="11.25" customHeight="1" outlineLevel="1">
      <c r="A86" s="15"/>
      <c r="B86" s="15" t="s">
        <v>2693</v>
      </c>
      <c r="C86" s="16" t="s">
        <v>2694</v>
      </c>
      <c r="D86" s="17"/>
      <c r="F86">
        <f t="shared" ca="1" si="6"/>
        <v>919</v>
      </c>
      <c r="G86" t="str">
        <f t="shared" si="12"/>
        <v>リベース中断</v>
      </c>
    </row>
    <row r="87" spans="1:7" ht="11.25" customHeight="1" outlineLevel="1">
      <c r="A87" s="15"/>
      <c r="B87" s="15" t="s">
        <v>2695</v>
      </c>
      <c r="C87" s="16" t="s">
        <v>2696</v>
      </c>
      <c r="D87" s="17" t="s">
        <v>2697</v>
      </c>
      <c r="F87">
        <f t="shared" ca="1" si="6"/>
        <v>920</v>
      </c>
      <c r="G87" t="str">
        <f t="shared" si="12"/>
        <v>コミット編集</v>
      </c>
    </row>
    <row r="88" spans="1:7" ht="11.25" customHeight="1" outlineLevel="1">
      <c r="A88" s="15"/>
      <c r="B88" s="15" t="s">
        <v>2698</v>
      </c>
      <c r="C88" s="16" t="s">
        <v>2699</v>
      </c>
      <c r="D88" s="17"/>
      <c r="F88">
        <f t="shared" ca="1" si="6"/>
        <v>921</v>
      </c>
      <c r="G88" t="str">
        <f t="shared" si="12"/>
        <v>特定コミット取込み(コミットする)</v>
      </c>
    </row>
    <row r="89" spans="1:7" ht="11.25" customHeight="1" outlineLevel="1">
      <c r="A89" s="15"/>
      <c r="B89" s="15" t="s">
        <v>2700</v>
      </c>
      <c r="C89" s="16" t="s">
        <v>2701</v>
      </c>
      <c r="D89" s="17"/>
      <c r="F89">
        <f t="shared" ca="1" si="6"/>
        <v>922</v>
      </c>
      <c r="G89" t="str">
        <f t="shared" si="12"/>
        <v>特定コミット取込み(コミットしない)</v>
      </c>
    </row>
    <row r="90" spans="1:7" ht="11.25" customHeight="1" outlineLevel="1">
      <c r="A90" s="15"/>
      <c r="B90" s="15" t="s">
        <v>2702</v>
      </c>
      <c r="C90" s="16" t="s">
        <v>2703</v>
      </c>
      <c r="D90" s="17"/>
      <c r="F90">
        <f t="shared" ca="1" si="6"/>
        <v>923</v>
      </c>
      <c r="G90" t="str">
        <f t="shared" si="12"/>
        <v>特定コミット取込み(リビジョン範囲指定)</v>
      </c>
    </row>
    <row r="91" spans="1:7" ht="11.25" customHeight="1">
      <c r="A91" s="12" t="s">
        <v>2727</v>
      </c>
      <c r="B91" s="13"/>
      <c r="C91" s="13"/>
      <c r="D91" s="14"/>
      <c r="F91">
        <f t="shared" ca="1" si="6"/>
        <v>923</v>
      </c>
      <c r="G91" t="str">
        <f t="shared" si="12"/>
        <v/>
      </c>
    </row>
    <row r="92" spans="1:7" ht="11.25" customHeight="1" outlineLevel="1">
      <c r="A92" s="15"/>
      <c r="B92" s="15" t="s">
        <v>2704</v>
      </c>
      <c r="C92" s="16" t="s">
        <v>2705</v>
      </c>
      <c r="D92" s="17" t="s">
        <v>2706</v>
      </c>
      <c r="F92">
        <f t="shared" ca="1" si="6"/>
        <v>924</v>
      </c>
      <c r="G92" t="str">
        <f t="shared" si="12"/>
        <v>スタッシュ 保存1</v>
      </c>
    </row>
    <row r="93" spans="1:7" ht="11.25" customHeight="1" outlineLevel="1">
      <c r="A93" s="15"/>
      <c r="B93" s="15" t="s">
        <v>2707</v>
      </c>
      <c r="C93" s="16" t="s">
        <v>2708</v>
      </c>
      <c r="D93" s="17" t="s">
        <v>2709</v>
      </c>
      <c r="F93">
        <f t="shared" ca="1" si="6"/>
        <v>925</v>
      </c>
      <c r="G93" t="str">
        <f t="shared" si="12"/>
        <v>スタッシュ 保存2</v>
      </c>
    </row>
    <row r="94" spans="1:7" ht="11.25" customHeight="1" outlineLevel="1">
      <c r="A94" s="15"/>
      <c r="B94" s="15" t="s">
        <v>2710</v>
      </c>
      <c r="C94" s="16" t="s">
        <v>2711</v>
      </c>
      <c r="D94" s="17" t="s">
        <v>2712</v>
      </c>
      <c r="F94">
        <f t="shared" ca="1" si="6"/>
        <v>926</v>
      </c>
      <c r="G94" t="str">
        <f t="shared" si="12"/>
        <v>スタッシュ 保存(メッセージ付き)</v>
      </c>
    </row>
    <row r="95" spans="1:7" ht="11.25" customHeight="1" outlineLevel="1">
      <c r="A95" s="15"/>
      <c r="B95" s="15" t="s">
        <v>2713</v>
      </c>
      <c r="C95" s="16" t="s">
        <v>2714</v>
      </c>
      <c r="D95" s="17" t="s">
        <v>2715</v>
      </c>
      <c r="F95">
        <f t="shared" ca="1" si="6"/>
        <v>927</v>
      </c>
      <c r="G95" t="str">
        <f t="shared" si="12"/>
        <v>スタッシュ 復元1</v>
      </c>
    </row>
    <row r="96" spans="1:7" ht="11.25" customHeight="1" outlineLevel="1">
      <c r="A96" s="15"/>
      <c r="B96" s="15" t="s">
        <v>2716</v>
      </c>
      <c r="C96" s="16" t="s">
        <v>2717</v>
      </c>
      <c r="D96" s="17" t="s">
        <v>2718</v>
      </c>
      <c r="F96">
        <f t="shared" ca="1" si="6"/>
        <v>928</v>
      </c>
      <c r="G96" t="str">
        <f t="shared" si="12"/>
        <v>スタッシュ 復元2</v>
      </c>
    </row>
    <row r="97" spans="1:7" ht="11.25" customHeight="1" outlineLevel="1">
      <c r="A97" s="15"/>
      <c r="B97" s="15" t="s">
        <v>2719</v>
      </c>
      <c r="C97" s="16" t="s">
        <v>2720</v>
      </c>
      <c r="D97" s="17"/>
      <c r="F97">
        <f t="shared" ca="1" si="6"/>
        <v>929</v>
      </c>
      <c r="G97" t="str">
        <f t="shared" si="12"/>
        <v>スタッシュ 一覧表示</v>
      </c>
    </row>
    <row r="98" spans="1:7" ht="11.25" customHeight="1" outlineLevel="1">
      <c r="A98" s="15"/>
      <c r="B98" s="15" t="s">
        <v>2721</v>
      </c>
      <c r="C98" s="16" t="s">
        <v>2722</v>
      </c>
      <c r="D98" s="17"/>
      <c r="F98">
        <f t="shared" ca="1" si="6"/>
        <v>930</v>
      </c>
      <c r="G98" t="str">
        <f t="shared" si="12"/>
        <v>スタッシュ 削除(最新分)</v>
      </c>
    </row>
    <row r="99" spans="1:7" ht="11.25" customHeight="1" outlineLevel="1">
      <c r="A99" s="15"/>
      <c r="B99" s="15" t="s">
        <v>2723</v>
      </c>
      <c r="C99" s="16" t="s">
        <v>2752</v>
      </c>
      <c r="D99" s="17" t="s">
        <v>2754</v>
      </c>
      <c r="F99">
        <f t="shared" ca="1" si="6"/>
        <v>931</v>
      </c>
      <c r="G99" t="str">
        <f t="shared" si="12"/>
        <v>スタッシュ 削除(番号指定)</v>
      </c>
    </row>
    <row r="100" spans="1:7" ht="11.25" customHeight="1" outlineLevel="1">
      <c r="A100" s="15"/>
      <c r="B100" s="15" t="s">
        <v>2724</v>
      </c>
      <c r="C100" s="16" t="s">
        <v>2725</v>
      </c>
      <c r="D100" s="17"/>
      <c r="F100">
        <f t="shared" ca="1" si="6"/>
        <v>932</v>
      </c>
      <c r="G100" t="str">
        <f t="shared" si="12"/>
        <v>スタッシュ 全削除</v>
      </c>
    </row>
    <row r="101" spans="1:7" ht="11.25" customHeight="1" outlineLevel="1">
      <c r="A101" s="15"/>
      <c r="B101" s="15" t="s">
        <v>2751</v>
      </c>
      <c r="C101" s="16" t="s">
        <v>2753</v>
      </c>
      <c r="D101" s="17" t="s">
        <v>2754</v>
      </c>
      <c r="F101">
        <f ca="1">IF(G101="",OFFSET(F101,-1,0),OFFSET(F101,-1,0)+1)</f>
        <v>933</v>
      </c>
      <c r="G101" t="str">
        <f>IF(B101="","",B101)</f>
        <v>スタッシュ 差分確認</v>
      </c>
    </row>
    <row r="102" spans="1:7" ht="11.25" customHeight="1">
      <c r="A102" s="12" t="s">
        <v>3009</v>
      </c>
      <c r="B102" s="13"/>
      <c r="C102" s="13"/>
      <c r="D102" s="14"/>
      <c r="F102">
        <f t="shared" ref="F102:F105" ca="1" si="13">IF(G102="",OFFSET(F102,-1,0),OFFSET(F102,-1,0)+1)</f>
        <v>933</v>
      </c>
      <c r="G102" t="str">
        <f t="shared" ref="G102:G105" si="14">IF(B102="","",B102)</f>
        <v/>
      </c>
    </row>
    <row r="103" spans="1:7" ht="11.25" customHeight="1" outlineLevel="1">
      <c r="A103" s="15"/>
      <c r="B103" s="15" t="s">
        <v>3011</v>
      </c>
      <c r="C103" s="16" t="s">
        <v>3227</v>
      </c>
      <c r="D103" s="17" t="s">
        <v>122</v>
      </c>
      <c r="F103">
        <f t="shared" ref="F103" ca="1" si="15">IF(G103="",OFFSET(F103,-1,0),OFFSET(F103,-1,0)+1)</f>
        <v>934</v>
      </c>
      <c r="G103" t="str">
        <f t="shared" ref="G103" si="16">IF(B103="","",B103)</f>
        <v>クローン直後のサブモジュール取得</v>
      </c>
    </row>
    <row r="104" spans="1:7" ht="11.25" customHeight="1" outlineLevel="1">
      <c r="A104" s="15"/>
      <c r="B104" s="15" t="s">
        <v>3011</v>
      </c>
      <c r="C104" s="16" t="s">
        <v>3012</v>
      </c>
      <c r="D104" s="17" t="s">
        <v>3010</v>
      </c>
      <c r="F104">
        <f t="shared" ca="1" si="13"/>
        <v>935</v>
      </c>
      <c r="G104" t="str">
        <f t="shared" si="14"/>
        <v>クローン直後のサブモジュール取得</v>
      </c>
    </row>
    <row r="105" spans="1:7" ht="11.25" customHeight="1" outlineLevel="1">
      <c r="A105" s="15"/>
      <c r="B105" s="15" t="s">
        <v>3232</v>
      </c>
      <c r="C105" s="16" t="s">
        <v>3013</v>
      </c>
      <c r="D105" s="17" t="s">
        <v>3230</v>
      </c>
      <c r="F105">
        <f t="shared" ca="1" si="13"/>
        <v>936</v>
      </c>
      <c r="G105" t="str">
        <f t="shared" si="14"/>
        <v>サブモジュールバージョン適用</v>
      </c>
    </row>
    <row r="106" spans="1:7" ht="11.25" customHeight="1" outlineLevel="1">
      <c r="A106" s="15"/>
      <c r="B106" s="15" t="s">
        <v>3231</v>
      </c>
      <c r="C106" s="16" t="s">
        <v>3228</v>
      </c>
      <c r="D106" s="17" t="s">
        <v>3229</v>
      </c>
      <c r="F106">
        <f t="shared" ref="F106" ca="1" si="17">IF(G106="",OFFSET(F106,-1,0),OFFSET(F106,-1,0)+1)</f>
        <v>937</v>
      </c>
      <c r="G106" t="str">
        <f t="shared" ref="G106" si="18">IF(B106="","",B106)</f>
        <v>サブモジュールバージョン更新</v>
      </c>
    </row>
    <row r="107" spans="1:7" ht="11.25" customHeight="1" outlineLevel="1">
      <c r="A107" s="15"/>
      <c r="B107" s="15" t="s">
        <v>3365</v>
      </c>
      <c r="C107"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7" s="17" t="s">
        <v>3364</v>
      </c>
      <c r="F107">
        <f t="shared" ref="F107" ca="1" si="19">IF(G107="",OFFSET(F107,-1,0),OFFSET(F107,-1,0)+1)</f>
        <v>938</v>
      </c>
      <c r="G107" t="str">
        <f t="shared" ref="G107" si="20">IF(B107="","",B107)</f>
        <v>サブモジュールバージョン追加（コミットID指定）</v>
      </c>
    </row>
    <row r="108" spans="1:7" ht="11.25" customHeight="1">
      <c r="A108" s="12" t="s">
        <v>2738</v>
      </c>
      <c r="B108" s="13"/>
      <c r="C108" s="13"/>
      <c r="D108" s="14"/>
      <c r="F108">
        <f t="shared" ca="1" si="6"/>
        <v>938</v>
      </c>
      <c r="G108" t="str">
        <f t="shared" si="12"/>
        <v/>
      </c>
    </row>
    <row r="109" spans="1:7" ht="11.25" customHeight="1" outlineLevel="1">
      <c r="A109" s="15"/>
      <c r="B109" s="15" t="s">
        <v>2739</v>
      </c>
      <c r="C109" s="16" t="s">
        <v>2740</v>
      </c>
      <c r="D109" s="17" t="s">
        <v>122</v>
      </c>
      <c r="F109">
        <f t="shared" ca="1" si="6"/>
        <v>939</v>
      </c>
      <c r="G109" t="str">
        <f t="shared" si="12"/>
        <v>最新コミットハッシュ値取得</v>
      </c>
    </row>
    <row r="110" spans="1:7" ht="11.25" customHeight="1" outlineLevel="1">
      <c r="A110" s="15"/>
      <c r="B110" s="15" t="s">
        <v>2741</v>
      </c>
      <c r="C110" s="16" t="s">
        <v>2742</v>
      </c>
      <c r="D110" s="17" t="s">
        <v>122</v>
      </c>
      <c r="F110">
        <f t="shared" ref="F110:F122" ca="1" si="21">IF(G110="",OFFSET(F110,-1,0),OFFSET(F110,-1,0)+1)</f>
        <v>940</v>
      </c>
      <c r="G110" t="str">
        <f t="shared" si="12"/>
        <v>直近タグバージョン番号表示</v>
      </c>
    </row>
    <row r="111" spans="1:7" ht="11.25" customHeight="1" outlineLevel="1">
      <c r="A111" s="15"/>
      <c r="B111" s="18" t="s">
        <v>2980</v>
      </c>
      <c r="C111" s="16" t="s">
        <v>2979</v>
      </c>
      <c r="D111" s="17" t="s">
        <v>122</v>
      </c>
      <c r="F111">
        <f t="shared" ca="1" si="21"/>
        <v>941</v>
      </c>
      <c r="G111" t="str">
        <f>IF(B111="","",B111)</f>
        <v>コミット日時変更</v>
      </c>
    </row>
    <row r="112" spans="1:7" ht="11.25" customHeight="1" outlineLevel="1">
      <c r="A112" s="15"/>
      <c r="B112" s="15" t="s">
        <v>2981</v>
      </c>
      <c r="C112" s="16" t="s">
        <v>2982</v>
      </c>
      <c r="D112" s="17" t="s">
        <v>122</v>
      </c>
      <c r="F112">
        <f t="shared" ca="1" si="21"/>
        <v>942</v>
      </c>
      <c r="G112" t="str">
        <f>IF(B112="","",B112)</f>
        <v>↑</v>
      </c>
    </row>
    <row r="113" spans="1:7" ht="11.25" customHeight="1" outlineLevel="1">
      <c r="A113" s="15"/>
      <c r="B113" s="15"/>
      <c r="C113" s="16" t="s">
        <v>122</v>
      </c>
      <c r="D113" s="17" t="s">
        <v>122</v>
      </c>
      <c r="F113">
        <f t="shared" ca="1" si="21"/>
        <v>942</v>
      </c>
      <c r="G113" t="str">
        <f t="shared" si="12"/>
        <v/>
      </c>
    </row>
    <row r="114" spans="1:7" ht="11.25" customHeight="1">
      <c r="A114" s="12" t="s">
        <v>2733</v>
      </c>
      <c r="B114" s="13"/>
      <c r="C114" s="13"/>
      <c r="D114" s="14"/>
      <c r="F114">
        <f t="shared" ca="1" si="21"/>
        <v>942</v>
      </c>
      <c r="G114" t="str">
        <f t="shared" si="12"/>
        <v/>
      </c>
    </row>
    <row r="115" spans="1:7" ht="11.25" customHeight="1" outlineLevel="1">
      <c r="A115" s="15"/>
      <c r="B115" s="18" t="s">
        <v>2746</v>
      </c>
      <c r="C115"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5" s="17" t="s">
        <v>2755</v>
      </c>
      <c r="F115">
        <f t="shared" ca="1" si="21"/>
        <v>943</v>
      </c>
      <c r="G115" t="str">
        <f t="shared" ref="G115:G122" si="22">IF(B115="","",B115)</f>
        <v>コミットをまとめる</v>
      </c>
    </row>
    <row r="116" spans="1:7" ht="11.25" customHeight="1" outlineLevel="1">
      <c r="A116" s="15"/>
      <c r="B116" s="18" t="s">
        <v>2743</v>
      </c>
      <c r="C116"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6" s="17" t="s">
        <v>122</v>
      </c>
      <c r="F116">
        <f t="shared" ca="1" si="21"/>
        <v>944</v>
      </c>
      <c r="G116" t="str">
        <f t="shared" si="22"/>
        <v>消したはずのリモートブランチがローカルで表示される時に削除する方法</v>
      </c>
    </row>
    <row r="117" spans="1:7" ht="11.25" customHeight="1" outlineLevel="1">
      <c r="A117" s="15"/>
      <c r="B117" s="18" t="s">
        <v>2737</v>
      </c>
      <c r="C117"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7" s="17" t="s">
        <v>122</v>
      </c>
      <c r="F117">
        <f t="shared" ca="1" si="21"/>
        <v>945</v>
      </c>
      <c r="G117" t="str">
        <f t="shared" si="22"/>
        <v>問題箇所特定</v>
      </c>
    </row>
    <row r="118" spans="1:7" ht="11.25" customHeight="1" outlineLevel="1">
      <c r="A118" s="15"/>
      <c r="B118" s="15" t="s">
        <v>2734</v>
      </c>
      <c r="C118" s="16" t="s">
        <v>2735</v>
      </c>
      <c r="D118" s="17" t="s">
        <v>2736</v>
      </c>
      <c r="F118">
        <f t="shared" ca="1" si="21"/>
        <v>946</v>
      </c>
      <c r="G118" t="str">
        <f t="shared" si="22"/>
        <v>github上から指定ファイル完全消去</v>
      </c>
    </row>
    <row r="119" spans="1:7" ht="11.25" customHeight="1" outlineLevel="1">
      <c r="A119" s="15"/>
      <c r="B119" s="15" t="s">
        <v>2744</v>
      </c>
      <c r="C119"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9" s="17" t="s">
        <v>122</v>
      </c>
      <c r="F119">
        <f t="shared" ca="1" si="21"/>
        <v>947</v>
      </c>
      <c r="G119" t="str">
        <f t="shared" si="22"/>
        <v>該当ブランチ表示</v>
      </c>
    </row>
    <row r="120" spans="1:7" ht="11.25" customHeight="1" outlineLevel="1">
      <c r="A120" s="15"/>
      <c r="B120" s="15" t="s">
        <v>2745</v>
      </c>
      <c r="C120" s="16" t="str">
        <f>"$ git status ?porcelain  | vim -
addしたいファイルを残す
:w !xargs git add"</f>
        <v>$ git status ?porcelain  | vim -
addしたいファイルを残す
:w !xargs git add</v>
      </c>
      <c r="D120" s="17" t="s">
        <v>122</v>
      </c>
      <c r="F120">
        <f t="shared" ca="1" si="21"/>
        <v>948</v>
      </c>
      <c r="G120" t="str">
        <f t="shared" si="22"/>
        <v>未ステージングのファイルを抽出してadd</v>
      </c>
    </row>
    <row r="121" spans="1:7" ht="11.25" customHeight="1" outlineLevel="1">
      <c r="A121" s="15"/>
      <c r="B121" s="15"/>
      <c r="C121" s="16" t="s">
        <v>122</v>
      </c>
      <c r="D121" s="17" t="s">
        <v>122</v>
      </c>
      <c r="F121">
        <f t="shared" ca="1" si="21"/>
        <v>948</v>
      </c>
      <c r="G121" t="str">
        <f t="shared" si="22"/>
        <v/>
      </c>
    </row>
    <row r="122" spans="1:7" ht="11.25" customHeight="1" outlineLevel="1">
      <c r="A122" s="15"/>
      <c r="B122" s="15"/>
      <c r="C122" s="16" t="s">
        <v>122</v>
      </c>
      <c r="D122" s="17" t="s">
        <v>122</v>
      </c>
      <c r="F122">
        <f t="shared" ca="1" si="21"/>
        <v>948</v>
      </c>
      <c r="G122" t="str">
        <f t="shared" si="22"/>
        <v/>
      </c>
    </row>
    <row r="123" spans="1:7" ht="11.25" customHeight="1">
      <c r="A123" t="s">
        <v>393</v>
      </c>
      <c r="B123" t="s">
        <v>393</v>
      </c>
      <c r="C123" t="s">
        <v>393</v>
      </c>
      <c r="D123" t="s">
        <v>393</v>
      </c>
    </row>
  </sheetData>
  <autoFilter ref="A2:G122" xr:uid="{3F2A5354-D680-4166-957E-8AEB84EFCC75}"/>
  <phoneticPr fontId="4"/>
  <hyperlinks>
    <hyperlink ref="A59" r:id="rId1" xr:uid="{87123997-A905-48C5-9352-D61F755786B5}"/>
    <hyperlink ref="B72" r:id="rId2" xr:uid="{C72213F7-BC1A-4F8C-B14D-A8C25A61900D}"/>
    <hyperlink ref="B80" r:id="rId3" xr:uid="{0C0A3158-44EC-4A8D-A203-CD5AE769A202}"/>
    <hyperlink ref="B116" r:id="rId4" xr:uid="{B39BCF3E-2CEA-4D4B-A400-266FB249C21E}"/>
    <hyperlink ref="B117" r:id="rId5" xr:uid="{45DAA6AD-0F11-4CAC-88EE-FD7AA85030AA}"/>
    <hyperlink ref="B115" r:id="rId6" xr:uid="{EFACE872-FA56-4E72-B229-5CA3C054A4E5}"/>
    <hyperlink ref="B85" r:id="rId7" xr:uid="{AF5F3BA4-1687-43D2-90DC-B77C10C17444}"/>
    <hyperlink ref="B82" r:id="rId8" xr:uid="{DA493074-F492-4174-886B-29DC77EDBC09}"/>
    <hyperlink ref="B83" r:id="rId9" xr:uid="{6D8B6698-39BC-457C-9DC8-D526464FC0F2}"/>
    <hyperlink ref="B111"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C0331-D0A0-4963-A199-9442AE0A2EA8}">
  <sheetPr>
    <outlinePr summaryBelow="0" summaryRight="0"/>
  </sheetPr>
  <dimension ref="A1:I245"/>
  <sheetViews>
    <sheetView showGridLines="0" view="pageBreakPreview" zoomScale="145" zoomScaleNormal="100" zoomScaleSheetLayoutView="145" workbookViewId="0">
      <pane xSplit="2" ySplit="2" topLeftCell="C51" activePane="bottomRight" state="frozen"/>
      <selection pane="topRight" activeCell="L1" sqref="L1"/>
      <selection pane="bottomLeft" activeCell="A2" sqref="A2"/>
      <selection pane="bottomRight" activeCell="B103" sqref="B103"/>
    </sheetView>
  </sheetViews>
  <sheetFormatPr defaultColWidth="9.33203125" defaultRowHeight="11.25" customHeight="1" outlineLevelRow="1"/>
  <cols>
    <col min="1" max="1" width="3.83203125" customWidth="1"/>
    <col min="2" max="2" width="51.1640625" bestFit="1" customWidth="1"/>
    <col min="3" max="3" width="65.5" customWidth="1"/>
    <col min="4" max="4" width="58" bestFit="1" customWidth="1"/>
    <col min="5" max="5" width="10.6640625" style="2" bestFit="1" customWidth="1"/>
    <col min="6" max="6" width="69.33203125" customWidth="1"/>
  </cols>
  <sheetData>
    <row r="1" spans="1:9" ht="11.25" customHeight="1">
      <c r="A1" s="4"/>
      <c r="B1" s="4"/>
      <c r="C1" s="5"/>
      <c r="D1" s="5"/>
      <c r="E1" s="108"/>
      <c r="F1" s="6"/>
      <c r="G1" t="s">
        <v>122</v>
      </c>
    </row>
    <row r="2" spans="1:9" ht="22.5">
      <c r="A2" s="7" t="s">
        <v>342</v>
      </c>
      <c r="B2" s="8"/>
      <c r="C2" s="9" t="s">
        <v>125</v>
      </c>
      <c r="D2" s="9" t="s">
        <v>3378</v>
      </c>
      <c r="E2" s="109" t="s">
        <v>3579</v>
      </c>
      <c r="F2" s="10" t="s">
        <v>126</v>
      </c>
      <c r="G2" t="s">
        <v>122</v>
      </c>
      <c r="H2">
        <f ca="1">MAX(bat!F:F)</f>
        <v>840</v>
      </c>
      <c r="I2" s="11"/>
    </row>
    <row r="3" spans="1:9" ht="11.25" customHeight="1">
      <c r="A3" s="21" t="s">
        <v>3588</v>
      </c>
      <c r="B3" s="13"/>
      <c r="C3" s="13"/>
      <c r="D3" s="13"/>
      <c r="E3" s="45"/>
      <c r="F3" s="14" t="s">
        <v>122</v>
      </c>
      <c r="G3" t="s">
        <v>122</v>
      </c>
      <c r="H3">
        <f ca="1">IF(I3="",OFFSET(H3,-1,0),OFFSET(H3,-1,0)+1)</f>
        <v>840</v>
      </c>
      <c r="I3" t="str">
        <f>IF(B3="","",B3)</f>
        <v/>
      </c>
    </row>
    <row r="4" spans="1:9" ht="11.25" customHeight="1" outlineLevel="1">
      <c r="A4" s="15"/>
      <c r="B4" s="15" t="s">
        <v>3385</v>
      </c>
      <c r="C4" s="16" t="s">
        <v>3386</v>
      </c>
      <c r="D4" s="16" t="s">
        <v>3387</v>
      </c>
      <c r="E4" s="47" t="s">
        <v>3388</v>
      </c>
      <c r="F4" s="17" t="s">
        <v>3389</v>
      </c>
      <c r="H4">
        <f t="shared" ref="H4:H56" ca="1" si="0">IF(I4="",OFFSET(H4,-1,0),OFFSET(H4,-1,0)+1)</f>
        <v>841</v>
      </c>
      <c r="I4" t="str">
        <f t="shared" ref="I4:I56" si="1">IF(B4="","",B4)</f>
        <v>変数スコープを作る（局所変数化・PROPAGATEで親へ反映）</v>
      </c>
    </row>
    <row r="5" spans="1:9" ht="11.25" customHeight="1" outlineLevel="1">
      <c r="A5" s="15"/>
      <c r="B5" s="15" t="s">
        <v>3390</v>
      </c>
      <c r="C5" s="16" t="s">
        <v>3391</v>
      </c>
      <c r="D5" s="16" t="s">
        <v>3392</v>
      </c>
      <c r="E5" s="47" t="s">
        <v>3388</v>
      </c>
      <c r="F5" s="17" t="s">
        <v>3393</v>
      </c>
      <c r="H5">
        <f t="shared" ca="1" si="0"/>
        <v>842</v>
      </c>
      <c r="I5" t="str">
        <f t="shared" si="1"/>
        <v>foreach/while を中断</v>
      </c>
    </row>
    <row r="6" spans="1:9" ht="11.25" customHeight="1" outlineLevel="1">
      <c r="A6" s="15"/>
      <c r="B6" s="15" t="s">
        <v>3394</v>
      </c>
      <c r="C6" s="16" t="s">
        <v>3395</v>
      </c>
      <c r="D6" s="16" t="s">
        <v>3396</v>
      </c>
      <c r="E6" s="47" t="s">
        <v>3397</v>
      </c>
      <c r="F6" s="17" t="s">
        <v>3398</v>
      </c>
      <c r="H6">
        <f t="shared" ca="1" si="0"/>
        <v>843</v>
      </c>
      <c r="I6" t="str">
        <f t="shared" si="1"/>
        <v>ホスト（CMake実行機）の情報取得</v>
      </c>
    </row>
    <row r="7" spans="1:9" ht="11.25" customHeight="1" outlineLevel="1">
      <c r="A7" s="15"/>
      <c r="B7" s="15" t="s">
        <v>3399</v>
      </c>
      <c r="C7" s="16" t="s">
        <v>3400</v>
      </c>
      <c r="D7" s="16" t="s">
        <v>3401</v>
      </c>
      <c r="E7" s="47" t="s">
        <v>3397</v>
      </c>
      <c r="F7" s="17" t="s">
        <v>3402</v>
      </c>
      <c r="H7">
        <f t="shared" ca="1" si="0"/>
        <v>844</v>
      </c>
      <c r="I7" t="str">
        <f t="shared" si="1"/>
        <v>メタ操作（CALL/EVAL/DEFER など）</v>
      </c>
    </row>
    <row r="8" spans="1:9" ht="11.25" customHeight="1" outlineLevel="1">
      <c r="A8" s="15"/>
      <c r="B8" s="15" t="s">
        <v>3403</v>
      </c>
      <c r="C8" s="16" t="s">
        <v>3404</v>
      </c>
      <c r="D8" s="16" t="s">
        <v>3405</v>
      </c>
      <c r="E8" s="47" t="s">
        <v>3406</v>
      </c>
      <c r="F8" s="17" t="s">
        <v>3407</v>
      </c>
      <c r="H8">
        <f t="shared" ca="1" si="0"/>
        <v>845</v>
      </c>
      <c r="I8" t="str">
        <f t="shared" si="1"/>
        <v>必須CMakeバージョン宣言</v>
      </c>
    </row>
    <row r="9" spans="1:9" ht="11.25" customHeight="1" outlineLevel="1">
      <c r="A9" s="15"/>
      <c r="B9" s="15" t="s">
        <v>3408</v>
      </c>
      <c r="C9" s="16" t="s">
        <v>3409</v>
      </c>
      <c r="D9" s="16" t="s">
        <v>3410</v>
      </c>
      <c r="E9" s="47" t="s">
        <v>3388</v>
      </c>
      <c r="F9" s="17" t="s">
        <v>3411</v>
      </c>
      <c r="H9">
        <f t="shared" ca="1" si="0"/>
        <v>846</v>
      </c>
      <c r="I9" t="str">
        <f t="shared" si="1"/>
        <v>引数パース（関数/マクロの引数をKEY/BOOL/LIST化）</v>
      </c>
    </row>
    <row r="10" spans="1:9" ht="11.25" customHeight="1" outlineLevel="1">
      <c r="A10" s="15"/>
      <c r="B10" s="15" t="s">
        <v>3412</v>
      </c>
      <c r="C10" s="16" t="s">
        <v>3413</v>
      </c>
      <c r="D10" s="16" t="s">
        <v>3414</v>
      </c>
      <c r="E10" s="47" t="s">
        <v>3388</v>
      </c>
      <c r="F10" s="17" t="s">
        <v>3415</v>
      </c>
      <c r="H10">
        <f t="shared" ca="1" si="0"/>
        <v>847</v>
      </c>
      <c r="I10" t="str">
        <f t="shared" si="1"/>
        <v>パス操作（正規化・結合・相対化など）</v>
      </c>
    </row>
    <row r="11" spans="1:9" ht="11.25" customHeight="1" outlineLevel="1">
      <c r="A11" s="15"/>
      <c r="B11" s="15" t="s">
        <v>3416</v>
      </c>
      <c r="C11" s="16" t="s">
        <v>3417</v>
      </c>
      <c r="D11" s="16" t="s">
        <v>3418</v>
      </c>
      <c r="E11" s="47" t="s">
        <v>3397</v>
      </c>
      <c r="F11" s="17" t="s">
        <v>3419</v>
      </c>
      <c r="H11">
        <f t="shared" ca="1" si="0"/>
        <v>848</v>
      </c>
      <c r="I11" t="str">
        <f t="shared" si="1"/>
        <v>pkg-config 経由で依存取得</v>
      </c>
    </row>
    <row r="12" spans="1:9" ht="11.25" customHeight="1" outlineLevel="1">
      <c r="A12" s="15"/>
      <c r="B12" s="15" t="s">
        <v>3420</v>
      </c>
      <c r="C12" s="16" t="s">
        <v>3580</v>
      </c>
      <c r="D12" s="16" t="s">
        <v>3421</v>
      </c>
      <c r="E12" s="47" t="s">
        <v>3388</v>
      </c>
      <c r="F12" s="17" t="s">
        <v>2731</v>
      </c>
      <c r="H12">
        <f t="shared" ca="1" si="0"/>
        <v>849</v>
      </c>
      <c r="I12" t="str">
        <f t="shared" si="1"/>
        <v>ポリシー設定（互換性/挙動切替）</v>
      </c>
    </row>
    <row r="13" spans="1:9" ht="11.25" customHeight="1" outlineLevel="1">
      <c r="A13" s="15"/>
      <c r="B13" s="15" t="s">
        <v>3422</v>
      </c>
      <c r="C13" s="16" t="s">
        <v>3423</v>
      </c>
      <c r="D13" s="16" t="s">
        <v>3424</v>
      </c>
      <c r="E13" s="47" t="s">
        <v>3406</v>
      </c>
      <c r="F13" s="17" t="s">
        <v>3425</v>
      </c>
      <c r="H13">
        <f t="shared" ca="1" si="0"/>
        <v>850</v>
      </c>
      <c r="I13" t="str">
        <f t="shared" si="1"/>
        <v>テンプレ置換してファイル生成</v>
      </c>
    </row>
    <row r="14" spans="1:9" ht="11.25" customHeight="1" outlineLevel="1">
      <c r="A14" s="15"/>
      <c r="B14" s="15" t="s">
        <v>3426</v>
      </c>
      <c r="C14" s="16" t="s">
        <v>3427</v>
      </c>
      <c r="D14" s="16" t="s">
        <v>3428</v>
      </c>
      <c r="E14" s="47" t="s">
        <v>3388</v>
      </c>
      <c r="F14" s="17" t="s">
        <v>3429</v>
      </c>
      <c r="H14">
        <f t="shared" ca="1" si="0"/>
        <v>851</v>
      </c>
      <c r="I14" t="str">
        <f t="shared" si="1"/>
        <v>ループの次イテレーションへ</v>
      </c>
    </row>
    <row r="15" spans="1:9" ht="11.25" customHeight="1" outlineLevel="1">
      <c r="A15" s="15"/>
      <c r="B15" s="15" t="s">
        <v>3437</v>
      </c>
      <c r="C15" s="16" t="s">
        <v>3438</v>
      </c>
      <c r="D15" s="16" t="s">
        <v>3439</v>
      </c>
      <c r="E15" s="47" t="s">
        <v>3388</v>
      </c>
      <c r="F15" s="17" t="s">
        <v>3440</v>
      </c>
      <c r="H15">
        <f t="shared" ca="1" si="0"/>
        <v>852</v>
      </c>
      <c r="I15" t="str">
        <f t="shared" si="1"/>
        <v>block終了</v>
      </c>
    </row>
    <row r="16" spans="1:9" ht="11.25" customHeight="1" outlineLevel="1">
      <c r="A16" s="15"/>
      <c r="B16" s="15" t="s">
        <v>3441</v>
      </c>
      <c r="C16" s="16" t="s">
        <v>3442</v>
      </c>
      <c r="D16" s="16" t="s">
        <v>3443</v>
      </c>
      <c r="E16" s="47" t="s">
        <v>3406</v>
      </c>
      <c r="F16" s="17" t="s">
        <v>3444</v>
      </c>
      <c r="H16">
        <f t="shared" ca="1" si="0"/>
        <v>853</v>
      </c>
      <c r="I16" t="str">
        <f t="shared" si="1"/>
        <v>foreach終了</v>
      </c>
    </row>
    <row r="17" spans="1:9" ht="11.25" customHeight="1" outlineLevel="1">
      <c r="A17" s="15"/>
      <c r="B17" s="15" t="s">
        <v>3445</v>
      </c>
      <c r="C17" s="16" t="s">
        <v>3446</v>
      </c>
      <c r="D17" s="16" t="s">
        <v>3447</v>
      </c>
      <c r="E17" s="47" t="s">
        <v>3406</v>
      </c>
      <c r="F17" s="17" t="s">
        <v>3448</v>
      </c>
      <c r="H17">
        <f t="shared" ca="1" si="0"/>
        <v>854</v>
      </c>
      <c r="I17" t="str">
        <f t="shared" si="1"/>
        <v>function終了</v>
      </c>
    </row>
    <row r="18" spans="1:9" ht="11.25" customHeight="1" outlineLevel="1">
      <c r="A18" s="15"/>
      <c r="B18" s="15" t="s">
        <v>3449</v>
      </c>
      <c r="C18" s="16" t="s">
        <v>3450</v>
      </c>
      <c r="D18" s="16" t="s">
        <v>3451</v>
      </c>
      <c r="E18" s="47" t="s">
        <v>3406</v>
      </c>
      <c r="F18" s="17" t="s">
        <v>3433</v>
      </c>
      <c r="H18">
        <f t="shared" ca="1" si="0"/>
        <v>855</v>
      </c>
      <c r="I18" t="str">
        <f t="shared" si="1"/>
        <v>if終了</v>
      </c>
    </row>
    <row r="19" spans="1:9" ht="11.25" customHeight="1" outlineLevel="1">
      <c r="A19" s="15"/>
      <c r="B19" s="15" t="s">
        <v>3452</v>
      </c>
      <c r="C19" s="16" t="s">
        <v>3453</v>
      </c>
      <c r="D19" s="16" t="s">
        <v>3454</v>
      </c>
      <c r="E19" s="47" t="s">
        <v>3388</v>
      </c>
      <c r="F19" s="17" t="s">
        <v>3455</v>
      </c>
      <c r="H19">
        <f t="shared" ca="1" si="0"/>
        <v>856</v>
      </c>
      <c r="I19" t="str">
        <f t="shared" si="1"/>
        <v>macro終了</v>
      </c>
    </row>
    <row r="20" spans="1:9" ht="11.25" customHeight="1" outlineLevel="1">
      <c r="A20" s="15"/>
      <c r="B20" s="15" t="s">
        <v>3456</v>
      </c>
      <c r="C20" s="16" t="s">
        <v>3457</v>
      </c>
      <c r="D20" s="16" t="s">
        <v>3458</v>
      </c>
      <c r="E20" s="47" t="s">
        <v>3388</v>
      </c>
      <c r="F20" s="17" t="s">
        <v>3459</v>
      </c>
      <c r="H20">
        <f t="shared" ca="1" si="0"/>
        <v>857</v>
      </c>
      <c r="I20" t="str">
        <f t="shared" si="1"/>
        <v>while終了</v>
      </c>
    </row>
    <row r="21" spans="1:9" ht="11.25" customHeight="1" outlineLevel="1">
      <c r="A21" s="15"/>
      <c r="B21" s="15" t="s">
        <v>3460</v>
      </c>
      <c r="C21" s="16" t="s">
        <v>3461</v>
      </c>
      <c r="D21" s="16" t="s">
        <v>3462</v>
      </c>
      <c r="E21" s="47" t="s">
        <v>3388</v>
      </c>
      <c r="F21" s="17" t="s">
        <v>3463</v>
      </c>
      <c r="H21">
        <f t="shared" ca="1" si="0"/>
        <v>858</v>
      </c>
      <c r="I21" t="str">
        <f t="shared" si="1"/>
        <v>外部コマンド実行</v>
      </c>
    </row>
    <row r="22" spans="1:9" ht="11.25" customHeight="1" outlineLevel="1">
      <c r="A22" s="15"/>
      <c r="B22" s="15" t="s">
        <v>3464</v>
      </c>
      <c r="C22" s="16" t="s">
        <v>3465</v>
      </c>
      <c r="D22" s="16" t="s">
        <v>3466</v>
      </c>
      <c r="E22" s="47" t="s">
        <v>3388</v>
      </c>
      <c r="F22" s="17" t="s">
        <v>3467</v>
      </c>
      <c r="H22">
        <f t="shared" ca="1" si="0"/>
        <v>859</v>
      </c>
      <c r="I22" t="str">
        <f t="shared" si="1"/>
        <v>ファイル操作（読み書き・GLOB・生成・権限など）</v>
      </c>
    </row>
    <row r="23" spans="1:9" ht="11.25" customHeight="1" outlineLevel="1">
      <c r="A23" s="15"/>
      <c r="B23" s="15" t="s">
        <v>3468</v>
      </c>
      <c r="C23" s="16" t="s">
        <v>3469</v>
      </c>
      <c r="D23" s="16" t="s">
        <v>3470</v>
      </c>
      <c r="E23" s="47" t="s">
        <v>3397</v>
      </c>
      <c r="F23" s="17" t="s">
        <v>3471</v>
      </c>
      <c r="H23">
        <f t="shared" ca="1" si="0"/>
        <v>860</v>
      </c>
      <c r="I23" t="str">
        <f t="shared" si="1"/>
        <v>ファイル検索（実体ファイル）</v>
      </c>
    </row>
    <row r="24" spans="1:9" ht="11.25" customHeight="1" outlineLevel="1">
      <c r="A24" s="15"/>
      <c r="B24" s="15" t="s">
        <v>3472</v>
      </c>
      <c r="C24" s="16" t="s">
        <v>3473</v>
      </c>
      <c r="D24" s="16" t="s">
        <v>3474</v>
      </c>
      <c r="E24" s="47" t="s">
        <v>3388</v>
      </c>
      <c r="F24" s="17" t="s">
        <v>3475</v>
      </c>
      <c r="H24">
        <f t="shared" ca="1" si="0"/>
        <v>861</v>
      </c>
      <c r="I24" t="str">
        <f t="shared" si="1"/>
        <v>ライブラリ検索（.so/.a等）</v>
      </c>
    </row>
    <row r="25" spans="1:9" ht="11.25" customHeight="1" outlineLevel="1">
      <c r="A25" s="15"/>
      <c r="B25" s="15" t="s">
        <v>3476</v>
      </c>
      <c r="C25" s="16" t="s">
        <v>3477</v>
      </c>
      <c r="D25" s="16" t="s">
        <v>3478</v>
      </c>
      <c r="E25" s="47" t="s">
        <v>3406</v>
      </c>
      <c r="F25" s="17" t="s">
        <v>3479</v>
      </c>
      <c r="H25">
        <f t="shared" ca="1" si="0"/>
        <v>862</v>
      </c>
      <c r="I25" t="str">
        <f t="shared" si="1"/>
        <v>パッケージ探索（Config/Findモジュール）</v>
      </c>
    </row>
    <row r="26" spans="1:9" ht="11.25" customHeight="1" outlineLevel="1">
      <c r="A26" s="15"/>
      <c r="B26" s="15" t="s">
        <v>3480</v>
      </c>
      <c r="C26" s="16" t="s">
        <v>3481</v>
      </c>
      <c r="D26" s="16" t="s">
        <v>3482</v>
      </c>
      <c r="E26" s="47" t="s">
        <v>3397</v>
      </c>
      <c r="F26" s="17" t="s">
        <v>3483</v>
      </c>
      <c r="H26">
        <f t="shared" ca="1" si="0"/>
        <v>863</v>
      </c>
      <c r="I26" t="str">
        <f t="shared" si="1"/>
        <v>ヘッダ探索</v>
      </c>
    </row>
    <row r="27" spans="1:9" ht="11.25" customHeight="1" outlineLevel="1">
      <c r="A27" s="15"/>
      <c r="B27" s="15" t="s">
        <v>3484</v>
      </c>
      <c r="C27" s="16" t="s">
        <v>3485</v>
      </c>
      <c r="D27" s="16" t="s">
        <v>3486</v>
      </c>
      <c r="E27" s="47" t="s">
        <v>3388</v>
      </c>
      <c r="F27" s="17" t="s">
        <v>3487</v>
      </c>
      <c r="H27">
        <f t="shared" ca="1" si="0"/>
        <v>864</v>
      </c>
      <c r="I27" t="str">
        <f t="shared" si="1"/>
        <v>実行ファイル探索</v>
      </c>
    </row>
    <row r="28" spans="1:9" ht="11.25" customHeight="1" outlineLevel="1">
      <c r="A28" s="15"/>
      <c r="B28" s="15" t="s">
        <v>3488</v>
      </c>
      <c r="C28" s="16" t="s">
        <v>3489</v>
      </c>
      <c r="D28" s="16" t="s">
        <v>3490</v>
      </c>
      <c r="E28" s="47" t="s">
        <v>3406</v>
      </c>
      <c r="F28" s="17" t="s">
        <v>3491</v>
      </c>
      <c r="H28">
        <f t="shared" ca="1" si="0"/>
        <v>865</v>
      </c>
      <c r="I28" t="str">
        <f t="shared" si="1"/>
        <v>ループ（リスト/範囲/アイテム）</v>
      </c>
    </row>
    <row r="29" spans="1:9" ht="11.25" customHeight="1" outlineLevel="1">
      <c r="A29" s="15"/>
      <c r="B29" s="15" t="s">
        <v>3492</v>
      </c>
      <c r="C29" s="16" t="s">
        <v>3493</v>
      </c>
      <c r="D29" s="16" t="s">
        <v>3494</v>
      </c>
      <c r="E29" s="47" t="s">
        <v>3406</v>
      </c>
      <c r="F29" s="27" t="s">
        <v>3495</v>
      </c>
      <c r="H29">
        <f t="shared" ca="1" si="0"/>
        <v>866</v>
      </c>
      <c r="I29" t="str">
        <f t="shared" si="1"/>
        <v>関数定義（スコープあり）</v>
      </c>
    </row>
    <row r="30" spans="1:9" ht="11.25" customHeight="1" outlineLevel="1">
      <c r="A30" s="15"/>
      <c r="B30" s="15" t="s">
        <v>3496</v>
      </c>
      <c r="C30" s="16" t="s">
        <v>3497</v>
      </c>
      <c r="D30" s="16" t="s">
        <v>3498</v>
      </c>
      <c r="E30" s="47" t="s">
        <v>3397</v>
      </c>
      <c r="F30" s="17" t="s">
        <v>3499</v>
      </c>
      <c r="H30">
        <f t="shared" ca="1" si="0"/>
        <v>867</v>
      </c>
      <c r="I30" t="str">
        <f t="shared" si="1"/>
        <v>CMakeプロパティ取得（グローバル）</v>
      </c>
    </row>
    <row r="31" spans="1:9" ht="11.25" customHeight="1" outlineLevel="1">
      <c r="A31" s="15"/>
      <c r="B31" s="15" t="s">
        <v>3500</v>
      </c>
      <c r="C31" s="16" t="s">
        <v>3587</v>
      </c>
      <c r="D31" s="16" t="s">
        <v>3501</v>
      </c>
      <c r="E31" s="47" t="s">
        <v>3397</v>
      </c>
      <c r="F31" s="17" t="s">
        <v>3502</v>
      </c>
      <c r="H31">
        <f t="shared" ca="1" si="0"/>
        <v>868</v>
      </c>
      <c r="I31" t="str">
        <f t="shared" si="1"/>
        <v>ディレクトリプロパティ取得</v>
      </c>
    </row>
    <row r="32" spans="1:9" ht="11.25" customHeight="1" outlineLevel="1">
      <c r="A32" s="15"/>
      <c r="B32" s="15" t="s">
        <v>3503</v>
      </c>
      <c r="C32" s="16" t="s">
        <v>3586</v>
      </c>
      <c r="D32" s="26" t="s">
        <v>2731</v>
      </c>
      <c r="E32" s="48"/>
      <c r="F32" s="27"/>
      <c r="H32">
        <f t="shared" ca="1" si="0"/>
        <v>869</v>
      </c>
      <c r="I32" t="str">
        <f t="shared" si="1"/>
        <v>パス要素取得（拡張子・ディレクトリ名等）</v>
      </c>
    </row>
    <row r="33" spans="1:9" ht="11.25" customHeight="1" outlineLevel="1">
      <c r="A33" s="15"/>
      <c r="B33" s="15" t="s">
        <v>3504</v>
      </c>
      <c r="C33" s="16" t="s">
        <v>3505</v>
      </c>
      <c r="D33" s="16" t="s">
        <v>3506</v>
      </c>
      <c r="E33" s="47" t="s">
        <v>3388</v>
      </c>
      <c r="F33" s="17" t="s">
        <v>3507</v>
      </c>
      <c r="H33">
        <f t="shared" ca="1" si="0"/>
        <v>870</v>
      </c>
      <c r="I33" t="str">
        <f t="shared" si="1"/>
        <v>任意プロパティ取得</v>
      </c>
    </row>
    <row r="34" spans="1:9" ht="11.25" customHeight="1" outlineLevel="1">
      <c r="A34" s="15"/>
      <c r="B34" s="15" t="s">
        <v>3508</v>
      </c>
      <c r="C34" s="16" t="s">
        <v>3509</v>
      </c>
      <c r="D34" s="16" t="s">
        <v>3510</v>
      </c>
      <c r="E34" s="47" t="s">
        <v>3406</v>
      </c>
      <c r="F34" s="17" t="s">
        <v>3511</v>
      </c>
      <c r="H34">
        <f t="shared" ca="1" si="0"/>
        <v>871</v>
      </c>
      <c r="I34" t="str">
        <f t="shared" si="1"/>
        <v>条件分岐</v>
      </c>
    </row>
    <row r="35" spans="1:9" ht="11.25" customHeight="1" outlineLevel="1">
      <c r="A35" s="15"/>
      <c r="B35" s="15" t="s">
        <v>3430</v>
      </c>
      <c r="C35" s="16" t="s">
        <v>3431</v>
      </c>
      <c r="D35" s="16" t="s">
        <v>3432</v>
      </c>
      <c r="E35" s="47" t="s">
        <v>3406</v>
      </c>
      <c r="F35" s="17" t="s">
        <v>3433</v>
      </c>
      <c r="H35">
        <f ca="1">IF(I35="",OFFSET(H35,-1,0),OFFSET(H35,-1,0)+1)</f>
        <v>872</v>
      </c>
      <c r="I35" t="str">
        <f>IF(B35="","",B35)</f>
        <v>if構文のelse節</v>
      </c>
    </row>
    <row r="36" spans="1:9" ht="11.25" customHeight="1" outlineLevel="1">
      <c r="A36" s="15"/>
      <c r="B36" s="15" t="s">
        <v>3434</v>
      </c>
      <c r="C36" s="16" t="s">
        <v>3435</v>
      </c>
      <c r="D36" s="16" t="s">
        <v>3436</v>
      </c>
      <c r="E36" s="47" t="s">
        <v>3406</v>
      </c>
      <c r="F36" s="17" t="s">
        <v>3433</v>
      </c>
      <c r="H36">
        <f ca="1">IF(I36="",OFFSET(H36,-1,0),OFFSET(H36,-1,0)+1)</f>
        <v>873</v>
      </c>
      <c r="I36" t="str">
        <f>IF(B36="","",B36)</f>
        <v>if構文のelse-if節</v>
      </c>
    </row>
    <row r="37" spans="1:9" ht="11.25" customHeight="1" outlineLevel="1">
      <c r="A37" s="15"/>
      <c r="B37" s="15" t="s">
        <v>3512</v>
      </c>
      <c r="C37" s="16" t="s">
        <v>3581</v>
      </c>
      <c r="D37" s="16" t="s">
        <v>3584</v>
      </c>
      <c r="E37" s="47" t="s">
        <v>3406</v>
      </c>
      <c r="F37" s="27"/>
      <c r="H37">
        <f t="shared" ca="1" si="0"/>
        <v>874</v>
      </c>
      <c r="I37" t="str">
        <f t="shared" si="1"/>
        <v>他CMakeファイル読み込み</v>
      </c>
    </row>
    <row r="38" spans="1:9" ht="11.25" customHeight="1" outlineLevel="1">
      <c r="A38" s="15"/>
      <c r="B38" s="15" t="s">
        <v>3513</v>
      </c>
      <c r="C38" s="16" t="s">
        <v>3585</v>
      </c>
      <c r="D38" s="16" t="s">
        <v>3583</v>
      </c>
      <c r="E38" s="47" t="s">
        <v>3388</v>
      </c>
      <c r="F38" s="27"/>
      <c r="H38">
        <f t="shared" ca="1" si="0"/>
        <v>875</v>
      </c>
      <c r="I38" t="str">
        <f t="shared" si="1"/>
        <v>includeの多重読み込み防止</v>
      </c>
    </row>
    <row r="39" spans="1:9" ht="11.25" customHeight="1" outlineLevel="1">
      <c r="A39" s="15"/>
      <c r="B39" s="15" t="s">
        <v>3514</v>
      </c>
      <c r="C39" s="16" t="s">
        <v>3515</v>
      </c>
      <c r="D39" s="16" t="s">
        <v>3516</v>
      </c>
      <c r="E39" s="47" t="s">
        <v>3406</v>
      </c>
      <c r="F39" s="17" t="s">
        <v>3517</v>
      </c>
      <c r="H39">
        <f t="shared" ca="1" si="0"/>
        <v>876</v>
      </c>
      <c r="I39" t="str">
        <f t="shared" si="1"/>
        <v>リスト操作（append/remove/filter/sort等）</v>
      </c>
    </row>
    <row r="40" spans="1:9" ht="11.25" customHeight="1" outlineLevel="1">
      <c r="A40" s="15"/>
      <c r="B40" s="15" t="s">
        <v>3518</v>
      </c>
      <c r="C40" s="16" t="s">
        <v>3519</v>
      </c>
      <c r="D40" s="16" t="s">
        <v>3520</v>
      </c>
      <c r="E40" s="47" t="s">
        <v>3397</v>
      </c>
      <c r="F40" s="17" t="s">
        <v>3521</v>
      </c>
      <c r="H40">
        <f t="shared" ca="1" si="0"/>
        <v>877</v>
      </c>
      <c r="I40" t="str">
        <f t="shared" si="1"/>
        <v>キャッシュ読み込み</v>
      </c>
    </row>
    <row r="41" spans="1:9" ht="11.25" customHeight="1" outlineLevel="1">
      <c r="A41" s="15"/>
      <c r="B41" s="15" t="s">
        <v>3522</v>
      </c>
      <c r="C41" s="16" t="s">
        <v>3523</v>
      </c>
      <c r="D41" s="16" t="s">
        <v>3524</v>
      </c>
      <c r="E41" s="47" t="s">
        <v>3388</v>
      </c>
      <c r="F41" s="17" t="s">
        <v>3525</v>
      </c>
      <c r="H41">
        <f t="shared" ca="1" si="0"/>
        <v>878</v>
      </c>
      <c r="I41" t="str">
        <f t="shared" si="1"/>
        <v>マクロ定義（テキスト置換的・スコープ弱い）</v>
      </c>
    </row>
    <row r="42" spans="1:9" ht="11.25" customHeight="1" outlineLevel="1">
      <c r="A42" s="15"/>
      <c r="B42" s="15" t="s">
        <v>3526</v>
      </c>
      <c r="C42" s="16" t="s">
        <v>3582</v>
      </c>
      <c r="D42" s="16" t="s">
        <v>3894</v>
      </c>
      <c r="E42" s="47" t="s">
        <v>3397</v>
      </c>
      <c r="F42" s="27"/>
      <c r="H42">
        <f t="shared" ca="1" si="0"/>
        <v>879</v>
      </c>
      <c r="I42" t="str">
        <f t="shared" si="1"/>
        <v>変数を詳細表示から隠す/表示制御</v>
      </c>
    </row>
    <row r="43" spans="1:9" ht="11.25" customHeight="1" outlineLevel="1">
      <c r="A43" s="15"/>
      <c r="B43" s="15" t="s">
        <v>3527</v>
      </c>
      <c r="C43" s="16" t="s">
        <v>3528</v>
      </c>
      <c r="D43" s="16" t="s">
        <v>3529</v>
      </c>
      <c r="E43" s="47" t="s">
        <v>3388</v>
      </c>
      <c r="F43" s="17" t="s">
        <v>3530</v>
      </c>
      <c r="H43">
        <f t="shared" ca="1" si="0"/>
        <v>880</v>
      </c>
      <c r="I43" t="str">
        <f t="shared" si="1"/>
        <v>数式評価</v>
      </c>
    </row>
    <row r="44" spans="1:9" ht="11.25" customHeight="1" outlineLevel="1">
      <c r="A44" s="15"/>
      <c r="B44" s="15" t="s">
        <v>3531</v>
      </c>
      <c r="C44" s="16" t="s">
        <v>3532</v>
      </c>
      <c r="D44" s="16" t="s">
        <v>3533</v>
      </c>
      <c r="E44" s="47" t="s">
        <v>3406</v>
      </c>
      <c r="F44" s="17" t="s">
        <v>3534</v>
      </c>
      <c r="H44">
        <f t="shared" ca="1" si="0"/>
        <v>881</v>
      </c>
      <c r="I44" t="str">
        <f t="shared" si="1"/>
        <v>メッセージ出力</v>
      </c>
    </row>
    <row r="45" spans="1:9" ht="11.25" customHeight="1" outlineLevel="1">
      <c r="A45" s="15"/>
      <c r="B45" s="15" t="s">
        <v>3535</v>
      </c>
      <c r="C45" s="16" t="s">
        <v>3536</v>
      </c>
      <c r="D45" s="16" t="s">
        <v>3537</v>
      </c>
      <c r="E45" s="47" t="s">
        <v>3406</v>
      </c>
      <c r="F45" s="17" t="s">
        <v>3538</v>
      </c>
      <c r="H45">
        <f t="shared" ca="1" si="0"/>
        <v>882</v>
      </c>
      <c r="I45" t="str">
        <f t="shared" si="1"/>
        <v>オプション（ON/OFF）をキャッシュに作る</v>
      </c>
    </row>
    <row r="46" spans="1:9" ht="11.25" customHeight="1" outlineLevel="1">
      <c r="A46" s="15"/>
      <c r="B46" s="15" t="s">
        <v>3539</v>
      </c>
      <c r="C46" s="16" t="s">
        <v>3540</v>
      </c>
      <c r="D46" s="16" t="s">
        <v>3541</v>
      </c>
      <c r="E46" s="47" t="s">
        <v>3388</v>
      </c>
      <c r="F46" s="17" t="s">
        <v>3542</v>
      </c>
      <c r="H46">
        <f t="shared" ca="1" si="0"/>
        <v>883</v>
      </c>
      <c r="I46" t="str">
        <f t="shared" si="1"/>
        <v>関数から復帰</v>
      </c>
    </row>
    <row r="47" spans="1:9" ht="11.25" customHeight="1" outlineLevel="1">
      <c r="A47" s="15"/>
      <c r="B47" s="15" t="s">
        <v>3543</v>
      </c>
      <c r="C47" s="16" t="s">
        <v>3544</v>
      </c>
      <c r="D47" s="16" t="s">
        <v>3545</v>
      </c>
      <c r="E47" s="47" t="s">
        <v>3397</v>
      </c>
      <c r="F47" s="17" t="s">
        <v>3546</v>
      </c>
      <c r="H47">
        <f t="shared" ca="1" si="0"/>
        <v>884</v>
      </c>
      <c r="I47" t="str">
        <f t="shared" si="1"/>
        <v>文字列をコマンドライン風に分割</v>
      </c>
    </row>
    <row r="48" spans="1:9" ht="11.25" customHeight="1" outlineLevel="1">
      <c r="A48" s="15"/>
      <c r="B48" s="15" t="s">
        <v>3547</v>
      </c>
      <c r="C48" s="16" t="s">
        <v>3548</v>
      </c>
      <c r="D48" s="16" t="s">
        <v>3549</v>
      </c>
      <c r="E48" s="47" t="s">
        <v>3406</v>
      </c>
      <c r="F48" s="17" t="s">
        <v>3550</v>
      </c>
      <c r="H48">
        <f t="shared" ca="1" si="0"/>
        <v>885</v>
      </c>
      <c r="I48" t="str">
        <f t="shared" si="1"/>
        <v>変数設定（通常/キャッシュ/環境）</v>
      </c>
    </row>
    <row r="49" spans="1:9" ht="11.25" customHeight="1" outlineLevel="1">
      <c r="A49" s="15"/>
      <c r="B49" s="15" t="s">
        <v>3551</v>
      </c>
      <c r="C49" s="16" t="s">
        <v>3552</v>
      </c>
      <c r="D49" s="16" t="s">
        <v>3553</v>
      </c>
      <c r="E49" s="47" t="s">
        <v>3397</v>
      </c>
      <c r="F49" s="17" t="s">
        <v>3554</v>
      </c>
      <c r="H49">
        <f t="shared" ca="1" si="0"/>
        <v>886</v>
      </c>
      <c r="I49" t="str">
        <f t="shared" si="1"/>
        <v>ディレクトリプロパティ設定</v>
      </c>
    </row>
    <row r="50" spans="1:9" ht="11.25" customHeight="1" outlineLevel="1">
      <c r="A50" s="15"/>
      <c r="B50" s="15" t="s">
        <v>3555</v>
      </c>
      <c r="C50" s="16" t="s">
        <v>3556</v>
      </c>
      <c r="D50" s="16" t="s">
        <v>3557</v>
      </c>
      <c r="E50" s="47" t="s">
        <v>3406</v>
      </c>
      <c r="F50" s="17" t="s">
        <v>3558</v>
      </c>
      <c r="H50">
        <f t="shared" ca="1" si="0"/>
        <v>887</v>
      </c>
      <c r="I50" t="str">
        <f t="shared" si="1"/>
        <v>プロパティ設定（TARGET/DIRECTORY/GLOBAL等）</v>
      </c>
    </row>
    <row r="51" spans="1:9" ht="11.25" customHeight="1" outlineLevel="1">
      <c r="A51" s="15"/>
      <c r="B51" s="15" t="s">
        <v>3559</v>
      </c>
      <c r="C51" s="16" t="s">
        <v>3560</v>
      </c>
      <c r="D51" s="16" t="s">
        <v>3561</v>
      </c>
      <c r="E51" s="47" t="s">
        <v>3397</v>
      </c>
      <c r="F51" s="17" t="s">
        <v>3562</v>
      </c>
      <c r="H51">
        <f t="shared" ca="1" si="0"/>
        <v>888</v>
      </c>
      <c r="I51" t="str">
        <f t="shared" si="1"/>
        <v>サイト名（ホスト名）取得</v>
      </c>
    </row>
    <row r="52" spans="1:9" ht="11.25" customHeight="1" outlineLevel="1">
      <c r="A52" s="15"/>
      <c r="B52" s="15" t="s">
        <v>3563</v>
      </c>
      <c r="C52" s="16" t="s">
        <v>3564</v>
      </c>
      <c r="D52" s="16" t="s">
        <v>3565</v>
      </c>
      <c r="E52" s="47" t="s">
        <v>3406</v>
      </c>
      <c r="F52" s="17" t="s">
        <v>3566</v>
      </c>
      <c r="H52">
        <f t="shared" ca="1" si="0"/>
        <v>889</v>
      </c>
      <c r="I52" t="str">
        <f t="shared" si="1"/>
        <v>文字列操作（置換・正規表現・比較・JOIN等）</v>
      </c>
    </row>
    <row r="53" spans="1:9" ht="11.25" customHeight="1" outlineLevel="1">
      <c r="A53" s="15"/>
      <c r="B53" s="15" t="s">
        <v>3567</v>
      </c>
      <c r="C53" s="16" t="s">
        <v>3568</v>
      </c>
      <c r="D53" s="16" t="s">
        <v>3569</v>
      </c>
      <c r="E53" s="47" t="s">
        <v>3388</v>
      </c>
      <c r="F53" s="17" t="s">
        <v>3570</v>
      </c>
      <c r="H53">
        <f t="shared" ca="1" si="0"/>
        <v>890</v>
      </c>
      <c r="I53" t="str">
        <f t="shared" si="1"/>
        <v>変数削除</v>
      </c>
    </row>
    <row r="54" spans="1:9" ht="11.25" customHeight="1" outlineLevel="1">
      <c r="A54" s="15"/>
      <c r="B54" s="15" t="s">
        <v>3571</v>
      </c>
      <c r="C54" s="16" t="s">
        <v>3572</v>
      </c>
      <c r="D54" s="16" t="s">
        <v>3573</v>
      </c>
      <c r="E54" s="47" t="s">
        <v>3397</v>
      </c>
      <c r="F54" s="17" t="s">
        <v>3574</v>
      </c>
      <c r="H54">
        <f t="shared" ca="1" si="0"/>
        <v>891</v>
      </c>
      <c r="I54" t="str">
        <f t="shared" si="1"/>
        <v>変数変更を監視（デバッグ用）</v>
      </c>
    </row>
    <row r="55" spans="1:9" ht="11.25" customHeight="1" outlineLevel="1">
      <c r="A55" s="15"/>
      <c r="B55" s="15" t="s">
        <v>3575</v>
      </c>
      <c r="C55" s="16" t="s">
        <v>3576</v>
      </c>
      <c r="D55" s="16" t="s">
        <v>3577</v>
      </c>
      <c r="E55" s="47" t="s">
        <v>3388</v>
      </c>
      <c r="F55" s="17" t="s">
        <v>3578</v>
      </c>
      <c r="H55">
        <f t="shared" ca="1" si="0"/>
        <v>892</v>
      </c>
      <c r="I55" t="str">
        <f t="shared" si="1"/>
        <v>whileループ</v>
      </c>
    </row>
    <row r="56" spans="1:9" ht="11.25" customHeight="1" outlineLevel="1">
      <c r="A56" s="15"/>
      <c r="B56" s="15"/>
      <c r="C56" s="16"/>
      <c r="D56" s="16"/>
      <c r="E56" s="47"/>
      <c r="F56" s="17"/>
      <c r="H56">
        <f t="shared" ca="1" si="0"/>
        <v>892</v>
      </c>
      <c r="I56" t="str">
        <f t="shared" si="1"/>
        <v/>
      </c>
    </row>
    <row r="57" spans="1:9" ht="11.25" customHeight="1">
      <c r="A57" s="21" t="s">
        <v>3589</v>
      </c>
      <c r="B57" s="13"/>
      <c r="C57" s="13"/>
      <c r="D57" s="13"/>
      <c r="E57" s="45"/>
      <c r="F57" s="14" t="s">
        <v>122</v>
      </c>
      <c r="G57" t="s">
        <v>122</v>
      </c>
      <c r="H57">
        <f ca="1">IF(I57="",OFFSET(H57,-1,0),OFFSET(H57,-1,0)+1)</f>
        <v>892</v>
      </c>
      <c r="I57" t="str">
        <f>IF(B57="","",B57)</f>
        <v/>
      </c>
    </row>
    <row r="58" spans="1:9" ht="11.25" customHeight="1" outlineLevel="1">
      <c r="A58" s="15"/>
      <c r="B58" s="15" t="s">
        <v>3590</v>
      </c>
      <c r="C58" s="16" t="s">
        <v>3591</v>
      </c>
      <c r="D58" s="16" t="s">
        <v>3592</v>
      </c>
      <c r="E58" s="47" t="s">
        <v>3388</v>
      </c>
      <c r="F58" s="17" t="s">
        <v>3593</v>
      </c>
      <c r="H58">
        <f t="shared" ref="H58:H103" ca="1" si="2">IF(I58="",OFFSET(H58,-1,0),OFFSET(H58,-1,0)+1)</f>
        <v>893</v>
      </c>
      <c r="I58" t="str">
        <f t="shared" ref="I58:I103" si="3">IF(B58="","",B58)</f>
        <v>コンパイル定義追加（ディレクトリ単位）</v>
      </c>
    </row>
    <row r="59" spans="1:9" ht="11.25" customHeight="1" outlineLevel="1">
      <c r="A59" s="15"/>
      <c r="B59" s="15" t="s">
        <v>3594</v>
      </c>
      <c r="C59" s="16" t="s">
        <v>3595</v>
      </c>
      <c r="D59" s="16" t="s">
        <v>3596</v>
      </c>
      <c r="E59" s="47" t="s">
        <v>3388</v>
      </c>
      <c r="F59" s="17" t="s">
        <v>3597</v>
      </c>
      <c r="H59">
        <f t="shared" ca="1" si="2"/>
        <v>894</v>
      </c>
      <c r="I59" t="str">
        <f t="shared" si="3"/>
        <v>コンパイルオプション追加（ディレクトリ単位）</v>
      </c>
    </row>
    <row r="60" spans="1:9" ht="11.25" customHeight="1" outlineLevel="1">
      <c r="A60" s="15"/>
      <c r="B60" s="15" t="s">
        <v>3598</v>
      </c>
      <c r="C60" s="16" t="s">
        <v>3599</v>
      </c>
      <c r="D60" s="16" t="s">
        <v>3600</v>
      </c>
      <c r="E60" s="47" t="s">
        <v>3388</v>
      </c>
      <c r="F60" s="17" t="s">
        <v>3601</v>
      </c>
      <c r="H60">
        <f t="shared" ca="1" si="2"/>
        <v>895</v>
      </c>
      <c r="I60" t="str">
        <f t="shared" si="3"/>
        <v>カスタムビルドコマンド定義</v>
      </c>
    </row>
    <row r="61" spans="1:9" ht="11.25" customHeight="1" outlineLevel="1">
      <c r="A61" s="15"/>
      <c r="B61" s="15" t="s">
        <v>3602</v>
      </c>
      <c r="C61" s="16" t="s">
        <v>3603</v>
      </c>
      <c r="D61" s="16" t="s">
        <v>3604</v>
      </c>
      <c r="E61" s="47" t="s">
        <v>3388</v>
      </c>
      <c r="F61" s="17" t="s">
        <v>3605</v>
      </c>
      <c r="H61">
        <f t="shared" ca="1" si="2"/>
        <v>896</v>
      </c>
      <c r="I61" t="str">
        <f t="shared" si="3"/>
        <v>常に実行可能なカスタムターゲット</v>
      </c>
    </row>
    <row r="62" spans="1:9" ht="11.25" customHeight="1" outlineLevel="1">
      <c r="A62" s="15"/>
      <c r="B62" s="15" t="s">
        <v>3606</v>
      </c>
      <c r="C62" s="16" t="s">
        <v>3607</v>
      </c>
      <c r="D62" s="16" t="s">
        <v>3608</v>
      </c>
      <c r="E62" s="47" t="s">
        <v>3397</v>
      </c>
      <c r="F62" s="17" t="s">
        <v>3609</v>
      </c>
      <c r="H62">
        <f t="shared" ca="1" si="2"/>
        <v>897</v>
      </c>
      <c r="I62" t="str">
        <f t="shared" si="3"/>
        <v>古いコンパイル定義追加</v>
      </c>
    </row>
    <row r="63" spans="1:9" ht="11.25" customHeight="1" outlineLevel="1">
      <c r="A63" s="15"/>
      <c r="B63" s="15" t="s">
        <v>3610</v>
      </c>
      <c r="C63" s="16" t="s">
        <v>3611</v>
      </c>
      <c r="D63" s="16" t="s">
        <v>3612</v>
      </c>
      <c r="E63" s="47" t="s">
        <v>3388</v>
      </c>
      <c r="F63" s="17" t="s">
        <v>3613</v>
      </c>
      <c r="H63">
        <f t="shared" ca="1" si="2"/>
        <v>898</v>
      </c>
      <c r="I63" t="str">
        <f t="shared" si="3"/>
        <v>ターゲット依存関係追加</v>
      </c>
    </row>
    <row r="64" spans="1:9" ht="11.25" customHeight="1" outlineLevel="1">
      <c r="A64" s="15"/>
      <c r="B64" s="15" t="s">
        <v>3614</v>
      </c>
      <c r="C64" s="16" t="s">
        <v>3615</v>
      </c>
      <c r="D64" s="16" t="s">
        <v>3616</v>
      </c>
      <c r="E64" s="47" t="s">
        <v>3406</v>
      </c>
      <c r="F64" s="17" t="s">
        <v>3617</v>
      </c>
      <c r="H64">
        <f t="shared" ca="1" si="2"/>
        <v>899</v>
      </c>
      <c r="I64" t="str">
        <f t="shared" si="3"/>
        <v>実行ファイル作成</v>
      </c>
    </row>
    <row r="65" spans="1:9" ht="11.25" customHeight="1" outlineLevel="1">
      <c r="A65" s="15"/>
      <c r="B65" s="15" t="s">
        <v>3618</v>
      </c>
      <c r="C65" s="16" t="s">
        <v>3769</v>
      </c>
      <c r="D65" s="16" t="s">
        <v>3619</v>
      </c>
      <c r="E65" s="48"/>
      <c r="F65" s="27"/>
      <c r="H65">
        <f t="shared" ca="1" si="2"/>
        <v>900</v>
      </c>
      <c r="I65" t="str">
        <f t="shared" si="3"/>
        <v>ライブラリ作成</v>
      </c>
    </row>
    <row r="66" spans="1:9" ht="11.25" customHeight="1" outlineLevel="1">
      <c r="A66" s="15"/>
      <c r="B66" s="15" t="s">
        <v>3620</v>
      </c>
      <c r="C66" s="16" t="s">
        <v>3621</v>
      </c>
      <c r="D66" s="16" t="s">
        <v>3622</v>
      </c>
      <c r="E66" s="47" t="s">
        <v>3388</v>
      </c>
      <c r="F66" s="17" t="s">
        <v>3623</v>
      </c>
      <c r="H66">
        <f t="shared" ca="1" si="2"/>
        <v>901</v>
      </c>
      <c r="I66" t="str">
        <f t="shared" si="3"/>
        <v>リンカオプション追加（directory）</v>
      </c>
    </row>
    <row r="67" spans="1:9" ht="11.25" customHeight="1" outlineLevel="1">
      <c r="A67" s="15"/>
      <c r="B67" s="15" t="s">
        <v>3624</v>
      </c>
      <c r="C67" s="16" t="s">
        <v>3625</v>
      </c>
      <c r="D67" s="16" t="s">
        <v>3383</v>
      </c>
      <c r="E67" s="47" t="s">
        <v>3406</v>
      </c>
      <c r="F67" s="17" t="s">
        <v>3626</v>
      </c>
      <c r="H67">
        <f t="shared" ca="1" si="2"/>
        <v>902</v>
      </c>
      <c r="I67" t="str">
        <f t="shared" si="3"/>
        <v>サブディレクトリ追加</v>
      </c>
    </row>
    <row r="68" spans="1:9" ht="11.25" customHeight="1" outlineLevel="1">
      <c r="A68" s="15"/>
      <c r="B68" s="15" t="s">
        <v>3627</v>
      </c>
      <c r="C68" s="16" t="s">
        <v>3628</v>
      </c>
      <c r="D68" s="16" t="s">
        <v>3629</v>
      </c>
      <c r="E68" s="47" t="s">
        <v>3388</v>
      </c>
      <c r="F68" s="17" t="s">
        <v>3630</v>
      </c>
      <c r="H68">
        <f t="shared" ca="1" si="2"/>
        <v>903</v>
      </c>
      <c r="I68" t="str">
        <f t="shared" si="3"/>
        <v>CTestテスト追加</v>
      </c>
    </row>
    <row r="69" spans="1:9" ht="11.25" customHeight="1" outlineLevel="1">
      <c r="A69" s="15"/>
      <c r="B69" s="15" t="s">
        <v>3631</v>
      </c>
      <c r="C69" s="16" t="s">
        <v>3632</v>
      </c>
      <c r="D69" s="16" t="s">
        <v>3633</v>
      </c>
      <c r="E69" s="47" t="s">
        <v>3397</v>
      </c>
      <c r="F69" s="17" t="s">
        <v>3634</v>
      </c>
      <c r="H69">
        <f t="shared" ca="1" si="2"/>
        <v>904</v>
      </c>
      <c r="I69" t="str">
        <f t="shared" si="3"/>
        <v>ディレクトリ内ソース収集</v>
      </c>
    </row>
    <row r="70" spans="1:9" ht="11.25" customHeight="1" outlineLevel="1">
      <c r="A70" s="15"/>
      <c r="B70" s="15" t="s">
        <v>3635</v>
      </c>
      <c r="C70" s="16" t="s">
        <v>3636</v>
      </c>
      <c r="D70" s="16" t="s">
        <v>3637</v>
      </c>
      <c r="E70" s="47" t="s">
        <v>3397</v>
      </c>
      <c r="F70" s="17" t="s">
        <v>3638</v>
      </c>
      <c r="H70">
        <f t="shared" ca="1" si="2"/>
        <v>905</v>
      </c>
      <c r="I70" t="str">
        <f t="shared" si="3"/>
        <v>ビルドコマンド文字列取得</v>
      </c>
    </row>
    <row r="71" spans="1:9" ht="11.25" customHeight="1" outlineLevel="1">
      <c r="A71" s="15"/>
      <c r="B71" s="15" t="s">
        <v>3639</v>
      </c>
      <c r="C71" s="16" t="s">
        <v>3640</v>
      </c>
      <c r="D71" s="16" t="s">
        <v>3640</v>
      </c>
      <c r="E71" s="47" t="s">
        <v>3397</v>
      </c>
      <c r="F71" s="17" t="s">
        <v>3641</v>
      </c>
      <c r="H71">
        <f t="shared" ca="1" si="2"/>
        <v>906</v>
      </c>
      <c r="I71" t="str">
        <f t="shared" si="3"/>
        <v>CMake File API</v>
      </c>
    </row>
    <row r="72" spans="1:9" ht="11.25" customHeight="1" outlineLevel="1">
      <c r="A72" s="15"/>
      <c r="B72" s="15" t="s">
        <v>3642</v>
      </c>
      <c r="C72" s="16" t="s">
        <v>3643</v>
      </c>
      <c r="D72" s="16" t="s">
        <v>3643</v>
      </c>
      <c r="E72" s="47" t="s">
        <v>3397</v>
      </c>
      <c r="F72" s="17" t="s">
        <v>3644</v>
      </c>
      <c r="H72">
        <f t="shared" ca="1" si="2"/>
        <v>907</v>
      </c>
      <c r="I72" t="str">
        <f t="shared" si="3"/>
        <v>計測フック</v>
      </c>
    </row>
    <row r="73" spans="1:9" ht="11.25" customHeight="1" outlineLevel="1">
      <c r="A73" s="15"/>
      <c r="B73" s="15" t="s">
        <v>3645</v>
      </c>
      <c r="C73" s="16" t="s">
        <v>3646</v>
      </c>
      <c r="D73" s="16" t="s">
        <v>3647</v>
      </c>
      <c r="E73" s="47" t="s">
        <v>3397</v>
      </c>
      <c r="F73" s="17" t="s">
        <v>3648</v>
      </c>
      <c r="H73">
        <f t="shared" ca="1" si="2"/>
        <v>908</v>
      </c>
      <c r="I73" t="str">
        <f t="shared" si="3"/>
        <v>テストソースリスト生成</v>
      </c>
    </row>
    <row r="74" spans="1:9" ht="11.25" customHeight="1" outlineLevel="1">
      <c r="A74" s="15"/>
      <c r="B74" s="15" t="s">
        <v>3649</v>
      </c>
      <c r="C74" s="16" t="s">
        <v>3650</v>
      </c>
      <c r="D74" s="16" t="s">
        <v>3651</v>
      </c>
      <c r="E74" s="47" t="s">
        <v>3397</v>
      </c>
      <c r="F74" s="17" t="s">
        <v>3652</v>
      </c>
      <c r="H74">
        <f t="shared" ca="1" si="2"/>
        <v>909</v>
      </c>
      <c r="I74" t="str">
        <f t="shared" si="3"/>
        <v>プロパティ定義</v>
      </c>
    </row>
    <row r="75" spans="1:9" ht="11.25" customHeight="1" outlineLevel="1">
      <c r="A75" s="15"/>
      <c r="B75" s="15" t="s">
        <v>3653</v>
      </c>
      <c r="C75" s="16" t="s">
        <v>3654</v>
      </c>
      <c r="D75" s="16" t="s">
        <v>3655</v>
      </c>
      <c r="E75" s="47" t="s">
        <v>3388</v>
      </c>
      <c r="F75" s="17" t="s">
        <v>3656</v>
      </c>
      <c r="H75">
        <f t="shared" ca="1" si="2"/>
        <v>910</v>
      </c>
      <c r="I75" t="str">
        <f t="shared" si="3"/>
        <v>言語有効化</v>
      </c>
    </row>
    <row r="76" spans="1:9" ht="11.25" customHeight="1" outlineLevel="1">
      <c r="A76" s="15"/>
      <c r="B76" s="15" t="s">
        <v>3657</v>
      </c>
      <c r="C76" s="16" t="s">
        <v>3658</v>
      </c>
      <c r="D76" s="16" t="s">
        <v>3658</v>
      </c>
      <c r="E76" s="47" t="s">
        <v>3388</v>
      </c>
      <c r="F76" s="17" t="s">
        <v>3659</v>
      </c>
      <c r="H76">
        <f t="shared" ca="1" si="2"/>
        <v>911</v>
      </c>
      <c r="I76" t="str">
        <f t="shared" si="3"/>
        <v>テスト有効化</v>
      </c>
    </row>
    <row r="77" spans="1:9" ht="11.25" customHeight="1" outlineLevel="1">
      <c r="A77" s="15"/>
      <c r="B77" s="15" t="s">
        <v>3660</v>
      </c>
      <c r="C77" s="16" t="s">
        <v>3661</v>
      </c>
      <c r="D77" s="16" t="s">
        <v>3662</v>
      </c>
      <c r="E77" s="47" t="s">
        <v>3388</v>
      </c>
      <c r="F77" s="17" t="s">
        <v>3663</v>
      </c>
      <c r="H77">
        <f t="shared" ca="1" si="2"/>
        <v>912</v>
      </c>
      <c r="I77" t="str">
        <f t="shared" si="3"/>
        <v>ターゲットエクスポート</v>
      </c>
    </row>
    <row r="78" spans="1:9" ht="11.25" customHeight="1" outlineLevel="1">
      <c r="A78" s="15"/>
      <c r="B78" s="15" t="s">
        <v>3664</v>
      </c>
      <c r="C78" s="16" t="s">
        <v>3665</v>
      </c>
      <c r="D78" s="16" t="s">
        <v>3666</v>
      </c>
      <c r="E78" s="47" t="s">
        <v>3397</v>
      </c>
      <c r="F78" s="17" t="s">
        <v>3667</v>
      </c>
      <c r="H78">
        <f t="shared" ca="1" si="2"/>
        <v>913</v>
      </c>
      <c r="I78" t="str">
        <f t="shared" si="3"/>
        <v>FLTK UIラッパ生成</v>
      </c>
    </row>
    <row r="79" spans="1:9" ht="11.25" customHeight="1" outlineLevel="1">
      <c r="A79" s="15"/>
      <c r="B79" s="15" t="s">
        <v>3668</v>
      </c>
      <c r="C79" s="16" t="s">
        <v>3669</v>
      </c>
      <c r="D79" s="16" t="s">
        <v>3670</v>
      </c>
      <c r="E79" s="47" t="s">
        <v>3397</v>
      </c>
      <c r="F79" s="17" t="s">
        <v>3671</v>
      </c>
      <c r="H79">
        <f t="shared" ca="1" si="2"/>
        <v>914</v>
      </c>
      <c r="I79" t="str">
        <f t="shared" si="3"/>
        <v>ソースファイルプロパティ取得</v>
      </c>
    </row>
    <row r="80" spans="1:9" ht="11.25" customHeight="1" outlineLevel="1">
      <c r="A80" s="15"/>
      <c r="B80" s="15" t="s">
        <v>3672</v>
      </c>
      <c r="C80" s="16" t="s">
        <v>3673</v>
      </c>
      <c r="D80" s="16" t="s">
        <v>3674</v>
      </c>
      <c r="E80" s="47" t="s">
        <v>3388</v>
      </c>
      <c r="F80" s="17" t="s">
        <v>3675</v>
      </c>
      <c r="H80">
        <f t="shared" ca="1" si="2"/>
        <v>915</v>
      </c>
      <c r="I80" t="str">
        <f t="shared" si="3"/>
        <v>ターゲットプロパティ取得</v>
      </c>
    </row>
    <row r="81" spans="1:9" ht="11.25" customHeight="1" outlineLevel="1">
      <c r="A81" s="15"/>
      <c r="B81" s="15" t="s">
        <v>3676</v>
      </c>
      <c r="C81" s="16" t="s">
        <v>3677</v>
      </c>
      <c r="D81" s="16" t="s">
        <v>3678</v>
      </c>
      <c r="E81" s="47" t="s">
        <v>3397</v>
      </c>
      <c r="F81" s="17" t="s">
        <v>3679</v>
      </c>
      <c r="H81">
        <f t="shared" ca="1" si="2"/>
        <v>916</v>
      </c>
      <c r="I81" t="str">
        <f t="shared" si="3"/>
        <v>テストプロパティ取得</v>
      </c>
    </row>
    <row r="82" spans="1:9" ht="11.25" customHeight="1" outlineLevel="1">
      <c r="A82" s="15"/>
      <c r="B82" s="15" t="s">
        <v>3680</v>
      </c>
      <c r="C82" s="16" t="s">
        <v>3681</v>
      </c>
      <c r="D82" s="16" t="s">
        <v>3682</v>
      </c>
      <c r="E82" s="47" t="s">
        <v>3397</v>
      </c>
      <c r="F82" s="17" t="s">
        <v>3683</v>
      </c>
      <c r="H82">
        <f t="shared" ca="1" si="2"/>
        <v>917</v>
      </c>
      <c r="I82" t="str">
        <f t="shared" si="3"/>
        <v>includeディレクトリ追加（directory）</v>
      </c>
    </row>
    <row r="83" spans="1:9" ht="11.25" customHeight="1" outlineLevel="1">
      <c r="A83" s="15"/>
      <c r="B83" s="15" t="s">
        <v>3684</v>
      </c>
      <c r="C83" s="16" t="s">
        <v>3685</v>
      </c>
      <c r="D83" s="16" t="s">
        <v>3685</v>
      </c>
      <c r="E83" s="47" t="s">
        <v>3397</v>
      </c>
      <c r="F83" s="17" t="s">
        <v>3686</v>
      </c>
      <c r="H83">
        <f t="shared" ca="1" si="2"/>
        <v>918</v>
      </c>
      <c r="I83" t="str">
        <f t="shared" si="3"/>
        <v>MSProject読み込み</v>
      </c>
    </row>
    <row r="84" spans="1:9" ht="11.25" customHeight="1" outlineLevel="1">
      <c r="A84" s="15"/>
      <c r="B84" s="15" t="s">
        <v>3687</v>
      </c>
      <c r="C84" s="16" t="s">
        <v>3688</v>
      </c>
      <c r="D84" s="16" t="s">
        <v>3689</v>
      </c>
      <c r="E84" s="47" t="s">
        <v>3397</v>
      </c>
      <c r="F84" s="17" t="s">
        <v>3690</v>
      </c>
      <c r="H84">
        <f t="shared" ca="1" si="2"/>
        <v>919</v>
      </c>
      <c r="I84" t="str">
        <f t="shared" si="3"/>
        <v>include対象正規表現</v>
      </c>
    </row>
    <row r="85" spans="1:9" ht="11.25" customHeight="1" outlineLevel="1">
      <c r="A85" s="15"/>
      <c r="B85" s="15" t="s">
        <v>3691</v>
      </c>
      <c r="C85" s="16" t="s">
        <v>3692</v>
      </c>
      <c r="D85" s="16" t="s">
        <v>3693</v>
      </c>
      <c r="E85" s="47" t="s">
        <v>3406</v>
      </c>
      <c r="F85" s="17" t="s">
        <v>3694</v>
      </c>
      <c r="H85">
        <f t="shared" ca="1" si="2"/>
        <v>920</v>
      </c>
      <c r="I85" t="str">
        <f t="shared" si="3"/>
        <v>インストール設定</v>
      </c>
    </row>
    <row r="86" spans="1:9" ht="11.25" customHeight="1" outlineLevel="1">
      <c r="A86" s="15"/>
      <c r="B86" s="110" t="s">
        <v>3695</v>
      </c>
      <c r="C86" s="111" t="s">
        <v>3696</v>
      </c>
      <c r="D86" s="111" t="s">
        <v>3697</v>
      </c>
      <c r="E86" s="112" t="s">
        <v>3397</v>
      </c>
      <c r="F86" s="113" t="s">
        <v>3698</v>
      </c>
      <c r="H86">
        <f t="shared" ca="1" si="2"/>
        <v>921</v>
      </c>
      <c r="I86" t="str">
        <f t="shared" si="3"/>
        <v>リンクディレクトリ追加</v>
      </c>
    </row>
    <row r="87" spans="1:9" ht="11.25" customHeight="1" outlineLevel="1">
      <c r="A87" s="15"/>
      <c r="B87" s="110" t="s">
        <v>3699</v>
      </c>
      <c r="C87" s="111" t="s">
        <v>3700</v>
      </c>
      <c r="D87" s="111" t="s">
        <v>3701</v>
      </c>
      <c r="E87" s="112" t="s">
        <v>3397</v>
      </c>
      <c r="F87" s="113" t="s">
        <v>3702</v>
      </c>
      <c r="H87">
        <f t="shared" ca="1" si="2"/>
        <v>922</v>
      </c>
      <c r="I87" t="str">
        <f t="shared" si="3"/>
        <v>リンクライブラリ追加（directory）</v>
      </c>
    </row>
    <row r="88" spans="1:9" ht="11.25" customHeight="1" outlineLevel="1">
      <c r="A88" s="15"/>
      <c r="B88" s="15" t="s">
        <v>3703</v>
      </c>
      <c r="C88" s="16" t="s">
        <v>3704</v>
      </c>
      <c r="D88" s="16" t="s">
        <v>3705</v>
      </c>
      <c r="E88" s="47" t="s">
        <v>3406</v>
      </c>
      <c r="F88" s="17" t="s">
        <v>3706</v>
      </c>
      <c r="H88">
        <f t="shared" ca="1" si="2"/>
        <v>923</v>
      </c>
      <c r="I88" t="str">
        <f t="shared" si="3"/>
        <v>プロジェクト定義</v>
      </c>
    </row>
    <row r="89" spans="1:9" ht="11.25" customHeight="1" outlineLevel="1">
      <c r="A89" s="15"/>
      <c r="B89" s="15" t="s">
        <v>3707</v>
      </c>
      <c r="C89" s="16" t="s">
        <v>3708</v>
      </c>
      <c r="D89" s="16" t="s">
        <v>3709</v>
      </c>
      <c r="E89" s="47" t="s">
        <v>3397</v>
      </c>
      <c r="F89" s="17" t="s">
        <v>3710</v>
      </c>
      <c r="H89">
        <f t="shared" ca="1" si="2"/>
        <v>924</v>
      </c>
      <c r="I89" t="str">
        <f t="shared" si="3"/>
        <v>コンパイル定義削除</v>
      </c>
    </row>
    <row r="90" spans="1:9" ht="11.25" customHeight="1" outlineLevel="1">
      <c r="A90" s="15"/>
      <c r="B90" s="15" t="s">
        <v>3711</v>
      </c>
      <c r="C90" s="16" t="s">
        <v>3712</v>
      </c>
      <c r="D90" s="16" t="s">
        <v>3713</v>
      </c>
      <c r="E90" s="47" t="s">
        <v>3388</v>
      </c>
      <c r="F90" s="17" t="s">
        <v>3714</v>
      </c>
      <c r="H90">
        <f t="shared" ca="1" si="2"/>
        <v>925</v>
      </c>
      <c r="I90" t="str">
        <f t="shared" si="3"/>
        <v>ソースファイルプロパティ設定</v>
      </c>
    </row>
    <row r="91" spans="1:9" ht="11.25" customHeight="1" outlineLevel="1">
      <c r="A91" s="15"/>
      <c r="B91" s="15" t="s">
        <v>3715</v>
      </c>
      <c r="C91" s="16" t="s">
        <v>3716</v>
      </c>
      <c r="D91" s="16" t="s">
        <v>3717</v>
      </c>
      <c r="E91" s="47" t="s">
        <v>3406</v>
      </c>
      <c r="F91" s="17" t="s">
        <v>3718</v>
      </c>
      <c r="H91">
        <f t="shared" ca="1" si="2"/>
        <v>926</v>
      </c>
      <c r="I91" t="str">
        <f t="shared" si="3"/>
        <v>ターゲットプロパティ設定</v>
      </c>
    </row>
    <row r="92" spans="1:9" ht="11.25" customHeight="1" outlineLevel="1">
      <c r="A92" s="15"/>
      <c r="B92" s="15" t="s">
        <v>3719</v>
      </c>
      <c r="C92" s="16" t="s">
        <v>3720</v>
      </c>
      <c r="D92" s="16" t="s">
        <v>3721</v>
      </c>
      <c r="E92" s="47" t="s">
        <v>3397</v>
      </c>
      <c r="F92" s="17" t="s">
        <v>3679</v>
      </c>
      <c r="H92">
        <f t="shared" ca="1" si="2"/>
        <v>927</v>
      </c>
      <c r="I92" t="str">
        <f t="shared" si="3"/>
        <v>テストプロパティ設定</v>
      </c>
    </row>
    <row r="93" spans="1:9" ht="11.25" customHeight="1" outlineLevel="1">
      <c r="A93" s="15"/>
      <c r="B93" s="15" t="s">
        <v>3722</v>
      </c>
      <c r="C93" s="16" t="s">
        <v>3723</v>
      </c>
      <c r="D93" s="16" t="s">
        <v>3724</v>
      </c>
      <c r="E93" s="47" t="s">
        <v>3388</v>
      </c>
      <c r="F93" s="17" t="s">
        <v>3725</v>
      </c>
      <c r="H93">
        <f t="shared" ca="1" si="2"/>
        <v>928</v>
      </c>
      <c r="I93" t="str">
        <f t="shared" si="3"/>
        <v>IDEグループ分け</v>
      </c>
    </row>
    <row r="94" spans="1:9" ht="11.25" customHeight="1" outlineLevel="1">
      <c r="A94" s="15"/>
      <c r="B94" s="15" t="s">
        <v>3726</v>
      </c>
      <c r="C94" s="16" t="s">
        <v>3727</v>
      </c>
      <c r="D94" s="16" t="s">
        <v>3728</v>
      </c>
      <c r="E94" s="47" t="s">
        <v>3406</v>
      </c>
      <c r="F94" s="17" t="s">
        <v>3729</v>
      </c>
      <c r="H94">
        <f t="shared" ca="1" si="2"/>
        <v>929</v>
      </c>
      <c r="I94" t="str">
        <f t="shared" si="3"/>
        <v>ターゲット単位の定義追加</v>
      </c>
    </row>
    <row r="95" spans="1:9" ht="11.25" customHeight="1" outlineLevel="1">
      <c r="A95" s="15"/>
      <c r="B95" s="15" t="s">
        <v>3730</v>
      </c>
      <c r="C95" s="16" t="s">
        <v>3731</v>
      </c>
      <c r="D95" s="16" t="s">
        <v>3732</v>
      </c>
      <c r="E95" s="47" t="s">
        <v>3406</v>
      </c>
      <c r="F95" s="17" t="s">
        <v>3733</v>
      </c>
      <c r="H95">
        <f t="shared" ca="1" si="2"/>
        <v>930</v>
      </c>
      <c r="I95" t="str">
        <f t="shared" si="3"/>
        <v>C++標準機能要求</v>
      </c>
    </row>
    <row r="96" spans="1:9" ht="11.25" customHeight="1" outlineLevel="1">
      <c r="A96" s="15"/>
      <c r="B96" s="15" t="s">
        <v>3734</v>
      </c>
      <c r="C96" s="16" t="s">
        <v>3735</v>
      </c>
      <c r="D96" s="16" t="s">
        <v>3736</v>
      </c>
      <c r="E96" s="47" t="s">
        <v>3406</v>
      </c>
      <c r="F96" s="17" t="s">
        <v>3737</v>
      </c>
      <c r="H96">
        <f t="shared" ca="1" si="2"/>
        <v>931</v>
      </c>
      <c r="I96" t="str">
        <f t="shared" si="3"/>
        <v>ターゲット単位オプション追加</v>
      </c>
    </row>
    <row r="97" spans="1:9" ht="11.25" customHeight="1" outlineLevel="1">
      <c r="A97" s="15"/>
      <c r="B97" s="15" t="s">
        <v>3738</v>
      </c>
      <c r="C97" s="16" t="s">
        <v>3739</v>
      </c>
      <c r="D97" s="16" t="s">
        <v>3740</v>
      </c>
      <c r="E97" s="47" t="s">
        <v>3406</v>
      </c>
      <c r="F97" s="17" t="s">
        <v>3741</v>
      </c>
      <c r="H97">
        <f t="shared" ca="1" si="2"/>
        <v>932</v>
      </c>
      <c r="I97" t="str">
        <f t="shared" si="3"/>
        <v>includeパス指定（target単位）</v>
      </c>
    </row>
    <row r="98" spans="1:9" ht="11.25" customHeight="1" outlineLevel="1">
      <c r="A98" s="15"/>
      <c r="B98" s="15" t="s">
        <v>3742</v>
      </c>
      <c r="C98" s="16" t="s">
        <v>3743</v>
      </c>
      <c r="D98" s="16" t="s">
        <v>3744</v>
      </c>
      <c r="E98" s="47" t="s">
        <v>3388</v>
      </c>
      <c r="F98" s="17" t="s">
        <v>3745</v>
      </c>
      <c r="H98">
        <f t="shared" ca="1" si="2"/>
        <v>933</v>
      </c>
      <c r="I98" t="str">
        <f t="shared" si="3"/>
        <v>リンクディレクトリ指定</v>
      </c>
    </row>
    <row r="99" spans="1:9" ht="11.25" customHeight="1" outlineLevel="1">
      <c r="A99" s="15"/>
      <c r="B99" s="107" t="s">
        <v>3746</v>
      </c>
      <c r="C99" s="16" t="s">
        <v>3747</v>
      </c>
      <c r="D99" s="16" t="s">
        <v>3748</v>
      </c>
      <c r="E99" s="47" t="s">
        <v>3406</v>
      </c>
      <c r="F99" s="17" t="s">
        <v>3749</v>
      </c>
      <c r="H99">
        <f t="shared" ca="1" si="2"/>
        <v>934</v>
      </c>
      <c r="I99" t="str">
        <f t="shared" si="3"/>
        <v>ライブラリリンク</v>
      </c>
    </row>
    <row r="100" spans="1:9" ht="11.25" customHeight="1" outlineLevel="1">
      <c r="A100" s="15"/>
      <c r="B100" s="15" t="s">
        <v>3750</v>
      </c>
      <c r="C100" s="16" t="s">
        <v>3751</v>
      </c>
      <c r="D100" s="16" t="s">
        <v>3752</v>
      </c>
      <c r="E100" s="47" t="s">
        <v>3388</v>
      </c>
      <c r="F100" s="17" t="s">
        <v>3753</v>
      </c>
      <c r="H100">
        <f t="shared" ca="1" si="2"/>
        <v>935</v>
      </c>
      <c r="I100" t="str">
        <f t="shared" si="3"/>
        <v>リンカオプション指定</v>
      </c>
    </row>
    <row r="101" spans="1:9" ht="11.25" customHeight="1" outlineLevel="1">
      <c r="A101" s="15"/>
      <c r="B101" s="15" t="s">
        <v>3754</v>
      </c>
      <c r="C101" s="16" t="s">
        <v>3755</v>
      </c>
      <c r="D101" s="16" t="s">
        <v>3756</v>
      </c>
      <c r="E101" s="47" t="s">
        <v>3388</v>
      </c>
      <c r="F101" s="17" t="s">
        <v>3757</v>
      </c>
      <c r="H101">
        <f t="shared" ca="1" si="2"/>
        <v>936</v>
      </c>
      <c r="I101" t="str">
        <f t="shared" si="3"/>
        <v>プリコンパイルヘッダ</v>
      </c>
    </row>
    <row r="102" spans="1:9" ht="11.25" customHeight="1" outlineLevel="1">
      <c r="A102" s="15"/>
      <c r="B102" s="15" t="s">
        <v>3758</v>
      </c>
      <c r="C102" s="16" t="s">
        <v>3759</v>
      </c>
      <c r="D102" s="16" t="s">
        <v>3760</v>
      </c>
      <c r="E102" s="47" t="s">
        <v>3406</v>
      </c>
      <c r="F102" s="17" t="s">
        <v>3761</v>
      </c>
      <c r="H102">
        <f t="shared" ca="1" si="2"/>
        <v>937</v>
      </c>
      <c r="I102" t="str">
        <f t="shared" si="3"/>
        <v>ターゲットにソース追加</v>
      </c>
    </row>
    <row r="103" spans="1:9" ht="11.25" customHeight="1" outlineLevel="1">
      <c r="A103" s="15"/>
      <c r="B103" s="15" t="s">
        <v>3762</v>
      </c>
      <c r="C103" s="16" t="s">
        <v>3763</v>
      </c>
      <c r="D103" s="16" t="s">
        <v>3764</v>
      </c>
      <c r="E103" s="47" t="s">
        <v>3388</v>
      </c>
      <c r="F103" s="17" t="s">
        <v>3765</v>
      </c>
      <c r="H103">
        <f t="shared" ca="1" si="2"/>
        <v>938</v>
      </c>
      <c r="I103" t="str">
        <f t="shared" si="3"/>
        <v>コンパイル可否テスト</v>
      </c>
    </row>
    <row r="104" spans="1:9" ht="11.25" customHeight="1" outlineLevel="1">
      <c r="A104" s="15"/>
      <c r="B104" s="15" t="s">
        <v>3766</v>
      </c>
      <c r="C104" s="16" t="s">
        <v>3767</v>
      </c>
      <c r="D104" s="16" t="s">
        <v>3767</v>
      </c>
      <c r="E104" s="47" t="s">
        <v>3397</v>
      </c>
      <c r="F104" s="17" t="s">
        <v>3768</v>
      </c>
      <c r="H104">
        <f t="shared" ref="H104:H244" ca="1" si="4">IF(I104="",OFFSET(H104,-1,0),OFFSET(H104,-1,0)+1)</f>
        <v>939</v>
      </c>
      <c r="I104" t="str">
        <f t="shared" ref="I104:I115" si="5">IF(B104="","",B104)</f>
        <v>実行可否テスト</v>
      </c>
    </row>
    <row r="105" spans="1:9" ht="11.25" customHeight="1" outlineLevel="1">
      <c r="A105" s="15"/>
      <c r="B105" s="15"/>
      <c r="C105" s="16"/>
      <c r="D105" s="16"/>
      <c r="E105" s="47"/>
      <c r="F105" s="17"/>
      <c r="H105">
        <f t="shared" ca="1" si="4"/>
        <v>939</v>
      </c>
      <c r="I105" t="str">
        <f t="shared" si="5"/>
        <v/>
      </c>
    </row>
    <row r="106" spans="1:9" ht="11.25" customHeight="1">
      <c r="A106" s="21" t="s">
        <v>3770</v>
      </c>
      <c r="B106" s="13"/>
      <c r="C106" s="13"/>
      <c r="D106" s="13"/>
      <c r="E106" s="45"/>
      <c r="F106" s="14" t="s">
        <v>122</v>
      </c>
      <c r="G106" t="s">
        <v>122</v>
      </c>
      <c r="H106">
        <f ca="1">IF(I106="",OFFSET(H106,-1,0),OFFSET(H106,-1,0)+1)</f>
        <v>939</v>
      </c>
      <c r="I106" t="str">
        <f t="shared" si="5"/>
        <v/>
      </c>
    </row>
    <row r="107" spans="1:9" ht="11.25" customHeight="1" outlineLevel="1">
      <c r="A107" s="15"/>
      <c r="B107" s="15" t="s">
        <v>3771</v>
      </c>
      <c r="C107" s="16" t="s">
        <v>3772</v>
      </c>
      <c r="D107" s="16" t="s">
        <v>3773</v>
      </c>
      <c r="E107" s="47" t="s">
        <v>3406</v>
      </c>
      <c r="F107" s="17" t="s">
        <v>3774</v>
      </c>
      <c r="H107">
        <f t="shared" ca="1" si="4"/>
        <v>940</v>
      </c>
      <c r="I107" t="str">
        <f t="shared" si="5"/>
        <v>ビルド実行</v>
      </c>
    </row>
    <row r="108" spans="1:9" ht="11.25" customHeight="1" outlineLevel="1">
      <c r="A108" s="15"/>
      <c r="B108" s="15" t="s">
        <v>3775</v>
      </c>
      <c r="C108" s="16" t="s">
        <v>3776</v>
      </c>
      <c r="D108" s="16" t="s">
        <v>3777</v>
      </c>
      <c r="E108" s="47" t="s">
        <v>3406</v>
      </c>
      <c r="F108" s="17" t="s">
        <v>3778</v>
      </c>
      <c r="H108">
        <f t="shared" ca="1" si="4"/>
        <v>941</v>
      </c>
      <c r="I108" t="str">
        <f t="shared" si="5"/>
        <v>CMake configure実行</v>
      </c>
    </row>
    <row r="109" spans="1:9" ht="11.25" customHeight="1" outlineLevel="1">
      <c r="A109" s="15"/>
      <c r="B109" s="15" t="s">
        <v>3779</v>
      </c>
      <c r="C109" s="16" t="s">
        <v>3780</v>
      </c>
      <c r="D109" s="16" t="s">
        <v>3781</v>
      </c>
      <c r="E109" s="47" t="s">
        <v>3388</v>
      </c>
      <c r="F109" s="17" t="s">
        <v>3782</v>
      </c>
      <c r="H109">
        <f t="shared" ca="1" si="4"/>
        <v>942</v>
      </c>
      <c r="I109" t="str">
        <f t="shared" si="5"/>
        <v>カバレッジ収集</v>
      </c>
    </row>
    <row r="110" spans="1:9" ht="11.25" customHeight="1" outlineLevel="1">
      <c r="A110" s="15"/>
      <c r="B110" s="15" t="s">
        <v>3783</v>
      </c>
      <c r="C110" s="16" t="s">
        <v>3784</v>
      </c>
      <c r="D110" s="16" t="s">
        <v>3785</v>
      </c>
      <c r="E110" s="47" t="s">
        <v>3388</v>
      </c>
      <c r="F110" s="17" t="s">
        <v>3786</v>
      </c>
      <c r="H110">
        <f t="shared" ca="1" si="4"/>
        <v>943</v>
      </c>
      <c r="I110" t="str">
        <f t="shared" si="5"/>
        <v>バイナリディレクトリ削除</v>
      </c>
    </row>
    <row r="111" spans="1:9" ht="11.25" customHeight="1" outlineLevel="1">
      <c r="A111" s="15"/>
      <c r="B111" s="15" t="s">
        <v>3787</v>
      </c>
      <c r="C111" s="16" t="s">
        <v>3788</v>
      </c>
      <c r="D111" s="16" t="s">
        <v>3789</v>
      </c>
      <c r="E111" s="47" t="s">
        <v>3388</v>
      </c>
      <c r="F111" s="17" t="s">
        <v>3790</v>
      </c>
      <c r="H111">
        <f t="shared" ca="1" si="4"/>
        <v>944</v>
      </c>
      <c r="I111" t="str">
        <f t="shared" si="5"/>
        <v>メモリチェック実行</v>
      </c>
    </row>
    <row r="112" spans="1:9" ht="11.25" customHeight="1" outlineLevel="1">
      <c r="A112" s="15"/>
      <c r="B112" s="15" t="s">
        <v>3791</v>
      </c>
      <c r="C112" s="16" t="s">
        <v>3792</v>
      </c>
      <c r="D112" s="16" t="s">
        <v>3793</v>
      </c>
      <c r="E112" s="47" t="s">
        <v>3397</v>
      </c>
      <c r="F112" s="17" t="s">
        <v>3794</v>
      </c>
      <c r="H112">
        <f t="shared" ca="1" si="4"/>
        <v>945</v>
      </c>
      <c r="I112" t="str">
        <f t="shared" si="5"/>
        <v>カスタム設定読込</v>
      </c>
    </row>
    <row r="113" spans="1:9" ht="11.25" customHeight="1" outlineLevel="1">
      <c r="A113" s="15"/>
      <c r="B113" s="15" t="s">
        <v>3795</v>
      </c>
      <c r="C113" s="16" t="s">
        <v>3796</v>
      </c>
      <c r="D113" s="16" t="s">
        <v>3797</v>
      </c>
      <c r="E113" s="47" t="s">
        <v>3397</v>
      </c>
      <c r="F113" s="17" t="s">
        <v>3798</v>
      </c>
      <c r="H113">
        <f t="shared" ca="1" si="4"/>
        <v>946</v>
      </c>
      <c r="I113" t="str">
        <f t="shared" si="5"/>
        <v>別CTestスクリプト実行</v>
      </c>
    </row>
    <row r="114" spans="1:9" ht="11.25" customHeight="1" outlineLevel="1">
      <c r="A114" s="15"/>
      <c r="B114" s="15" t="s">
        <v>3799</v>
      </c>
      <c r="C114" s="16" t="s">
        <v>3800</v>
      </c>
      <c r="D114" s="16" t="s">
        <v>3801</v>
      </c>
      <c r="E114" s="47" t="s">
        <v>3397</v>
      </c>
      <c r="F114" s="17" t="s">
        <v>3802</v>
      </c>
      <c r="H114">
        <f t="shared" ca="1" si="4"/>
        <v>947</v>
      </c>
      <c r="I114" t="str">
        <f t="shared" si="5"/>
        <v>指定秒数待機</v>
      </c>
    </row>
    <row r="115" spans="1:9" ht="11.25" customHeight="1" outlineLevel="1">
      <c r="A115" s="15"/>
      <c r="B115" s="15" t="s">
        <v>3803</v>
      </c>
      <c r="C115" s="16" t="s">
        <v>3804</v>
      </c>
      <c r="D115" s="16" t="s">
        <v>3805</v>
      </c>
      <c r="E115" s="47" t="s">
        <v>3406</v>
      </c>
      <c r="F115" s="17" t="s">
        <v>3806</v>
      </c>
      <c r="H115">
        <f t="shared" ca="1" si="4"/>
        <v>948</v>
      </c>
      <c r="I115" t="str">
        <f t="shared" si="5"/>
        <v>ダッシュボード開始</v>
      </c>
    </row>
    <row r="116" spans="1:9" ht="11.25" customHeight="1" outlineLevel="1">
      <c r="A116" s="15"/>
      <c r="B116" s="15" t="s">
        <v>3807</v>
      </c>
      <c r="C116" s="16" t="s">
        <v>3808</v>
      </c>
      <c r="D116" s="16" t="s">
        <v>3809</v>
      </c>
      <c r="E116" s="47" t="s">
        <v>3406</v>
      </c>
      <c r="F116" s="17" t="s">
        <v>3810</v>
      </c>
      <c r="H116">
        <f t="shared" ref="H116:H207" ca="1" si="6">IF(I116="",OFFSET(H116,-1,0),OFFSET(H116,-1,0)+1)</f>
        <v>949</v>
      </c>
      <c r="I116" t="str">
        <f t="shared" ref="I116:I207" si="7">IF(B116="","",B116)</f>
        <v>CDashへ送信</v>
      </c>
    </row>
    <row r="117" spans="1:9" ht="11.25" customHeight="1" outlineLevel="1">
      <c r="A117" s="15"/>
      <c r="B117" s="15" t="s">
        <v>3811</v>
      </c>
      <c r="C117" s="16" t="s">
        <v>3812</v>
      </c>
      <c r="D117" s="16" t="s">
        <v>3813</v>
      </c>
      <c r="E117" s="47" t="s">
        <v>3406</v>
      </c>
      <c r="F117" s="17" t="s">
        <v>3814</v>
      </c>
      <c r="H117">
        <f t="shared" ca="1" si="6"/>
        <v>950</v>
      </c>
      <c r="I117" t="str">
        <f t="shared" si="7"/>
        <v>テスト実行</v>
      </c>
    </row>
    <row r="118" spans="1:9" ht="11.25" customHeight="1" outlineLevel="1">
      <c r="A118" s="15"/>
      <c r="B118" s="15" t="s">
        <v>3815</v>
      </c>
      <c r="C118" s="16" t="s">
        <v>3816</v>
      </c>
      <c r="D118" s="16" t="s">
        <v>3817</v>
      </c>
      <c r="E118" s="47" t="s">
        <v>3388</v>
      </c>
      <c r="F118" s="17" t="s">
        <v>3818</v>
      </c>
      <c r="H118">
        <f t="shared" ca="1" si="6"/>
        <v>951</v>
      </c>
      <c r="I118" t="str">
        <f t="shared" si="7"/>
        <v>ソース更新</v>
      </c>
    </row>
    <row r="119" spans="1:9" ht="11.25" customHeight="1" outlineLevel="1">
      <c r="A119" s="15"/>
      <c r="B119" s="15" t="s">
        <v>3819</v>
      </c>
      <c r="C119" s="16" t="s">
        <v>3820</v>
      </c>
      <c r="D119" s="16" t="s">
        <v>3821</v>
      </c>
      <c r="E119" s="47" t="s">
        <v>3397</v>
      </c>
      <c r="F119" s="17" t="s">
        <v>3822</v>
      </c>
      <c r="H119">
        <f t="shared" ca="1" si="6"/>
        <v>952</v>
      </c>
      <c r="I119" t="str">
        <f t="shared" si="7"/>
        <v>任意ファイルアップロード</v>
      </c>
    </row>
    <row r="120" spans="1:9" ht="11.25" customHeight="1" outlineLevel="1">
      <c r="A120" s="15"/>
      <c r="B120" s="15"/>
      <c r="C120" s="16"/>
      <c r="D120" s="16"/>
      <c r="E120" s="47"/>
      <c r="F120" s="17"/>
      <c r="H120">
        <f t="shared" ca="1" si="6"/>
        <v>952</v>
      </c>
      <c r="I120" t="str">
        <f t="shared" si="7"/>
        <v/>
      </c>
    </row>
    <row r="121" spans="1:9" ht="11.25" customHeight="1">
      <c r="A121" s="21" t="s">
        <v>3823</v>
      </c>
      <c r="B121" s="13"/>
      <c r="C121" s="13"/>
      <c r="D121" s="13"/>
      <c r="E121" s="45"/>
      <c r="F121" s="14" t="s">
        <v>122</v>
      </c>
      <c r="G121" t="s">
        <v>122</v>
      </c>
      <c r="H121">
        <f ca="1">IF(I121="",OFFSET(H121,-1,0),OFFSET(H121,-1,0)+1)</f>
        <v>952</v>
      </c>
      <c r="I121" t="str">
        <f>IF(B121="","",B121)</f>
        <v/>
      </c>
    </row>
    <row r="122" spans="1:9" ht="11.25" customHeight="1" outlineLevel="1">
      <c r="A122" s="15"/>
      <c r="B122" s="15" t="s">
        <v>3824</v>
      </c>
      <c r="C122" s="16" t="s">
        <v>3825</v>
      </c>
      <c r="D122" s="16" t="s">
        <v>3826</v>
      </c>
      <c r="E122" s="47" t="s">
        <v>3397</v>
      </c>
      <c r="F122" s="17" t="s">
        <v>3827</v>
      </c>
      <c r="H122">
        <f t="shared" ca="1" si="6"/>
        <v>953</v>
      </c>
      <c r="I122" t="str">
        <f t="shared" si="7"/>
        <v>ビルド名取得</v>
      </c>
    </row>
    <row r="123" spans="1:9" ht="11.25" customHeight="1" outlineLevel="1">
      <c r="A123" s="15"/>
      <c r="B123" s="15" t="s">
        <v>3828</v>
      </c>
      <c r="C123" s="16" t="s">
        <v>3829</v>
      </c>
      <c r="D123" s="16" t="s">
        <v>3830</v>
      </c>
      <c r="E123" s="47" t="s">
        <v>3397</v>
      </c>
      <c r="F123" s="17" t="s">
        <v>3831</v>
      </c>
      <c r="H123">
        <f t="shared" ca="1" si="6"/>
        <v>954</v>
      </c>
      <c r="I123" t="str">
        <f t="shared" si="7"/>
        <v>外部プログラム実行</v>
      </c>
    </row>
    <row r="124" spans="1:9" ht="11.25" customHeight="1" outlineLevel="1">
      <c r="A124" s="15"/>
      <c r="B124" s="15" t="s">
        <v>3832</v>
      </c>
      <c r="C124" s="16" t="s">
        <v>3833</v>
      </c>
      <c r="D124" s="16" t="s">
        <v>3834</v>
      </c>
      <c r="E124" s="47" t="s">
        <v>3397</v>
      </c>
      <c r="F124" s="17" t="s">
        <v>3835</v>
      </c>
      <c r="H124">
        <f t="shared" ca="1" si="6"/>
        <v>955</v>
      </c>
      <c r="I124" t="str">
        <f t="shared" si="7"/>
        <v>ライブラリ依存エクスポート</v>
      </c>
    </row>
    <row r="125" spans="1:9" ht="11.25" customHeight="1" outlineLevel="1">
      <c r="A125" s="15"/>
      <c r="B125" s="15" t="s">
        <v>3836</v>
      </c>
      <c r="C125" s="16" t="s">
        <v>3837</v>
      </c>
      <c r="D125" s="16" t="s">
        <v>3838</v>
      </c>
      <c r="E125" s="47" t="s">
        <v>3397</v>
      </c>
      <c r="F125" s="17" t="s">
        <v>3839</v>
      </c>
      <c r="H125">
        <f t="shared" ca="1" si="6"/>
        <v>956</v>
      </c>
      <c r="I125" t="str">
        <f t="shared" si="7"/>
        <v>ファイルインストール（旧式）</v>
      </c>
    </row>
    <row r="126" spans="1:9" ht="11.25" customHeight="1" outlineLevel="1">
      <c r="A126" s="15"/>
      <c r="B126" s="15" t="s">
        <v>3840</v>
      </c>
      <c r="C126" s="16" t="s">
        <v>3841</v>
      </c>
      <c r="D126" s="16" t="s">
        <v>3842</v>
      </c>
      <c r="E126" s="47" t="s">
        <v>3397</v>
      </c>
      <c r="F126" s="17" t="s">
        <v>3843</v>
      </c>
      <c r="H126">
        <f t="shared" ca="1" si="6"/>
        <v>957</v>
      </c>
      <c r="I126" t="str">
        <f t="shared" si="7"/>
        <v>実行ファイルインストール（旧式）</v>
      </c>
    </row>
    <row r="127" spans="1:9" ht="11.25" customHeight="1" outlineLevel="1">
      <c r="A127" s="15"/>
      <c r="B127" s="15" t="s">
        <v>3844</v>
      </c>
      <c r="C127" s="16" t="s">
        <v>3845</v>
      </c>
      <c r="D127" s="16" t="s">
        <v>3846</v>
      </c>
      <c r="E127" s="47" t="s">
        <v>3397</v>
      </c>
      <c r="F127" s="17" t="s">
        <v>3847</v>
      </c>
      <c r="H127">
        <f t="shared" ca="1" si="6"/>
        <v>958</v>
      </c>
      <c r="I127" t="str">
        <f t="shared" si="7"/>
        <v>ターゲットインストール（旧式）</v>
      </c>
    </row>
    <row r="128" spans="1:9" ht="11.25" customHeight="1" outlineLevel="1">
      <c r="A128" s="15"/>
      <c r="B128" s="15" t="s">
        <v>3848</v>
      </c>
      <c r="C128" s="16" t="s">
        <v>3849</v>
      </c>
      <c r="D128" s="16" t="s">
        <v>3850</v>
      </c>
      <c r="E128" s="47" t="s">
        <v>3397</v>
      </c>
      <c r="F128" s="17" t="s">
        <v>3851</v>
      </c>
      <c r="H128">
        <f t="shared" ca="1" si="6"/>
        <v>959</v>
      </c>
      <c r="I128" t="str">
        <f t="shared" si="7"/>
        <v>動的コマンド読込</v>
      </c>
    </row>
    <row r="129" spans="1:9" ht="11.25" customHeight="1" outlineLevel="1">
      <c r="A129" s="15"/>
      <c r="B129" s="15" t="s">
        <v>3852</v>
      </c>
      <c r="C129" s="16" t="s">
        <v>3853</v>
      </c>
      <c r="D129" s="16" t="s">
        <v>3854</v>
      </c>
      <c r="E129" s="47" t="s">
        <v>3397</v>
      </c>
      <c r="F129" s="17" t="s">
        <v>3855</v>
      </c>
      <c r="H129">
        <f t="shared" ca="1" si="6"/>
        <v>960</v>
      </c>
      <c r="I129" t="str">
        <f t="shared" si="7"/>
        <v>ディレクトリ作成</v>
      </c>
    </row>
    <row r="130" spans="1:9" ht="11.25" customHeight="1" outlineLevel="1">
      <c r="A130" s="15"/>
      <c r="B130" s="15" t="s">
        <v>3856</v>
      </c>
      <c r="C130" s="16" t="s">
        <v>3857</v>
      </c>
      <c r="D130" s="16" t="s">
        <v>3858</v>
      </c>
      <c r="E130" s="47" t="s">
        <v>3397</v>
      </c>
      <c r="F130" s="17" t="s">
        <v>3859</v>
      </c>
      <c r="H130">
        <f t="shared" ca="1" si="6"/>
        <v>961</v>
      </c>
      <c r="I130" t="str">
        <f t="shared" si="7"/>
        <v>依存出力ファイル生成</v>
      </c>
    </row>
    <row r="131" spans="1:9" ht="11.25" customHeight="1" outlineLevel="1">
      <c r="A131" s="15"/>
      <c r="B131" s="15" t="s">
        <v>3860</v>
      </c>
      <c r="C131" s="16" t="s">
        <v>3861</v>
      </c>
      <c r="D131" s="16" t="s">
        <v>3862</v>
      </c>
      <c r="E131" s="47" t="s">
        <v>3397</v>
      </c>
      <c r="F131" s="17" t="s">
        <v>3863</v>
      </c>
      <c r="H131">
        <f t="shared" ca="1" si="6"/>
        <v>962</v>
      </c>
      <c r="I131" t="str">
        <f t="shared" si="7"/>
        <v>Qt MOC生成（Qt3/4系）</v>
      </c>
    </row>
    <row r="132" spans="1:9" ht="11.25" customHeight="1" outlineLevel="1">
      <c r="A132" s="15"/>
      <c r="B132" s="15" t="s">
        <v>3864</v>
      </c>
      <c r="C132" s="16" t="s">
        <v>3865</v>
      </c>
      <c r="D132" s="16" t="s">
        <v>3866</v>
      </c>
      <c r="E132" s="47" t="s">
        <v>3397</v>
      </c>
      <c r="F132" s="17" t="s">
        <v>3867</v>
      </c>
      <c r="H132">
        <f t="shared" ca="1" si="6"/>
        <v>963</v>
      </c>
      <c r="I132" t="str">
        <f t="shared" si="7"/>
        <v>Qt UI変換（Qt3/4系）</v>
      </c>
    </row>
    <row r="133" spans="1:9" ht="11.25" customHeight="1" outlineLevel="1">
      <c r="A133" s="15"/>
      <c r="B133" s="15" t="s">
        <v>1397</v>
      </c>
      <c r="C133" s="16" t="s">
        <v>3868</v>
      </c>
      <c r="D133" s="16" t="s">
        <v>3869</v>
      </c>
      <c r="E133" s="47" t="s">
        <v>3397</v>
      </c>
      <c r="F133" s="17" t="s">
        <v>3870</v>
      </c>
      <c r="H133">
        <f t="shared" ca="1" si="6"/>
        <v>964</v>
      </c>
      <c r="I133" t="str">
        <f t="shared" si="7"/>
        <v>ファイル削除</v>
      </c>
    </row>
    <row r="134" spans="1:9" ht="11.25" customHeight="1" outlineLevel="1">
      <c r="A134" s="15"/>
      <c r="B134" s="15" t="s">
        <v>3871</v>
      </c>
      <c r="C134" s="16" t="s">
        <v>3872</v>
      </c>
      <c r="D134" s="16" t="s">
        <v>3873</v>
      </c>
      <c r="E134" s="47" t="s">
        <v>3397</v>
      </c>
      <c r="F134" s="17" t="s">
        <v>3874</v>
      </c>
      <c r="H134">
        <f t="shared" ca="1" si="6"/>
        <v>965</v>
      </c>
      <c r="I134" t="str">
        <f t="shared" si="7"/>
        <v>サブディレクトリ依存</v>
      </c>
    </row>
    <row r="135" spans="1:9" ht="11.25" customHeight="1" outlineLevel="1">
      <c r="A135" s="15"/>
      <c r="B135" s="15" t="s">
        <v>3875</v>
      </c>
      <c r="C135" s="16" t="s">
        <v>3876</v>
      </c>
      <c r="D135" s="16" t="s">
        <v>3877</v>
      </c>
      <c r="E135" s="47" t="s">
        <v>3397</v>
      </c>
      <c r="F135" s="17" t="s">
        <v>3878</v>
      </c>
      <c r="H135">
        <f t="shared" ca="1" si="6"/>
        <v>966</v>
      </c>
      <c r="I135" t="str">
        <f t="shared" si="7"/>
        <v>サブディレクトリ追加（旧式）</v>
      </c>
    </row>
    <row r="136" spans="1:9" ht="11.25" customHeight="1" outlineLevel="1">
      <c r="A136" s="15"/>
      <c r="B136" s="15" t="s">
        <v>3879</v>
      </c>
      <c r="C136" s="16" t="s">
        <v>3880</v>
      </c>
      <c r="D136" s="16" t="s">
        <v>3881</v>
      </c>
      <c r="E136" s="47" t="s">
        <v>3397</v>
      </c>
      <c r="F136" s="17" t="s">
        <v>3882</v>
      </c>
      <c r="H136">
        <f t="shared" ca="1" si="6"/>
        <v>967</v>
      </c>
      <c r="I136" t="str">
        <f t="shared" si="7"/>
        <v>Mesa特別処理</v>
      </c>
    </row>
    <row r="137" spans="1:9" ht="11.25" customHeight="1" outlineLevel="1">
      <c r="A137" s="15"/>
      <c r="B137" s="15" t="s">
        <v>3883</v>
      </c>
      <c r="C137" s="16" t="s">
        <v>3884</v>
      </c>
      <c r="D137" s="16" t="s">
        <v>3885</v>
      </c>
      <c r="E137" s="47" t="s">
        <v>3397</v>
      </c>
      <c r="F137" s="17" t="s">
        <v>3859</v>
      </c>
      <c r="H137">
        <f t="shared" ca="1" si="6"/>
        <v>968</v>
      </c>
      <c r="I137" t="str">
        <f t="shared" si="7"/>
        <v>ユーティリティソース登録</v>
      </c>
    </row>
    <row r="138" spans="1:9" ht="11.25" customHeight="1" outlineLevel="1">
      <c r="A138" s="15"/>
      <c r="B138" s="15" t="s">
        <v>3886</v>
      </c>
      <c r="C138" s="16" t="s">
        <v>3887</v>
      </c>
      <c r="D138" s="16" t="s">
        <v>3888</v>
      </c>
      <c r="E138" s="47" t="s">
        <v>3397</v>
      </c>
      <c r="F138" s="17" t="s">
        <v>3889</v>
      </c>
      <c r="H138">
        <f t="shared" ca="1" si="6"/>
        <v>969</v>
      </c>
      <c r="I138" t="str">
        <f t="shared" si="7"/>
        <v>変数必須チェック</v>
      </c>
    </row>
    <row r="139" spans="1:9" ht="11.25" customHeight="1" outlineLevel="1">
      <c r="A139" s="15"/>
      <c r="B139" s="15" t="s">
        <v>3890</v>
      </c>
      <c r="C139" s="16" t="s">
        <v>3891</v>
      </c>
      <c r="D139" s="16" t="s">
        <v>3892</v>
      </c>
      <c r="E139" s="47" t="s">
        <v>3397</v>
      </c>
      <c r="F139" s="17" t="s">
        <v>3893</v>
      </c>
      <c r="H139">
        <f t="shared" ca="1" si="6"/>
        <v>970</v>
      </c>
      <c r="I139" t="str">
        <f t="shared" si="7"/>
        <v>ファイル書き込み</v>
      </c>
    </row>
    <row r="140" spans="1:9" ht="11.25" customHeight="1" outlineLevel="1">
      <c r="A140" s="15"/>
      <c r="B140" s="15"/>
      <c r="C140" s="16"/>
      <c r="D140" s="16"/>
      <c r="E140" s="47"/>
      <c r="F140" s="17"/>
      <c r="H140">
        <f t="shared" ca="1" si="6"/>
        <v>970</v>
      </c>
      <c r="I140" t="str">
        <f t="shared" si="7"/>
        <v/>
      </c>
    </row>
    <row r="141" spans="1:9" ht="11.25" customHeight="1" outlineLevel="1">
      <c r="A141" s="15"/>
      <c r="B141" s="15"/>
      <c r="C141" s="16"/>
      <c r="D141" s="16"/>
      <c r="E141" s="47"/>
      <c r="F141" s="17"/>
      <c r="H141">
        <f t="shared" ca="1" si="6"/>
        <v>970</v>
      </c>
      <c r="I141" t="str">
        <f t="shared" si="7"/>
        <v/>
      </c>
    </row>
    <row r="142" spans="1:9" ht="11.25" customHeight="1">
      <c r="A142" s="12" t="s">
        <v>3895</v>
      </c>
      <c r="B142" s="13"/>
      <c r="C142" s="13"/>
      <c r="D142" s="13"/>
      <c r="E142" s="45"/>
      <c r="F142" s="14" t="s">
        <v>122</v>
      </c>
      <c r="G142" t="s">
        <v>122</v>
      </c>
      <c r="H142">
        <f ca="1">IF(I142="",OFFSET(H142,-1,0),OFFSET(H142,-1,0)+1)</f>
        <v>970</v>
      </c>
      <c r="I142" t="str">
        <f>IF(B142="","",B142)</f>
        <v/>
      </c>
    </row>
    <row r="143" spans="1:9" ht="11.25" customHeight="1" outlineLevel="1">
      <c r="A143" s="15"/>
      <c r="B143" s="15" t="s">
        <v>3896</v>
      </c>
      <c r="C143" s="16" t="s">
        <v>3384</v>
      </c>
      <c r="D143" s="16" t="s">
        <v>3384</v>
      </c>
      <c r="E143" s="47" t="s">
        <v>3406</v>
      </c>
      <c r="F143" s="17" t="s">
        <v>3897</v>
      </c>
      <c r="H143">
        <f t="shared" ca="1" si="6"/>
        <v>971</v>
      </c>
      <c r="I143" t="str">
        <f t="shared" si="7"/>
        <v>amentパッケージ宣言・最終化</v>
      </c>
    </row>
    <row r="144" spans="1:9" ht="11.25" customHeight="1" outlineLevel="1">
      <c r="A144" s="15"/>
      <c r="B144" s="15" t="s">
        <v>3898</v>
      </c>
      <c r="C144" s="16" t="s">
        <v>3899</v>
      </c>
      <c r="D144" s="16" t="s">
        <v>3900</v>
      </c>
      <c r="E144" s="47" t="s">
        <v>3406</v>
      </c>
      <c r="F144" s="17" t="s">
        <v>3901</v>
      </c>
      <c r="H144">
        <f t="shared" ca="1" si="6"/>
        <v>972</v>
      </c>
      <c r="I144" t="str">
        <f t="shared" si="7"/>
        <v>依存パッケージをターゲットへ追加</v>
      </c>
    </row>
    <row r="145" spans="1:9" ht="11.25" customHeight="1" outlineLevel="1">
      <c r="A145" s="15"/>
      <c r="B145" s="15" t="s">
        <v>3902</v>
      </c>
      <c r="C145" s="16" t="s">
        <v>3903</v>
      </c>
      <c r="D145" s="16" t="s">
        <v>3904</v>
      </c>
      <c r="E145" s="47" t="s">
        <v>3388</v>
      </c>
      <c r="F145" s="17" t="s">
        <v>3905</v>
      </c>
      <c r="H145">
        <f t="shared" ca="1" si="6"/>
        <v>973</v>
      </c>
      <c r="I145" t="str">
        <f t="shared" si="7"/>
        <v>includeディレクトリをexport</v>
      </c>
    </row>
    <row r="146" spans="1:9" ht="11.25" customHeight="1" outlineLevel="1">
      <c r="A146" s="15"/>
      <c r="B146" s="15" t="s">
        <v>3906</v>
      </c>
      <c r="C146" s="16" t="s">
        <v>3907</v>
      </c>
      <c r="D146" s="16" t="s">
        <v>3908</v>
      </c>
      <c r="E146" s="47" t="s">
        <v>3388</v>
      </c>
      <c r="F146" s="17" t="s">
        <v>3909</v>
      </c>
      <c r="H146">
        <f t="shared" ca="1" si="6"/>
        <v>974</v>
      </c>
      <c r="I146" t="str">
        <f t="shared" si="7"/>
        <v>ライブラリをexport</v>
      </c>
    </row>
    <row r="147" spans="1:9" ht="11.25" customHeight="1" outlineLevel="1">
      <c r="A147" s="15"/>
      <c r="B147" s="15" t="s">
        <v>3910</v>
      </c>
      <c r="C147" s="16" t="s">
        <v>3911</v>
      </c>
      <c r="D147" s="16" t="s">
        <v>3912</v>
      </c>
      <c r="E147" s="47" t="s">
        <v>3388</v>
      </c>
      <c r="F147" s="17" t="s">
        <v>3913</v>
      </c>
      <c r="H147">
        <f t="shared" ca="1" si="6"/>
        <v>975</v>
      </c>
      <c r="I147" t="str">
        <f t="shared" si="7"/>
        <v>依存関係をexport</v>
      </c>
    </row>
    <row r="148" spans="1:9" ht="11.25" customHeight="1" outlineLevel="1">
      <c r="A148" s="15"/>
      <c r="B148" s="15" t="s">
        <v>3914</v>
      </c>
      <c r="C148" s="16" t="s">
        <v>3915</v>
      </c>
      <c r="D148" s="16" t="s">
        <v>3916</v>
      </c>
      <c r="E148" s="47" t="s">
        <v>3397</v>
      </c>
      <c r="F148" s="17" t="s">
        <v>3917</v>
      </c>
      <c r="H148">
        <f t="shared" ca="1" si="6"/>
        <v>976</v>
      </c>
      <c r="I148" t="str">
        <f t="shared" si="7"/>
        <v>コンパイル定義export</v>
      </c>
    </row>
    <row r="149" spans="1:9" ht="11.25" customHeight="1" outlineLevel="1">
      <c r="A149" s="15"/>
      <c r="B149" s="15" t="s">
        <v>3918</v>
      </c>
      <c r="C149" s="16" t="s">
        <v>3919</v>
      </c>
      <c r="D149" s="16" t="s">
        <v>3920</v>
      </c>
      <c r="E149" s="47" t="s">
        <v>3388</v>
      </c>
      <c r="F149" s="17" t="s">
        <v>3921</v>
      </c>
      <c r="H149">
        <f t="shared" ca="1" si="6"/>
        <v>977</v>
      </c>
      <c r="I149" t="str">
        <f t="shared" si="7"/>
        <v>CMake config追加export</v>
      </c>
    </row>
    <row r="150" spans="1:9" ht="11.25" customHeight="1" outlineLevel="1">
      <c r="A150" s="15"/>
      <c r="B150" s="15" t="s">
        <v>3922</v>
      </c>
      <c r="C150" s="16" t="s">
        <v>3923</v>
      </c>
      <c r="D150" s="16" t="s">
        <v>3924</v>
      </c>
      <c r="E150" s="47" t="s">
        <v>3388</v>
      </c>
      <c r="F150" s="17" t="s">
        <v>3925</v>
      </c>
      <c r="H150">
        <f t="shared" ca="1" si="6"/>
        <v>978</v>
      </c>
      <c r="I150" t="str">
        <f t="shared" si="7"/>
        <v>テスト追加（amentラッパ）</v>
      </c>
    </row>
    <row r="151" spans="1:9" ht="11.25" customHeight="1" outlineLevel="1">
      <c r="A151" s="15"/>
      <c r="B151" s="15" t="s">
        <v>3926</v>
      </c>
      <c r="C151" s="16" t="s">
        <v>3927</v>
      </c>
      <c r="D151" s="16" t="s">
        <v>3928</v>
      </c>
      <c r="E151" s="47" t="s">
        <v>3406</v>
      </c>
      <c r="F151" s="17" t="s">
        <v>3929</v>
      </c>
      <c r="H151">
        <f t="shared" ca="1" si="6"/>
        <v>979</v>
      </c>
      <c r="I151" t="str">
        <f t="shared" si="7"/>
        <v>gtest追加</v>
      </c>
    </row>
    <row r="152" spans="1:9" ht="11.25" customHeight="1" outlineLevel="1">
      <c r="A152" s="15"/>
      <c r="B152" s="15" t="s">
        <v>3930</v>
      </c>
      <c r="C152" s="16" t="s">
        <v>3931</v>
      </c>
      <c r="D152" s="16" t="s">
        <v>3932</v>
      </c>
      <c r="E152" s="47" t="s">
        <v>3388</v>
      </c>
      <c r="F152" s="17" t="s">
        <v>3933</v>
      </c>
      <c r="H152">
        <f t="shared" ca="1" si="6"/>
        <v>980</v>
      </c>
      <c r="I152" t="str">
        <f t="shared" si="7"/>
        <v>gmock追加</v>
      </c>
    </row>
    <row r="153" spans="1:9" ht="11.25" customHeight="1" outlineLevel="1">
      <c r="A153" s="15"/>
      <c r="B153" s="15" t="s">
        <v>3934</v>
      </c>
      <c r="C153" s="16" t="s">
        <v>3935</v>
      </c>
      <c r="D153" s="16" t="s">
        <v>3936</v>
      </c>
      <c r="E153" s="47" t="s">
        <v>3388</v>
      </c>
      <c r="F153" s="17" t="s">
        <v>3937</v>
      </c>
      <c r="H153">
        <f t="shared" ca="1" si="6"/>
        <v>981</v>
      </c>
      <c r="I153" t="str">
        <f t="shared" si="7"/>
        <v>pytest追加</v>
      </c>
    </row>
    <row r="154" spans="1:9" ht="11.25" customHeight="1" outlineLevel="1">
      <c r="A154" s="15"/>
      <c r="B154" s="15" t="s">
        <v>3938</v>
      </c>
      <c r="C154" s="16" t="s">
        <v>3939</v>
      </c>
      <c r="D154" s="16" t="s">
        <v>3939</v>
      </c>
      <c r="E154" s="47" t="s">
        <v>3388</v>
      </c>
      <c r="F154" s="17" t="s">
        <v>3940</v>
      </c>
      <c r="H154">
        <f t="shared" ca="1" si="6"/>
        <v>982</v>
      </c>
      <c r="I154" t="str">
        <f t="shared" si="7"/>
        <v>lint自動追加</v>
      </c>
    </row>
    <row r="155" spans="1:9" ht="11.25" customHeight="1" outlineLevel="1">
      <c r="A155" s="15"/>
      <c r="B155" s="15" t="s">
        <v>3941</v>
      </c>
      <c r="C155" s="16" t="s">
        <v>3942</v>
      </c>
      <c r="D155" s="16" t="s">
        <v>3942</v>
      </c>
      <c r="E155" s="47" t="s">
        <v>3388</v>
      </c>
      <c r="F155" s="17" t="s">
        <v>3943</v>
      </c>
      <c r="H155">
        <f t="shared" ca="1" si="6"/>
        <v>983</v>
      </c>
      <c r="I155" t="str">
        <f t="shared" si="7"/>
        <v>lintパッケージ有効化</v>
      </c>
    </row>
    <row r="156" spans="1:9" ht="11.25" customHeight="1" outlineLevel="1">
      <c r="A156" s="15"/>
      <c r="B156" s="15" t="s">
        <v>3944</v>
      </c>
      <c r="C156" s="16" t="s">
        <v>3379</v>
      </c>
      <c r="D156" s="16" t="s">
        <v>3379</v>
      </c>
      <c r="E156" s="47" t="s">
        <v>3406</v>
      </c>
      <c r="F156" s="17" t="s">
        <v>3945</v>
      </c>
      <c r="H156">
        <f t="shared" ca="1" si="6"/>
        <v>984</v>
      </c>
      <c r="I156" t="str">
        <f t="shared" si="7"/>
        <v>パッケージXML依存解決</v>
      </c>
    </row>
    <row r="157" spans="1:9" ht="11.25" customHeight="1" outlineLevel="1">
      <c r="A157" s="15"/>
      <c r="B157" s="15" t="s">
        <v>3946</v>
      </c>
      <c r="C157" s="16" t="s">
        <v>3947</v>
      </c>
      <c r="D157" s="16" t="s">
        <v>3947</v>
      </c>
      <c r="E157" s="47" t="s">
        <v>3388</v>
      </c>
      <c r="F157" s="17" t="s">
        <v>3948</v>
      </c>
      <c r="H157">
        <f t="shared" ca="1" si="6"/>
        <v>985</v>
      </c>
      <c r="I157" t="str">
        <f t="shared" si="7"/>
        <v>ROS固有拡張</v>
      </c>
    </row>
    <row r="158" spans="1:9" ht="11.25" customHeight="1" outlineLevel="1">
      <c r="A158" s="15"/>
      <c r="B158" s="15" t="s">
        <v>3949</v>
      </c>
      <c r="C158" s="16" t="s">
        <v>3950</v>
      </c>
      <c r="D158" s="16" t="s">
        <v>3951</v>
      </c>
      <c r="E158" s="47" t="s">
        <v>3397</v>
      </c>
      <c r="F158" s="17" t="s">
        <v>3952</v>
      </c>
      <c r="H158">
        <f t="shared" ca="1" si="6"/>
        <v>986</v>
      </c>
      <c r="I158" t="str">
        <f t="shared" si="7"/>
        <v>リソースインデックス登録</v>
      </c>
    </row>
    <row r="159" spans="1:9" ht="11.25" customHeight="1" outlineLevel="1">
      <c r="A159" s="15"/>
      <c r="B159" s="15" t="s">
        <v>3953</v>
      </c>
      <c r="C159" s="16" t="s">
        <v>3954</v>
      </c>
      <c r="D159" s="16" t="s">
        <v>3954</v>
      </c>
      <c r="E159" s="47" t="s">
        <v>3397</v>
      </c>
      <c r="F159" s="17" t="s">
        <v>3955</v>
      </c>
      <c r="H159">
        <f t="shared" ca="1" si="6"/>
        <v>987</v>
      </c>
      <c r="I159" t="str">
        <f t="shared" si="7"/>
        <v>リソース登録ヘルパ</v>
      </c>
    </row>
    <row r="160" spans="1:9" ht="11.25" customHeight="1" outlineLevel="1">
      <c r="A160" s="15"/>
      <c r="B160" s="15"/>
      <c r="C160" s="16"/>
      <c r="D160" s="16"/>
      <c r="E160" s="47"/>
      <c r="F160" s="17"/>
      <c r="H160">
        <f t="shared" ca="1" si="6"/>
        <v>987</v>
      </c>
      <c r="I160" t="str">
        <f t="shared" si="7"/>
        <v/>
      </c>
    </row>
    <row r="161" spans="1:9" ht="11.25" customHeight="1">
      <c r="A161" s="12" t="s">
        <v>3381</v>
      </c>
      <c r="B161" s="13"/>
      <c r="C161" s="13"/>
      <c r="D161" s="13"/>
      <c r="E161" s="45"/>
      <c r="F161" s="14" t="s">
        <v>122</v>
      </c>
      <c r="G161" t="s">
        <v>122</v>
      </c>
      <c r="H161">
        <f ca="1">IF(I161="",OFFSET(H161,-1,0),OFFSET(H161,-1,0)+1)</f>
        <v>987</v>
      </c>
      <c r="I161" t="str">
        <f>IF(B161="","",B161)</f>
        <v/>
      </c>
    </row>
    <row r="162" spans="1:9" ht="11.25" customHeight="1" outlineLevel="1">
      <c r="A162" s="15"/>
      <c r="B162" s="15" t="s">
        <v>3956</v>
      </c>
      <c r="C162" s="16" t="s">
        <v>3380</v>
      </c>
      <c r="D162" s="16" t="s">
        <v>3957</v>
      </c>
      <c r="E162" s="47" t="s">
        <v>3406</v>
      </c>
      <c r="F162" s="17" t="s">
        <v>3958</v>
      </c>
      <c r="H162">
        <f t="shared" ref="H162:H188" ca="1" si="8">IF(I162="",OFFSET(H162,-1,0),OFFSET(H162,-1,0)+1)</f>
        <v>988</v>
      </c>
      <c r="I162" t="str">
        <f t="shared" ref="I162:I188" si="9">IF(B162="","",B162)</f>
        <v>現在処理中CMakeListsのソースディレクトリ</v>
      </c>
    </row>
    <row r="163" spans="1:9" ht="11.25" customHeight="1" outlineLevel="1">
      <c r="A163" s="15"/>
      <c r="B163" s="15" t="s">
        <v>3959</v>
      </c>
      <c r="C163" s="16" t="s">
        <v>3960</v>
      </c>
      <c r="D163" s="16" t="s">
        <v>3961</v>
      </c>
      <c r="E163" s="47" t="s">
        <v>3406</v>
      </c>
      <c r="F163" s="17" t="s">
        <v>3962</v>
      </c>
      <c r="H163">
        <f t="shared" ca="1" si="8"/>
        <v>989</v>
      </c>
      <c r="I163" t="str">
        <f t="shared" si="9"/>
        <v>現在処理中CMakeListsのビルドディレクトリ</v>
      </c>
    </row>
    <row r="164" spans="1:9" ht="11.25" customHeight="1" outlineLevel="1">
      <c r="A164" s="15"/>
      <c r="B164" s="15" t="s">
        <v>3963</v>
      </c>
      <c r="C164" s="16" t="s">
        <v>3964</v>
      </c>
      <c r="D164" s="16" t="s">
        <v>3965</v>
      </c>
      <c r="E164" s="47" t="s">
        <v>3406</v>
      </c>
      <c r="F164" s="17" t="s">
        <v>3966</v>
      </c>
      <c r="H164">
        <f t="shared" ca="1" si="8"/>
        <v>990</v>
      </c>
      <c r="I164" t="str">
        <f t="shared" si="9"/>
        <v>ルートソースディレクトリ</v>
      </c>
    </row>
    <row r="165" spans="1:9" ht="11.25" customHeight="1" outlineLevel="1">
      <c r="A165" s="15"/>
      <c r="B165" s="15" t="s">
        <v>3967</v>
      </c>
      <c r="C165" s="16" t="s">
        <v>3968</v>
      </c>
      <c r="D165" s="16" t="s">
        <v>3969</v>
      </c>
      <c r="E165" s="47" t="s">
        <v>3406</v>
      </c>
      <c r="F165" s="17" t="s">
        <v>3970</v>
      </c>
      <c r="H165">
        <f t="shared" ca="1" si="8"/>
        <v>991</v>
      </c>
      <c r="I165" t="str">
        <f t="shared" si="9"/>
        <v>ルートビルドディレクトリ</v>
      </c>
    </row>
    <row r="166" spans="1:9" ht="11.25" customHeight="1" outlineLevel="1">
      <c r="A166" s="15"/>
      <c r="B166" s="15" t="s">
        <v>3971</v>
      </c>
      <c r="C166" s="16" t="s">
        <v>3382</v>
      </c>
      <c r="D166" s="16" t="s">
        <v>3972</v>
      </c>
      <c r="E166" s="47" t="s">
        <v>3406</v>
      </c>
      <c r="F166" s="17" t="s">
        <v>3973</v>
      </c>
      <c r="H166">
        <f t="shared" ca="1" si="8"/>
        <v>992</v>
      </c>
      <c r="I166" t="str">
        <f t="shared" si="9"/>
        <v>プロジェクト名</v>
      </c>
    </row>
    <row r="167" spans="1:9" ht="11.25" customHeight="1" outlineLevel="1">
      <c r="A167" s="15"/>
      <c r="B167" s="15" t="s">
        <v>3974</v>
      </c>
      <c r="C167" s="16" t="s">
        <v>3975</v>
      </c>
      <c r="D167" s="16" t="s">
        <v>3976</v>
      </c>
      <c r="E167" s="47" t="s">
        <v>3388</v>
      </c>
      <c r="F167" s="17" t="s">
        <v>3977</v>
      </c>
      <c r="H167">
        <f t="shared" ca="1" si="8"/>
        <v>993</v>
      </c>
      <c r="I167" t="str">
        <f t="shared" si="9"/>
        <v>プロジェクトバージョン</v>
      </c>
    </row>
    <row r="168" spans="1:9" ht="11.25" customHeight="1" outlineLevel="1">
      <c r="A168" s="15"/>
      <c r="B168" s="15" t="s">
        <v>3978</v>
      </c>
      <c r="C168" s="16" t="s">
        <v>3979</v>
      </c>
      <c r="D168" s="16" t="s">
        <v>3980</v>
      </c>
      <c r="E168" s="47" t="s">
        <v>3388</v>
      </c>
      <c r="F168" s="17" t="s">
        <v>3981</v>
      </c>
      <c r="H168">
        <f t="shared" ca="1" si="8"/>
        <v>994</v>
      </c>
      <c r="I168" t="str">
        <f t="shared" si="9"/>
        <v>メジャーバージョン</v>
      </c>
    </row>
    <row r="169" spans="1:9" ht="11.25" customHeight="1" outlineLevel="1">
      <c r="A169" s="15"/>
      <c r="B169" s="15" t="s">
        <v>3982</v>
      </c>
      <c r="C169" s="16" t="s">
        <v>3983</v>
      </c>
      <c r="D169" s="16" t="s">
        <v>3984</v>
      </c>
      <c r="E169" s="47" t="s">
        <v>3388</v>
      </c>
      <c r="F169" s="17" t="s">
        <v>493</v>
      </c>
      <c r="H169">
        <f t="shared" ca="1" si="8"/>
        <v>995</v>
      </c>
      <c r="I169" t="str">
        <f t="shared" si="9"/>
        <v>マイナーバージョン</v>
      </c>
    </row>
    <row r="170" spans="1:9" ht="11.25" customHeight="1" outlineLevel="1">
      <c r="A170" s="15"/>
      <c r="B170" s="15" t="s">
        <v>3985</v>
      </c>
      <c r="C170" s="16" t="s">
        <v>3986</v>
      </c>
      <c r="D170" s="16" t="s">
        <v>3987</v>
      </c>
      <c r="E170" s="47" t="s">
        <v>3388</v>
      </c>
      <c r="F170" s="17" t="s">
        <v>3988</v>
      </c>
      <c r="H170">
        <f t="shared" ca="1" si="8"/>
        <v>996</v>
      </c>
      <c r="I170" t="str">
        <f t="shared" si="9"/>
        <v>使用CMakeバージョン</v>
      </c>
    </row>
    <row r="171" spans="1:9" ht="11.25" customHeight="1" outlineLevel="1">
      <c r="A171" s="15"/>
      <c r="B171" s="15" t="s">
        <v>3989</v>
      </c>
      <c r="C171" s="16" t="s">
        <v>3990</v>
      </c>
      <c r="D171" s="16" t="s">
        <v>3991</v>
      </c>
      <c r="E171" s="47" t="s">
        <v>3406</v>
      </c>
      <c r="F171" s="17" t="s">
        <v>3992</v>
      </c>
      <c r="H171">
        <f t="shared" ca="1" si="8"/>
        <v>997</v>
      </c>
      <c r="I171" t="str">
        <f t="shared" si="9"/>
        <v>ビルドタイプ</v>
      </c>
    </row>
    <row r="172" spans="1:9" ht="11.25" customHeight="1" outlineLevel="1">
      <c r="A172" s="15"/>
      <c r="B172" s="15" t="s">
        <v>3993</v>
      </c>
      <c r="C172" s="16" t="s">
        <v>3994</v>
      </c>
      <c r="D172" s="16" t="s">
        <v>3995</v>
      </c>
      <c r="E172" s="47" t="s">
        <v>3388</v>
      </c>
      <c r="F172" s="17" t="s">
        <v>3996</v>
      </c>
      <c r="H172">
        <f t="shared" ca="1" si="8"/>
        <v>998</v>
      </c>
      <c r="I172" t="str">
        <f t="shared" si="9"/>
        <v>C++標準</v>
      </c>
    </row>
    <row r="173" spans="1:9" ht="11.25" customHeight="1" outlineLevel="1">
      <c r="A173" s="15"/>
      <c r="B173" s="15" t="s">
        <v>3997</v>
      </c>
      <c r="C173" s="16" t="s">
        <v>3998</v>
      </c>
      <c r="D173" s="16" t="s">
        <v>3999</v>
      </c>
      <c r="E173" s="47" t="s">
        <v>3388</v>
      </c>
      <c r="F173" s="17" t="s">
        <v>4000</v>
      </c>
      <c r="H173">
        <f t="shared" ca="1" si="8"/>
        <v>999</v>
      </c>
      <c r="I173" t="str">
        <f t="shared" si="9"/>
        <v>Cコンパイラ</v>
      </c>
    </row>
    <row r="174" spans="1:9" ht="11.25" customHeight="1" outlineLevel="1">
      <c r="A174" s="15"/>
      <c r="B174" s="15" t="s">
        <v>4001</v>
      </c>
      <c r="C174" s="16" t="s">
        <v>4002</v>
      </c>
      <c r="D174" s="16" t="s">
        <v>4003</v>
      </c>
      <c r="E174" s="47" t="s">
        <v>3388</v>
      </c>
      <c r="F174" s="17" t="s">
        <v>493</v>
      </c>
      <c r="H174">
        <f t="shared" ca="1" si="8"/>
        <v>1000</v>
      </c>
      <c r="I174" t="str">
        <f t="shared" si="9"/>
        <v>C++コンパイラ</v>
      </c>
    </row>
    <row r="175" spans="1:9" ht="11.25" customHeight="1" outlineLevel="1">
      <c r="A175" s="15"/>
      <c r="B175" s="15" t="s">
        <v>4004</v>
      </c>
      <c r="C175" s="16" t="s">
        <v>4005</v>
      </c>
      <c r="D175" s="16" t="s">
        <v>4006</v>
      </c>
      <c r="E175" s="47" t="s">
        <v>3388</v>
      </c>
      <c r="F175" s="17" t="s">
        <v>4007</v>
      </c>
      <c r="H175">
        <f t="shared" ca="1" si="8"/>
        <v>1001</v>
      </c>
      <c r="I175" t="str">
        <f t="shared" si="9"/>
        <v>システム名</v>
      </c>
    </row>
    <row r="176" spans="1:9" ht="11.25" customHeight="1" outlineLevel="1">
      <c r="A176" s="15"/>
      <c r="B176" s="15" t="s">
        <v>4008</v>
      </c>
      <c r="C176" s="16" t="s">
        <v>4009</v>
      </c>
      <c r="D176" s="16" t="s">
        <v>4010</v>
      </c>
      <c r="E176" s="47" t="s">
        <v>3388</v>
      </c>
      <c r="F176" s="17" t="s">
        <v>4011</v>
      </c>
      <c r="H176">
        <f t="shared" ca="1" si="8"/>
        <v>1002</v>
      </c>
      <c r="I176" t="str">
        <f t="shared" si="9"/>
        <v>プロセッサ名</v>
      </c>
    </row>
    <row r="177" spans="1:9" ht="11.25" customHeight="1" outlineLevel="1">
      <c r="A177" s="15"/>
      <c r="B177" s="15" t="s">
        <v>4012</v>
      </c>
      <c r="C177" s="16" t="s">
        <v>4013</v>
      </c>
      <c r="D177" s="16" t="s">
        <v>4014</v>
      </c>
      <c r="E177" s="47" t="s">
        <v>3397</v>
      </c>
      <c r="F177" s="17" t="s">
        <v>4015</v>
      </c>
      <c r="H177">
        <f t="shared" ca="1" si="8"/>
        <v>1003</v>
      </c>
      <c r="I177" t="str">
        <f t="shared" si="9"/>
        <v>共有ライブラリ拡張子</v>
      </c>
    </row>
    <row r="178" spans="1:9" ht="11.25" customHeight="1" outlineLevel="1">
      <c r="A178" s="15"/>
      <c r="B178" s="15" t="s">
        <v>4016</v>
      </c>
      <c r="C178" s="16" t="s">
        <v>4017</v>
      </c>
      <c r="D178" s="16" t="s">
        <v>4018</v>
      </c>
      <c r="E178" s="47" t="s">
        <v>3397</v>
      </c>
      <c r="F178" s="17" t="s">
        <v>4019</v>
      </c>
      <c r="H178">
        <f t="shared" ca="1" si="8"/>
        <v>1004</v>
      </c>
      <c r="I178" t="str">
        <f t="shared" si="9"/>
        <v>静的ライブラリ拡張子</v>
      </c>
    </row>
    <row r="179" spans="1:9" ht="11.25" customHeight="1" outlineLevel="1">
      <c r="A179" s="15"/>
      <c r="B179" s="15" t="s">
        <v>4020</v>
      </c>
      <c r="C179" s="16" t="s">
        <v>4021</v>
      </c>
      <c r="D179" s="16" t="s">
        <v>4022</v>
      </c>
      <c r="E179" s="47" t="s">
        <v>3397</v>
      </c>
      <c r="F179" s="17" t="s">
        <v>4023</v>
      </c>
      <c r="H179">
        <f t="shared" ca="1" si="8"/>
        <v>1005</v>
      </c>
      <c r="I179" t="str">
        <f t="shared" si="9"/>
        <v>実行ファイル拡張子</v>
      </c>
    </row>
    <row r="180" spans="1:9" ht="11.25" customHeight="1" outlineLevel="1">
      <c r="A180" s="15"/>
      <c r="B180" s="15" t="s">
        <v>4024</v>
      </c>
      <c r="C180" s="16" t="s">
        <v>4025</v>
      </c>
      <c r="D180" s="16" t="s">
        <v>4026</v>
      </c>
      <c r="E180" s="47" t="s">
        <v>3406</v>
      </c>
      <c r="F180" s="17" t="s">
        <v>4027</v>
      </c>
      <c r="H180">
        <f t="shared" ca="1" si="8"/>
        <v>1006</v>
      </c>
      <c r="I180" t="str">
        <f t="shared" si="9"/>
        <v>インストールプレフィックス</v>
      </c>
    </row>
    <row r="181" spans="1:9" ht="11.25" customHeight="1" outlineLevel="1">
      <c r="A181" s="15"/>
      <c r="B181" s="15" t="s">
        <v>4028</v>
      </c>
      <c r="C181" s="16" t="s">
        <v>4029</v>
      </c>
      <c r="D181" s="16" t="s">
        <v>4030</v>
      </c>
      <c r="E181" s="47" t="s">
        <v>3388</v>
      </c>
      <c r="F181" s="17" t="s">
        <v>4031</v>
      </c>
      <c r="H181">
        <f t="shared" ca="1" si="8"/>
        <v>1007</v>
      </c>
      <c r="I181" t="str">
        <f t="shared" si="9"/>
        <v>モジュール検索パス</v>
      </c>
    </row>
    <row r="182" spans="1:9" ht="11.25" customHeight="1" outlineLevel="1">
      <c r="A182" s="15"/>
      <c r="B182" s="15" t="s">
        <v>4032</v>
      </c>
      <c r="C182" s="16" t="s">
        <v>4033</v>
      </c>
      <c r="D182" s="16" t="s">
        <v>4034</v>
      </c>
      <c r="E182" s="47" t="s">
        <v>3397</v>
      </c>
      <c r="F182" s="17" t="s">
        <v>4035</v>
      </c>
      <c r="H182">
        <f t="shared" ca="1" si="8"/>
        <v>1008</v>
      </c>
      <c r="I182" t="str">
        <f t="shared" si="9"/>
        <v>コンパイルフラグ（C）</v>
      </c>
    </row>
    <row r="183" spans="1:9" ht="11.25" customHeight="1" outlineLevel="1">
      <c r="A183" s="15"/>
      <c r="B183" s="15" t="s">
        <v>4036</v>
      </c>
      <c r="C183" s="16" t="s">
        <v>4037</v>
      </c>
      <c r="D183" s="16" t="s">
        <v>4038</v>
      </c>
      <c r="E183" s="47" t="s">
        <v>3397</v>
      </c>
      <c r="F183" s="17" t="s">
        <v>3698</v>
      </c>
      <c r="H183">
        <f t="shared" ca="1" si="8"/>
        <v>1009</v>
      </c>
      <c r="I183" t="str">
        <f t="shared" si="9"/>
        <v>コンパイルフラグ（C++）</v>
      </c>
    </row>
    <row r="184" spans="1:9" ht="11.25" customHeight="1" outlineLevel="1">
      <c r="A184" s="15"/>
      <c r="B184" s="15" t="s">
        <v>4039</v>
      </c>
      <c r="C184" s="16" t="s">
        <v>4040</v>
      </c>
      <c r="D184" s="16" t="s">
        <v>4041</v>
      </c>
      <c r="E184" s="47" t="s">
        <v>3388</v>
      </c>
      <c r="F184" s="17" t="s">
        <v>4042</v>
      </c>
      <c r="H184">
        <f t="shared" ca="1" si="8"/>
        <v>1010</v>
      </c>
      <c r="I184" t="str">
        <f t="shared" si="9"/>
        <v>生成器</v>
      </c>
    </row>
    <row r="185" spans="1:9" ht="11.25" customHeight="1" outlineLevel="1">
      <c r="A185" s="15"/>
      <c r="B185" s="15" t="s">
        <v>4043</v>
      </c>
      <c r="C185" s="16" t="s">
        <v>4044</v>
      </c>
      <c r="D185" s="16" t="s">
        <v>4045</v>
      </c>
      <c r="E185" s="47" t="s">
        <v>3397</v>
      </c>
      <c r="F185" s="17" t="s">
        <v>3644</v>
      </c>
      <c r="H185">
        <f t="shared" ca="1" si="8"/>
        <v>1011</v>
      </c>
      <c r="I185" t="str">
        <f t="shared" si="9"/>
        <v>ソースファイル拡張子一覧</v>
      </c>
    </row>
    <row r="186" spans="1:9" ht="11.25" customHeight="1" outlineLevel="1">
      <c r="A186" s="15"/>
      <c r="B186" s="15" t="s">
        <v>4046</v>
      </c>
      <c r="C186" s="16" t="s">
        <v>4047</v>
      </c>
      <c r="D186" s="16" t="s">
        <v>4048</v>
      </c>
      <c r="E186" s="47" t="s">
        <v>3397</v>
      </c>
      <c r="F186" s="17" t="s">
        <v>4049</v>
      </c>
      <c r="H186">
        <f t="shared" ca="1" si="8"/>
        <v>1012</v>
      </c>
      <c r="I186" t="str">
        <f t="shared" si="9"/>
        <v>デバッグ設定フラグ</v>
      </c>
    </row>
    <row r="187" spans="1:9" ht="11.25" customHeight="1" outlineLevel="1">
      <c r="A187" s="15"/>
      <c r="B187" s="15" t="s">
        <v>4050</v>
      </c>
      <c r="C187" s="16" t="s">
        <v>4051</v>
      </c>
      <c r="D187" s="16" t="s">
        <v>4052</v>
      </c>
      <c r="E187" s="47" t="s">
        <v>3397</v>
      </c>
      <c r="F187" s="17" t="s">
        <v>493</v>
      </c>
      <c r="H187">
        <f t="shared" ca="1" si="8"/>
        <v>1013</v>
      </c>
      <c r="I187" t="str">
        <f t="shared" si="9"/>
        <v>リリース設定フラグ</v>
      </c>
    </row>
    <row r="188" spans="1:9" ht="11.25" customHeight="1" outlineLevel="1">
      <c r="A188" s="15"/>
      <c r="B188" s="15"/>
      <c r="C188" s="16"/>
      <c r="D188" s="16"/>
      <c r="E188" s="47"/>
      <c r="F188" s="17"/>
      <c r="H188">
        <f t="shared" ca="1" si="8"/>
        <v>1013</v>
      </c>
      <c r="I188" t="str">
        <f t="shared" si="9"/>
        <v/>
      </c>
    </row>
    <row r="189" spans="1:9" ht="11.25" customHeight="1" outlineLevel="1">
      <c r="A189" s="15"/>
      <c r="B189" s="15"/>
      <c r="C189" s="16"/>
      <c r="D189" s="16"/>
      <c r="E189" s="47"/>
      <c r="F189" s="17"/>
      <c r="H189">
        <f t="shared" ca="1" si="6"/>
        <v>1013</v>
      </c>
      <c r="I189" t="str">
        <f t="shared" si="7"/>
        <v/>
      </c>
    </row>
    <row r="190" spans="1:9" ht="11.25" customHeight="1" outlineLevel="1">
      <c r="A190" s="15"/>
      <c r="B190" s="15"/>
      <c r="C190" s="16"/>
      <c r="D190" s="16"/>
      <c r="E190" s="47"/>
      <c r="F190" s="17"/>
      <c r="H190">
        <f t="shared" ca="1" si="6"/>
        <v>1013</v>
      </c>
      <c r="I190" t="str">
        <f t="shared" si="7"/>
        <v/>
      </c>
    </row>
    <row r="191" spans="1:9" ht="11.25" customHeight="1" outlineLevel="1">
      <c r="A191" s="15"/>
      <c r="B191" s="15"/>
      <c r="C191" s="16"/>
      <c r="D191" s="16"/>
      <c r="E191" s="47"/>
      <c r="F191" s="17"/>
      <c r="H191">
        <f t="shared" ca="1" si="6"/>
        <v>1013</v>
      </c>
      <c r="I191" t="str">
        <f t="shared" si="7"/>
        <v/>
      </c>
    </row>
    <row r="192" spans="1:9" ht="11.25" customHeight="1" outlineLevel="1">
      <c r="A192" s="15"/>
      <c r="B192" s="15"/>
      <c r="C192" s="16"/>
      <c r="D192" s="16"/>
      <c r="E192" s="47"/>
      <c r="F192" s="17"/>
      <c r="H192">
        <f t="shared" ca="1" si="6"/>
        <v>1013</v>
      </c>
      <c r="I192" t="str">
        <f t="shared" si="7"/>
        <v/>
      </c>
    </row>
    <row r="193" spans="1:9" ht="11.25" customHeight="1" outlineLevel="1">
      <c r="A193" s="15"/>
      <c r="B193" s="15"/>
      <c r="C193" s="16"/>
      <c r="D193" s="16"/>
      <c r="E193" s="47"/>
      <c r="F193" s="17"/>
      <c r="H193">
        <f t="shared" ca="1" si="6"/>
        <v>1013</v>
      </c>
      <c r="I193" t="str">
        <f t="shared" si="7"/>
        <v/>
      </c>
    </row>
    <row r="194" spans="1:9" ht="11.25" customHeight="1" outlineLevel="1">
      <c r="A194" s="15"/>
      <c r="B194" s="15"/>
      <c r="C194" s="16"/>
      <c r="D194" s="16"/>
      <c r="E194" s="47"/>
      <c r="F194" s="17"/>
      <c r="H194">
        <f t="shared" ca="1" si="6"/>
        <v>1013</v>
      </c>
      <c r="I194" t="str">
        <f t="shared" si="7"/>
        <v/>
      </c>
    </row>
    <row r="195" spans="1:9" ht="11.25" customHeight="1" outlineLevel="1">
      <c r="A195" s="15"/>
      <c r="B195" s="15"/>
      <c r="C195" s="16"/>
      <c r="D195" s="16"/>
      <c r="E195" s="47"/>
      <c r="F195" s="17"/>
      <c r="H195">
        <f t="shared" ca="1" si="6"/>
        <v>1013</v>
      </c>
      <c r="I195" t="str">
        <f t="shared" si="7"/>
        <v/>
      </c>
    </row>
    <row r="196" spans="1:9" ht="11.25" customHeight="1" outlineLevel="1">
      <c r="A196" s="15"/>
      <c r="B196" s="15"/>
      <c r="C196" s="16"/>
      <c r="D196" s="16"/>
      <c r="E196" s="47"/>
      <c r="F196" s="17"/>
      <c r="H196">
        <f t="shared" ca="1" si="6"/>
        <v>1013</v>
      </c>
      <c r="I196" t="str">
        <f t="shared" si="7"/>
        <v/>
      </c>
    </row>
    <row r="197" spans="1:9" ht="11.25" customHeight="1" outlineLevel="1">
      <c r="A197" s="15"/>
      <c r="B197" s="15"/>
      <c r="C197" s="16"/>
      <c r="D197" s="16"/>
      <c r="E197" s="47"/>
      <c r="F197" s="17"/>
      <c r="H197">
        <f t="shared" ca="1" si="6"/>
        <v>1013</v>
      </c>
      <c r="I197" t="str">
        <f t="shared" si="7"/>
        <v/>
      </c>
    </row>
    <row r="198" spans="1:9" ht="11.25" customHeight="1" outlineLevel="1">
      <c r="A198" s="15"/>
      <c r="B198" s="15"/>
      <c r="C198" s="16"/>
      <c r="D198" s="16"/>
      <c r="E198" s="47"/>
      <c r="F198" s="17"/>
      <c r="H198">
        <f t="shared" ca="1" si="6"/>
        <v>1013</v>
      </c>
      <c r="I198" t="str">
        <f t="shared" si="7"/>
        <v/>
      </c>
    </row>
    <row r="199" spans="1:9" ht="11.25" customHeight="1" outlineLevel="1">
      <c r="A199" s="15"/>
      <c r="B199" s="15"/>
      <c r="C199" s="16"/>
      <c r="D199" s="16"/>
      <c r="E199" s="47"/>
      <c r="F199" s="17"/>
      <c r="H199">
        <f t="shared" ca="1" si="6"/>
        <v>1013</v>
      </c>
      <c r="I199" t="str">
        <f t="shared" si="7"/>
        <v/>
      </c>
    </row>
    <row r="200" spans="1:9" ht="11.25" customHeight="1" outlineLevel="1">
      <c r="A200" s="15"/>
      <c r="B200" s="15"/>
      <c r="C200" s="16"/>
      <c r="D200" s="16"/>
      <c r="E200" s="47"/>
      <c r="F200" s="17"/>
      <c r="H200">
        <f t="shared" ca="1" si="6"/>
        <v>1013</v>
      </c>
      <c r="I200" t="str">
        <f t="shared" si="7"/>
        <v/>
      </c>
    </row>
    <row r="201" spans="1:9" ht="11.25" customHeight="1" outlineLevel="1">
      <c r="A201" s="15"/>
      <c r="B201" s="15"/>
      <c r="C201" s="16"/>
      <c r="D201" s="16"/>
      <c r="E201" s="47"/>
      <c r="F201" s="17"/>
      <c r="H201">
        <f t="shared" ca="1" si="6"/>
        <v>1013</v>
      </c>
      <c r="I201" t="str">
        <f t="shared" si="7"/>
        <v/>
      </c>
    </row>
    <row r="202" spans="1:9" ht="11.25" customHeight="1" outlineLevel="1">
      <c r="A202" s="15"/>
      <c r="B202" s="15"/>
      <c r="C202" s="16"/>
      <c r="D202" s="16"/>
      <c r="E202" s="47"/>
      <c r="F202" s="17"/>
      <c r="H202">
        <f t="shared" ca="1" si="6"/>
        <v>1013</v>
      </c>
      <c r="I202" t="str">
        <f t="shared" si="7"/>
        <v/>
      </c>
    </row>
    <row r="203" spans="1:9" ht="11.25" customHeight="1" outlineLevel="1">
      <c r="A203" s="15"/>
      <c r="B203" s="15"/>
      <c r="C203" s="16"/>
      <c r="D203" s="16"/>
      <c r="E203" s="47"/>
      <c r="F203" s="17"/>
      <c r="H203">
        <f t="shared" ca="1" si="6"/>
        <v>1013</v>
      </c>
      <c r="I203" t="str">
        <f t="shared" si="7"/>
        <v/>
      </c>
    </row>
    <row r="204" spans="1:9" ht="11.25" customHeight="1" outlineLevel="1">
      <c r="A204" s="15"/>
      <c r="B204" s="15"/>
      <c r="C204" s="16"/>
      <c r="D204" s="16"/>
      <c r="E204" s="47"/>
      <c r="F204" s="17"/>
      <c r="H204">
        <f t="shared" ca="1" si="6"/>
        <v>1013</v>
      </c>
      <c r="I204" t="str">
        <f t="shared" si="7"/>
        <v/>
      </c>
    </row>
    <row r="205" spans="1:9" ht="11.25" customHeight="1" outlineLevel="1">
      <c r="A205" s="15"/>
      <c r="B205" s="15"/>
      <c r="C205" s="16"/>
      <c r="D205" s="16"/>
      <c r="E205" s="47"/>
      <c r="F205" s="17"/>
      <c r="H205">
        <f t="shared" ca="1" si="6"/>
        <v>1013</v>
      </c>
      <c r="I205" t="str">
        <f t="shared" si="7"/>
        <v/>
      </c>
    </row>
    <row r="206" spans="1:9" ht="11.25" customHeight="1" outlineLevel="1">
      <c r="A206" s="15"/>
      <c r="B206" s="15"/>
      <c r="C206" s="16"/>
      <c r="D206" s="16"/>
      <c r="E206" s="47"/>
      <c r="F206" s="17"/>
      <c r="H206">
        <f t="shared" ca="1" si="6"/>
        <v>1013</v>
      </c>
      <c r="I206" t="str">
        <f t="shared" si="7"/>
        <v/>
      </c>
    </row>
    <row r="207" spans="1:9" ht="11.25" customHeight="1" outlineLevel="1">
      <c r="A207" s="15"/>
      <c r="B207" s="15"/>
      <c r="C207" s="16"/>
      <c r="D207" s="16"/>
      <c r="E207" s="47"/>
      <c r="F207" s="17"/>
      <c r="H207">
        <f t="shared" ca="1" si="6"/>
        <v>1013</v>
      </c>
      <c r="I207" t="str">
        <f t="shared" si="7"/>
        <v/>
      </c>
    </row>
    <row r="208" spans="1:9" ht="11.25" customHeight="1" outlineLevel="1">
      <c r="A208" s="15"/>
      <c r="B208" s="15"/>
      <c r="C208" s="16"/>
      <c r="D208" s="16"/>
      <c r="E208" s="47"/>
      <c r="F208" s="17"/>
      <c r="H208">
        <f t="shared" ref="H208:H224" ca="1" si="10">IF(I208="",OFFSET(H208,-1,0),OFFSET(H208,-1,0)+1)</f>
        <v>1013</v>
      </c>
      <c r="I208" t="str">
        <f t="shared" ref="I208:I224" si="11">IF(B208="","",B208)</f>
        <v/>
      </c>
    </row>
    <row r="209" spans="1:9" ht="11.25" customHeight="1" outlineLevel="1">
      <c r="A209" s="15"/>
      <c r="B209" s="15"/>
      <c r="C209" s="16"/>
      <c r="D209" s="16"/>
      <c r="E209" s="47"/>
      <c r="F209" s="17"/>
      <c r="H209">
        <f t="shared" ca="1" si="10"/>
        <v>1013</v>
      </c>
      <c r="I209" t="str">
        <f t="shared" si="11"/>
        <v/>
      </c>
    </row>
    <row r="210" spans="1:9" ht="11.25" customHeight="1" outlineLevel="1">
      <c r="A210" s="15"/>
      <c r="B210" s="15"/>
      <c r="C210" s="16"/>
      <c r="D210" s="16"/>
      <c r="E210" s="47"/>
      <c r="F210" s="17"/>
      <c r="H210">
        <f t="shared" ca="1" si="10"/>
        <v>1013</v>
      </c>
      <c r="I210" t="str">
        <f t="shared" si="11"/>
        <v/>
      </c>
    </row>
    <row r="211" spans="1:9" ht="11.25" customHeight="1" outlineLevel="1">
      <c r="A211" s="15"/>
      <c r="B211" s="15"/>
      <c r="C211" s="16"/>
      <c r="D211" s="16"/>
      <c r="E211" s="47"/>
      <c r="F211" s="17"/>
      <c r="H211">
        <f t="shared" ca="1" si="10"/>
        <v>1013</v>
      </c>
      <c r="I211" t="str">
        <f t="shared" si="11"/>
        <v/>
      </c>
    </row>
    <row r="212" spans="1:9" ht="11.25" customHeight="1" outlineLevel="1">
      <c r="A212" s="15"/>
      <c r="B212" s="15"/>
      <c r="C212" s="16"/>
      <c r="D212" s="16"/>
      <c r="E212" s="47"/>
      <c r="F212" s="17"/>
      <c r="H212">
        <f t="shared" ca="1" si="10"/>
        <v>1013</v>
      </c>
      <c r="I212" t="str">
        <f t="shared" si="11"/>
        <v/>
      </c>
    </row>
    <row r="213" spans="1:9" ht="11.25" customHeight="1" outlineLevel="1">
      <c r="A213" s="15"/>
      <c r="B213" s="15"/>
      <c r="C213" s="16"/>
      <c r="D213" s="16"/>
      <c r="E213" s="47"/>
      <c r="F213" s="17"/>
      <c r="H213">
        <f t="shared" ca="1" si="10"/>
        <v>1013</v>
      </c>
      <c r="I213" t="str">
        <f t="shared" si="11"/>
        <v/>
      </c>
    </row>
    <row r="214" spans="1:9" ht="11.25" customHeight="1" outlineLevel="1">
      <c r="A214" s="15"/>
      <c r="B214" s="15"/>
      <c r="C214" s="16"/>
      <c r="D214" s="16"/>
      <c r="E214" s="47"/>
      <c r="F214" s="17"/>
      <c r="H214">
        <f t="shared" ca="1" si="10"/>
        <v>1013</v>
      </c>
      <c r="I214" t="str">
        <f t="shared" si="11"/>
        <v/>
      </c>
    </row>
    <row r="215" spans="1:9" ht="11.25" customHeight="1" outlineLevel="1">
      <c r="A215" s="15"/>
      <c r="B215" s="15"/>
      <c r="C215" s="16"/>
      <c r="D215" s="16"/>
      <c r="E215" s="47"/>
      <c r="F215" s="17"/>
      <c r="H215">
        <f t="shared" ca="1" si="10"/>
        <v>1013</v>
      </c>
      <c r="I215" t="str">
        <f t="shared" si="11"/>
        <v/>
      </c>
    </row>
    <row r="216" spans="1:9" ht="11.25" customHeight="1" outlineLevel="1">
      <c r="A216" s="15"/>
      <c r="B216" s="15"/>
      <c r="C216" s="16"/>
      <c r="D216" s="16"/>
      <c r="E216" s="47"/>
      <c r="F216" s="17"/>
      <c r="H216">
        <f t="shared" ca="1" si="10"/>
        <v>1013</v>
      </c>
      <c r="I216" t="str">
        <f t="shared" si="11"/>
        <v/>
      </c>
    </row>
    <row r="217" spans="1:9" ht="11.25" customHeight="1" outlineLevel="1">
      <c r="A217" s="15"/>
      <c r="B217" s="15"/>
      <c r="C217" s="16"/>
      <c r="D217" s="16"/>
      <c r="E217" s="47"/>
      <c r="F217" s="17"/>
      <c r="H217">
        <f t="shared" ca="1" si="10"/>
        <v>1013</v>
      </c>
      <c r="I217" t="str">
        <f t="shared" si="11"/>
        <v/>
      </c>
    </row>
    <row r="218" spans="1:9" ht="11.25" customHeight="1" outlineLevel="1">
      <c r="A218" s="15"/>
      <c r="B218" s="15"/>
      <c r="C218" s="16"/>
      <c r="D218" s="16"/>
      <c r="E218" s="47"/>
      <c r="F218" s="17"/>
      <c r="H218">
        <f t="shared" ca="1" si="10"/>
        <v>1013</v>
      </c>
      <c r="I218" t="str">
        <f t="shared" si="11"/>
        <v/>
      </c>
    </row>
    <row r="219" spans="1:9" ht="11.25" customHeight="1" outlineLevel="1">
      <c r="A219" s="15"/>
      <c r="B219" s="15"/>
      <c r="C219" s="16"/>
      <c r="D219" s="16"/>
      <c r="E219" s="47"/>
      <c r="F219" s="17"/>
      <c r="H219">
        <f t="shared" ca="1" si="10"/>
        <v>1013</v>
      </c>
      <c r="I219" t="str">
        <f t="shared" si="11"/>
        <v/>
      </c>
    </row>
    <row r="220" spans="1:9" ht="11.25" customHeight="1" outlineLevel="1">
      <c r="A220" s="15"/>
      <c r="B220" s="15"/>
      <c r="C220" s="16"/>
      <c r="D220" s="16"/>
      <c r="E220" s="47"/>
      <c r="F220" s="17"/>
      <c r="H220">
        <f t="shared" ca="1" si="10"/>
        <v>1013</v>
      </c>
      <c r="I220" t="str">
        <f t="shared" si="11"/>
        <v/>
      </c>
    </row>
    <row r="221" spans="1:9" ht="11.25" customHeight="1" outlineLevel="1">
      <c r="A221" s="15"/>
      <c r="B221" s="15"/>
      <c r="C221" s="16"/>
      <c r="D221" s="16"/>
      <c r="E221" s="47"/>
      <c r="F221" s="17"/>
      <c r="H221">
        <f t="shared" ca="1" si="10"/>
        <v>1013</v>
      </c>
      <c r="I221" t="str">
        <f t="shared" si="11"/>
        <v/>
      </c>
    </row>
    <row r="222" spans="1:9" ht="11.25" customHeight="1" outlineLevel="1">
      <c r="A222" s="15"/>
      <c r="B222" s="15"/>
      <c r="C222" s="16"/>
      <c r="D222" s="16"/>
      <c r="E222" s="47"/>
      <c r="F222" s="17"/>
      <c r="H222">
        <f t="shared" ca="1" si="10"/>
        <v>1013</v>
      </c>
      <c r="I222" t="str">
        <f t="shared" si="11"/>
        <v/>
      </c>
    </row>
    <row r="223" spans="1:9" ht="11.25" customHeight="1" outlineLevel="1">
      <c r="A223" s="15"/>
      <c r="B223" s="15"/>
      <c r="C223" s="16"/>
      <c r="D223" s="16"/>
      <c r="E223" s="47"/>
      <c r="F223" s="17"/>
      <c r="H223">
        <f t="shared" ca="1" si="10"/>
        <v>1013</v>
      </c>
      <c r="I223" t="str">
        <f t="shared" si="11"/>
        <v/>
      </c>
    </row>
    <row r="224" spans="1:9" ht="11.25" customHeight="1" outlineLevel="1">
      <c r="A224" s="15"/>
      <c r="B224" s="15"/>
      <c r="C224" s="16"/>
      <c r="D224" s="16"/>
      <c r="E224" s="47"/>
      <c r="F224" s="17"/>
      <c r="H224">
        <f t="shared" ca="1" si="10"/>
        <v>1013</v>
      </c>
      <c r="I224" t="str">
        <f t="shared" si="11"/>
        <v/>
      </c>
    </row>
    <row r="225" spans="1:9" ht="11.25" customHeight="1" outlineLevel="1">
      <c r="A225" s="15"/>
      <c r="B225" s="15"/>
      <c r="C225" s="16"/>
      <c r="D225" s="16"/>
      <c r="E225" s="47"/>
      <c r="F225" s="17"/>
      <c r="H225">
        <f t="shared" ca="1" si="4"/>
        <v>1013</v>
      </c>
      <c r="I225" t="str">
        <f t="shared" ref="I225:I244" si="12">IF(B225="","",B225)</f>
        <v/>
      </c>
    </row>
    <row r="226" spans="1:9" ht="11.25" customHeight="1" outlineLevel="1">
      <c r="A226" s="15"/>
      <c r="B226" s="15"/>
      <c r="C226" s="16"/>
      <c r="D226" s="16"/>
      <c r="E226" s="47"/>
      <c r="F226" s="17"/>
      <c r="H226">
        <f t="shared" ca="1" si="4"/>
        <v>1013</v>
      </c>
      <c r="I226" t="str">
        <f t="shared" si="12"/>
        <v/>
      </c>
    </row>
    <row r="227" spans="1:9" ht="11.25" customHeight="1" outlineLevel="1">
      <c r="A227" s="15"/>
      <c r="B227" s="15"/>
      <c r="C227" s="16"/>
      <c r="D227" s="16"/>
      <c r="E227" s="47"/>
      <c r="F227" s="17"/>
      <c r="H227">
        <f t="shared" ca="1" si="4"/>
        <v>1013</v>
      </c>
      <c r="I227" t="str">
        <f t="shared" si="12"/>
        <v/>
      </c>
    </row>
    <row r="228" spans="1:9" ht="11.25" customHeight="1" outlineLevel="1">
      <c r="A228" s="15"/>
      <c r="B228" s="15"/>
      <c r="C228" s="16"/>
      <c r="D228" s="16"/>
      <c r="E228" s="47"/>
      <c r="F228" s="17"/>
      <c r="H228">
        <f t="shared" ca="1" si="4"/>
        <v>1013</v>
      </c>
      <c r="I228" t="str">
        <f t="shared" si="12"/>
        <v/>
      </c>
    </row>
    <row r="229" spans="1:9" ht="11.25" customHeight="1" outlineLevel="1">
      <c r="A229" s="15"/>
      <c r="B229" s="15"/>
      <c r="C229" s="16"/>
      <c r="D229" s="16"/>
      <c r="E229" s="47"/>
      <c r="F229" s="17"/>
      <c r="H229">
        <f t="shared" ca="1" si="4"/>
        <v>1013</v>
      </c>
      <c r="I229" t="str">
        <f t="shared" si="12"/>
        <v/>
      </c>
    </row>
    <row r="230" spans="1:9" ht="11.25" customHeight="1" outlineLevel="1">
      <c r="A230" s="15"/>
      <c r="B230" s="15"/>
      <c r="C230" s="16"/>
      <c r="D230" s="16"/>
      <c r="E230" s="47"/>
      <c r="F230" s="17"/>
      <c r="H230">
        <f t="shared" ca="1" si="4"/>
        <v>1013</v>
      </c>
      <c r="I230" t="str">
        <f t="shared" si="12"/>
        <v/>
      </c>
    </row>
    <row r="231" spans="1:9" ht="11.25" customHeight="1" outlineLevel="1">
      <c r="A231" s="15"/>
      <c r="B231" s="15"/>
      <c r="C231" s="16"/>
      <c r="D231" s="16"/>
      <c r="E231" s="47"/>
      <c r="F231" s="17"/>
      <c r="H231">
        <f t="shared" ca="1" si="4"/>
        <v>1013</v>
      </c>
      <c r="I231" t="str">
        <f t="shared" si="12"/>
        <v/>
      </c>
    </row>
    <row r="232" spans="1:9" ht="11.25" customHeight="1" outlineLevel="1">
      <c r="A232" s="15"/>
      <c r="B232" s="15"/>
      <c r="C232" s="16"/>
      <c r="D232" s="16"/>
      <c r="E232" s="47"/>
      <c r="F232" s="17"/>
      <c r="H232">
        <f t="shared" ca="1" si="4"/>
        <v>1013</v>
      </c>
      <c r="I232" t="str">
        <f t="shared" si="12"/>
        <v/>
      </c>
    </row>
    <row r="233" spans="1:9" ht="11.25" customHeight="1" outlineLevel="1">
      <c r="A233" s="15"/>
      <c r="B233" s="15"/>
      <c r="C233" s="16"/>
      <c r="D233" s="16"/>
      <c r="E233" s="47"/>
      <c r="F233" s="17"/>
      <c r="H233">
        <f t="shared" ca="1" si="4"/>
        <v>1013</v>
      </c>
      <c r="I233" t="str">
        <f t="shared" si="12"/>
        <v/>
      </c>
    </row>
    <row r="234" spans="1:9" ht="11.25" customHeight="1" outlineLevel="1">
      <c r="A234" s="15"/>
      <c r="B234" s="15"/>
      <c r="C234" s="16"/>
      <c r="D234" s="16"/>
      <c r="E234" s="47"/>
      <c r="F234" s="17"/>
      <c r="H234">
        <f t="shared" ca="1" si="4"/>
        <v>1013</v>
      </c>
      <c r="I234" t="str">
        <f t="shared" si="12"/>
        <v/>
      </c>
    </row>
    <row r="235" spans="1:9" ht="11.25" customHeight="1" outlineLevel="1">
      <c r="A235" s="15"/>
      <c r="B235" s="15"/>
      <c r="C235" s="16"/>
      <c r="D235" s="16"/>
      <c r="E235" s="47"/>
      <c r="F235" s="17"/>
      <c r="H235">
        <f t="shared" ca="1" si="4"/>
        <v>1013</v>
      </c>
      <c r="I235" t="str">
        <f t="shared" si="12"/>
        <v/>
      </c>
    </row>
    <row r="236" spans="1:9" ht="11.25" customHeight="1" outlineLevel="1">
      <c r="A236" s="15"/>
      <c r="B236" s="15"/>
      <c r="C236" s="16"/>
      <c r="D236" s="16"/>
      <c r="E236" s="47"/>
      <c r="F236" s="17"/>
      <c r="H236">
        <f t="shared" ca="1" si="4"/>
        <v>1013</v>
      </c>
      <c r="I236" t="str">
        <f t="shared" si="12"/>
        <v/>
      </c>
    </row>
    <row r="237" spans="1:9" ht="11.25" customHeight="1" outlineLevel="1">
      <c r="A237" s="15"/>
      <c r="B237" s="15"/>
      <c r="C237" s="16"/>
      <c r="D237" s="16"/>
      <c r="E237" s="47"/>
      <c r="F237" s="17"/>
      <c r="H237">
        <f t="shared" ca="1" si="4"/>
        <v>1013</v>
      </c>
      <c r="I237" t="str">
        <f t="shared" si="12"/>
        <v/>
      </c>
    </row>
    <row r="238" spans="1:9" ht="11.25" customHeight="1" outlineLevel="1">
      <c r="A238" s="15"/>
      <c r="B238" s="15"/>
      <c r="C238" s="16"/>
      <c r="D238" s="16"/>
      <c r="E238" s="47"/>
      <c r="F238" s="17"/>
      <c r="H238">
        <f t="shared" ca="1" si="4"/>
        <v>1013</v>
      </c>
      <c r="I238" t="str">
        <f t="shared" si="12"/>
        <v/>
      </c>
    </row>
    <row r="239" spans="1:9" ht="11.25" customHeight="1" outlineLevel="1">
      <c r="A239" s="15"/>
      <c r="B239" s="15"/>
      <c r="C239" s="16"/>
      <c r="D239" s="16"/>
      <c r="E239" s="47"/>
      <c r="F239" s="17"/>
      <c r="H239">
        <f t="shared" ca="1" si="4"/>
        <v>1013</v>
      </c>
      <c r="I239" t="str">
        <f t="shared" si="12"/>
        <v/>
      </c>
    </row>
    <row r="240" spans="1:9" ht="11.25" customHeight="1" outlineLevel="1">
      <c r="A240" s="15"/>
      <c r="B240" s="15"/>
      <c r="C240" s="16"/>
      <c r="D240" s="16"/>
      <c r="E240" s="47"/>
      <c r="F240" s="17"/>
      <c r="H240">
        <f t="shared" ca="1" si="4"/>
        <v>1013</v>
      </c>
      <c r="I240" t="str">
        <f t="shared" si="12"/>
        <v/>
      </c>
    </row>
    <row r="241" spans="1:9" ht="11.25" customHeight="1" outlineLevel="1">
      <c r="A241" s="15"/>
      <c r="B241" s="15"/>
      <c r="C241" s="16"/>
      <c r="D241" s="16"/>
      <c r="E241" s="47"/>
      <c r="F241" s="17"/>
      <c r="H241">
        <f t="shared" ca="1" si="4"/>
        <v>1013</v>
      </c>
      <c r="I241" t="str">
        <f t="shared" si="12"/>
        <v/>
      </c>
    </row>
    <row r="242" spans="1:9" ht="11.25" customHeight="1" outlineLevel="1">
      <c r="A242" s="15"/>
      <c r="B242" s="15"/>
      <c r="C242" s="16"/>
      <c r="D242" s="16"/>
      <c r="E242" s="47"/>
      <c r="F242" s="17"/>
      <c r="H242">
        <f t="shared" ca="1" si="4"/>
        <v>1013</v>
      </c>
      <c r="I242" t="str">
        <f t="shared" si="12"/>
        <v/>
      </c>
    </row>
    <row r="243" spans="1:9" ht="11.25" customHeight="1" outlineLevel="1">
      <c r="A243" s="15"/>
      <c r="B243" s="15"/>
      <c r="C243" s="16"/>
      <c r="D243" s="16"/>
      <c r="E243" s="47"/>
      <c r="F243" s="17"/>
      <c r="H243">
        <f t="shared" ca="1" si="4"/>
        <v>1013</v>
      </c>
      <c r="I243" t="str">
        <f t="shared" si="12"/>
        <v/>
      </c>
    </row>
    <row r="244" spans="1:9" ht="11.25" customHeight="1" outlineLevel="1">
      <c r="A244" s="15"/>
      <c r="B244" s="15"/>
      <c r="C244" s="16"/>
      <c r="D244" s="16"/>
      <c r="E244" s="47"/>
      <c r="F244" s="17"/>
      <c r="H244">
        <f t="shared" ca="1" si="4"/>
        <v>1013</v>
      </c>
      <c r="I244" t="str">
        <f t="shared" si="12"/>
        <v/>
      </c>
    </row>
    <row r="245" spans="1:9" ht="11.25" customHeight="1">
      <c r="A245" t="s">
        <v>393</v>
      </c>
      <c r="B245" t="s">
        <v>393</v>
      </c>
      <c r="C245" t="s">
        <v>393</v>
      </c>
      <c r="F245" t="s">
        <v>393</v>
      </c>
    </row>
  </sheetData>
  <autoFilter ref="A2:I244" xr:uid="{3F2A5354-D680-4166-957E-8AEB84EFCC75}"/>
  <phoneticPr fontId="4"/>
  <hyperlinks>
    <hyperlink ref="A3" r:id="rId1" location="id3" xr:uid="{5F18C033-EA35-438B-A059-95810EA3B05B}"/>
    <hyperlink ref="A57" r:id="rId2" location="id4" xr:uid="{EBEC4625-1809-410E-ABFA-A87C2E63C9A1}"/>
    <hyperlink ref="A106" r:id="rId3" location="id5" xr:uid="{83631171-51B3-48FC-B65C-53CB227AEC43}"/>
    <hyperlink ref="A121" r:id="rId4" location="id6" xr:uid="{9E9587CB-5B34-4C13-A620-4F755ACC726E}"/>
  </hyperlinks>
  <pageMargins left="0.7" right="0.7" top="0.75" bottom="0.75" header="0.3" footer="0.3"/>
  <pageSetup paperSize="9" scale="38" orientation="portrait"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再起動</v>
      </c>
      <c r="F88" t="str">
        <f t="shared" ca="1" si="12"/>
        <v>少数 負数 切り上げ（第一位）再起動</v>
      </c>
      <c r="G88">
        <f ca="1">IF($F88="","",COUNTIF($F$3:$F88,$F88))</f>
        <v>1</v>
      </c>
      <c r="H88">
        <f ca="1">IF(OR(G88&gt;1,G88=""),"",COUNTIF($G$3:$G88,1))</f>
        <v>85</v>
      </c>
      <c r="I88" t="str">
        <f t="shared" ca="1" si="13"/>
        <v>少数 負数 切り上げ（第一位）再起動</v>
      </c>
      <c r="K88">
        <f t="shared" si="17"/>
        <v>85</v>
      </c>
      <c r="L88" t="str">
        <f t="shared" ca="1" si="9"/>
        <v>少数 負数 切り上げ（第一位）再起動</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シャットダウン</v>
      </c>
      <c r="F89" t="str">
        <f t="shared" ca="1" si="12"/>
        <v>少数 負数 切り上げ（第二位）シャットダウン</v>
      </c>
      <c r="G89">
        <f ca="1">IF($F89="","",COUNTIF($F$3:$F89,$F89))</f>
        <v>1</v>
      </c>
      <c r="H89">
        <f ca="1">IF(OR(G89&gt;1,G89=""),"",COUNTIF($G$3:$G89,1))</f>
        <v>86</v>
      </c>
      <c r="I89" t="str">
        <f t="shared" ca="1" si="13"/>
        <v>少数 負数 切り上げ（第二位）シャットダウン</v>
      </c>
      <c r="K89">
        <f t="shared" si="17"/>
        <v>86</v>
      </c>
      <c r="L89" t="str">
        <f t="shared" ca="1" si="9"/>
        <v>少数 負数 切り上げ（第二位）シャットダウン</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SCP転送(ファイル)</v>
      </c>
      <c r="F90" t="str">
        <f t="shared" ca="1" si="12"/>
        <v>少数 正数 切り下げ（第一位）SCP転送(ファイル)</v>
      </c>
      <c r="G90">
        <f ca="1">IF($F90="","",COUNTIF($F$3:$F90,$F90))</f>
        <v>1</v>
      </c>
      <c r="H90">
        <f ca="1">IF(OR(G90&gt;1,G90=""),"",COUNTIF($G$3:$G90,1))</f>
        <v>87</v>
      </c>
      <c r="I90" t="str">
        <f t="shared" ca="1" si="13"/>
        <v>少数 正数 切り下げ（第一位）SCP転送(ファイル)</v>
      </c>
      <c r="K90">
        <f t="shared" si="17"/>
        <v>87</v>
      </c>
      <c r="L90" t="str">
        <f t="shared" ca="1" si="9"/>
        <v>少数 正数 切り下げ（第一位）SCP転送(ファイル)</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SCP転送(フォルダ)</v>
      </c>
      <c r="F91" t="str">
        <f t="shared" ca="1" si="12"/>
        <v>少数 正数 切り下げ（第二位）SCP転送(フォルダ)</v>
      </c>
      <c r="G91">
        <f ca="1">IF($F91="","",COUNTIF($F$3:$F91,$F91))</f>
        <v>1</v>
      </c>
      <c r="H91">
        <f ca="1">IF(OR(G91&gt;1,G91=""),"",COUNTIF($G$3:$G91,1))</f>
        <v>88</v>
      </c>
      <c r="I91" t="str">
        <f t="shared" ca="1" si="13"/>
        <v>少数 正数 切り下げ（第二位）SCP転送(フォルダ)</v>
      </c>
      <c r="K91">
        <f t="shared" si="17"/>
        <v>88</v>
      </c>
      <c r="L91" t="str">
        <f t="shared" ca="1" si="9"/>
        <v>少数 正数 切り下げ（第二位）SCP転送(フォルダ)</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SCP転送(パスワード自動入力)</v>
      </c>
      <c r="F92" t="str">
        <f t="shared" ca="1" si="12"/>
        <v>少数 負数 切り下げ（第一位）SCP転送(パスワード自動入力)</v>
      </c>
      <c r="G92">
        <f ca="1">IF($F92="","",COUNTIF($F$3:$F92,$F92))</f>
        <v>1</v>
      </c>
      <c r="H92">
        <f ca="1">IF(OR(G92&gt;1,G92=""),"",COUNTIF($G$3:$G92,1))</f>
        <v>89</v>
      </c>
      <c r="I92" t="str">
        <f t="shared" ca="1" si="13"/>
        <v>少数 負数 切り下げ（第一位）SCP転送(パスワード自動入力)</v>
      </c>
      <c r="K92">
        <f t="shared" si="17"/>
        <v>89</v>
      </c>
      <c r="L92" t="str">
        <f t="shared" ca="1" si="9"/>
        <v>少数 負数 切り下げ（第一位）SCP転送(パスワード自動入力)</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URLコンテンツ取得(Client for URL)</v>
      </c>
      <c r="F93" t="str">
        <f t="shared" ca="1" si="12"/>
        <v>少数 負数 切り下げ（第二位）URLコンテンツ取得(Client for URL)</v>
      </c>
      <c r="G93">
        <f ca="1">IF($F93="","",COUNTIF($F$3:$F93,$F93))</f>
        <v>1</v>
      </c>
      <c r="H93">
        <f ca="1">IF(OR(G93&gt;1,G93=""),"",COUNTIF($G$3:$G93,1))</f>
        <v>90</v>
      </c>
      <c r="I93" t="str">
        <f t="shared" ca="1" si="13"/>
        <v>少数 負数 切り下げ（第二位）URLコンテンツ取得(Client for URL)</v>
      </c>
      <c r="K93">
        <f t="shared" si="17"/>
        <v>90</v>
      </c>
      <c r="L93" t="str">
        <f t="shared" ca="1" si="9"/>
        <v>少数 負数 切り下げ（第二位）URLコンテンツ取得(Client for URL)</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URLコンテンツ取得(ファイルダウンロード)</v>
      </c>
      <c r="F94" t="str">
        <f t="shared" ca="1" si="12"/>
        <v>文字列表示形式(日付)URLコンテンツ取得(ファイルダウンロード)</v>
      </c>
      <c r="G94">
        <f ca="1">IF($F94="","",COUNTIF($F$3:$F94,$F94))</f>
        <v>1</v>
      </c>
      <c r="H94">
        <f ca="1">IF(OR(G94&gt;1,G94=""),"",COUNTIF($G$3:$G94,1))</f>
        <v>91</v>
      </c>
      <c r="I94" t="str">
        <f t="shared" ca="1" si="13"/>
        <v>文字列表示形式(日付)URLコンテンツ取得(ファイルダウンロード)</v>
      </c>
      <c r="K94">
        <f t="shared" si="17"/>
        <v>91</v>
      </c>
      <c r="L94" t="str">
        <f t="shared" ca="1" si="9"/>
        <v>文字列表示形式(日付)URLコンテンツ取得(ファイルダウンロード)</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v>
      </c>
      <c r="F95" t="str">
        <f t="shared" ca="1" si="12"/>
        <v>文字列表示形式(数値)TCP/IPアドレス情報表示</v>
      </c>
      <c r="G95">
        <f ca="1">IF($F95="","",COUNTIF($F$3:$F95,$F95))</f>
        <v>1</v>
      </c>
      <c r="H95">
        <f ca="1">IF(OR(G95&gt;1,G95=""),"",COUNTIF($G$3:$G95,1))</f>
        <v>92</v>
      </c>
      <c r="I95" t="str">
        <f t="shared" ca="1" si="13"/>
        <v>文字列表示形式(数値)TCP/IPアドレス情報表示</v>
      </c>
      <c r="K95">
        <f t="shared" si="17"/>
        <v>92</v>
      </c>
      <c r="L95" t="str">
        <f t="shared" ca="1" si="9"/>
        <v>文字列表示形式(数値)TCP/IPアドレス情報表示</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TCP/IPアドレス情報表示(MACアドレス取得)</v>
      </c>
      <c r="F96" t="str">
        <f t="shared" ca="1" si="12"/>
        <v>文字列表示形式(割合)TCP/IPアドレス情報表示(MACアドレス取得)</v>
      </c>
      <c r="G96">
        <f ca="1">IF($F96="","",COUNTIF($F$3:$F96,$F96))</f>
        <v>1</v>
      </c>
      <c r="H96">
        <f ca="1">IF(OR(G96&gt;1,G96=""),"",COUNTIF($G$3:$G96,1))</f>
        <v>93</v>
      </c>
      <c r="I96" t="str">
        <f t="shared" ca="1" si="13"/>
        <v>文字列表示形式(割合)TCP/IPアドレス情報表示(MACアドレス取得)</v>
      </c>
      <c r="K96">
        <f t="shared" si="17"/>
        <v>93</v>
      </c>
      <c r="L96" t="str">
        <f t="shared" ca="1" si="9"/>
        <v>文字列表示形式(割合)TCP/IPアドレス情報表示(MACアドレス取得)</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TCP/IPアドレス情報表示(IPアドレス取得)</v>
      </c>
      <c r="F97" t="str">
        <f t="shared" ca="1" si="12"/>
        <v>文字列表示形式(通貨)TCP/IPアドレス情報表示(IPアドレス取得)</v>
      </c>
      <c r="G97">
        <f ca="1">IF($F97="","",COUNTIF($F$3:$F97,$F97))</f>
        <v>1</v>
      </c>
      <c r="H97">
        <f ca="1">IF(OR(G97&gt;1,G97=""),"",COUNTIF($G$3:$G97,1))</f>
        <v>94</v>
      </c>
      <c r="I97" t="str">
        <f t="shared" ca="1" si="13"/>
        <v>文字列表示形式(通貨)TCP/IPアドレス情報表示(IPアドレス取得)</v>
      </c>
      <c r="K97">
        <f t="shared" si="17"/>
        <v>94</v>
      </c>
      <c r="L97" t="str">
        <f t="shared" ca="1" si="9"/>
        <v>文字列表示形式(通貨)TCP/IPアドレス情報表示(IPアドレス取得)</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パケット送付</v>
      </c>
      <c r="F98" t="str">
        <f t="shared" ca="1" si="12"/>
        <v>エラー設定パケット送付</v>
      </c>
      <c r="G98">
        <f ca="1">IF($F98="","",COUNTIF($F$3:$F98,$F98))</f>
        <v>1</v>
      </c>
      <c r="H98">
        <f ca="1">IF(OR(G98&gt;1,G98=""),"",COUNTIF($G$3:$G98,1))</f>
        <v>95</v>
      </c>
      <c r="I98" t="str">
        <f t="shared" ca="1" si="13"/>
        <v>エラー設定パケット送付</v>
      </c>
      <c r="K98">
        <f t="shared" si="17"/>
        <v>95</v>
      </c>
      <c r="L98" t="str">
        <f t="shared" ca="1" si="9"/>
        <v>エラー設定パケット送付</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ネットワーク切断</v>
      </c>
      <c r="F99" t="str">
        <f t="shared" ca="1" si="12"/>
        <v>エラー解除ネットワーク切断</v>
      </c>
      <c r="G99">
        <f ca="1">IF($F99="","",COUNTIF($F$3:$F99,$F99))</f>
        <v>1</v>
      </c>
      <c r="H99">
        <f ca="1">IF(OR(G99&gt;1,G99=""),"",COUNTIF($G$3:$G99,1))</f>
        <v>96</v>
      </c>
      <c r="I99" t="str">
        <f t="shared" ca="1" si="13"/>
        <v>エラー解除ネットワーク切断</v>
      </c>
      <c r="K99">
        <f t="shared" si="17"/>
        <v>96</v>
      </c>
      <c r="L99" t="str">
        <f t="shared" ca="1" si="9"/>
        <v>エラー解除ネットワーク切断</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ネットワーク接続</v>
      </c>
      <c r="F100" t="str">
        <f t="shared" ca="1" si="12"/>
        <v>エラー番号ネットワーク接続</v>
      </c>
      <c r="G100">
        <f ca="1">IF($F100="","",COUNTIF($F$3:$F100,$F100))</f>
        <v>1</v>
      </c>
      <c r="H100">
        <f ca="1">IF(OR(G100&gt;1,G100=""),"",COUNTIF($G$3:$G100,1))</f>
        <v>97</v>
      </c>
      <c r="I100" t="str">
        <f t="shared" ca="1" si="13"/>
        <v>エラー番号ネットワーク接続</v>
      </c>
      <c r="K100">
        <f t="shared" si="17"/>
        <v>97</v>
      </c>
      <c r="L100" t="str">
        <f t="shared" ca="1" si="9"/>
        <v>エラー番号ネットワーク接続</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ネットワーク状況確認</v>
      </c>
      <c r="F101" t="str">
        <f t="shared" ca="1" si="12"/>
        <v>エラー内容ネットワーク状況確認</v>
      </c>
      <c r="G101">
        <f ca="1">IF($F101="","",COUNTIF($F$3:$F101,$F101))</f>
        <v>1</v>
      </c>
      <c r="H101">
        <f ca="1">IF(OR(G101&gt;1,G101=""),"",COUNTIF($G$3:$G101,1))</f>
        <v>98</v>
      </c>
      <c r="I101" t="str">
        <f t="shared" ca="1" si="13"/>
        <v>エラー内容ネットワーク状況確認</v>
      </c>
      <c r="K101">
        <f t="shared" si="17"/>
        <v>98</v>
      </c>
      <c r="L101" t="str">
        <f t="shared" ca="1" si="9"/>
        <v>エラー内容ネットワーク状況確認</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コンパイル実行</v>
      </c>
      <c r="F102" t="str">
        <f t="shared" ca="1" si="12"/>
        <v>エラーラベルコンパイル実行</v>
      </c>
      <c r="G102">
        <f ca="1">IF($F102="","",COUNTIF($F$3:$F102,$F102))</f>
        <v>1</v>
      </c>
      <c r="H102">
        <f ca="1">IF(OR(G102&gt;1,G102=""),"",COUNTIF($G$3:$G102,1))</f>
        <v>99</v>
      </c>
      <c r="I102" t="str">
        <f t="shared" ca="1" si="13"/>
        <v>エラーラベルコンパイル実行</v>
      </c>
      <c r="K102">
        <f t="shared" si="17"/>
        <v>99</v>
      </c>
      <c r="L102" t="str">
        <f t="shared" ca="1" si="9"/>
        <v>エラーラベルコンパイル実行</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コンパイル実行(コンパイル＆アセンブルのみ)</v>
      </c>
      <c r="F103" t="str">
        <f t="shared" ca="1" si="12"/>
        <v>ラベル定義コンパイル実行(コンパイル＆アセンブルのみ)</v>
      </c>
      <c r="G103">
        <f ca="1">IF($F103="","",COUNTIF($F$3:$F103,$F103))</f>
        <v>1</v>
      </c>
      <c r="H103">
        <f ca="1">IF(OR(G103&gt;1,G103=""),"",COUNTIF($G$3:$G103,1))</f>
        <v>100</v>
      </c>
      <c r="I103" t="str">
        <f t="shared" ca="1" si="13"/>
        <v>ラベル定義コンパイル実行(コンパイル＆アセンブルのみ)</v>
      </c>
      <c r="K103">
        <f t="shared" si="17"/>
        <v>100</v>
      </c>
      <c r="L103" t="str">
        <f t="shared" ca="1" si="9"/>
        <v>ラベル定義コンパイル実行(コンパイル＆アセンブルのみ)</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make(デフォルトターゲット指定)</v>
      </c>
      <c r="F104" t="str">
        <f t="shared" ca="1" si="12"/>
        <v>ＴＸＴ(簡略版) オープンmake(デフォルトターゲット指定)</v>
      </c>
      <c r="G104">
        <f ca="1">IF($F104="","",COUNTIF($F$3:$F104,$F104))</f>
        <v>1</v>
      </c>
      <c r="H104">
        <f ca="1">IF(OR(G104&gt;1,G104=""),"",COUNTIF($G$3:$G104,1))</f>
        <v>101</v>
      </c>
      <c r="I104" t="str">
        <f t="shared" ca="1" si="13"/>
        <v>ＴＸＴ(簡略版) オープンmake(デフォルトターゲット指定)</v>
      </c>
      <c r="K104">
        <f t="shared" si="17"/>
        <v>101</v>
      </c>
      <c r="L104" t="str">
        <f t="shared" ca="1" si="9"/>
        <v>ＴＸＴ(簡略版) オープンmake(デフォルトターゲット指定)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make(ターゲット指定)</v>
      </c>
      <c r="F105" t="str">
        <f t="shared" ca="1" si="12"/>
        <v>ＴＸＴ(簡略版) 読込（一行ずつ）make(ターゲット指定)</v>
      </c>
      <c r="G105">
        <f ca="1">IF($F105="","",COUNTIF($F$3:$F105,$F105))</f>
        <v>1</v>
      </c>
      <c r="H105">
        <f ca="1">IF(OR(G105&gt;1,G105=""),"",COUNTIF($G$3:$G105,1))</f>
        <v>102</v>
      </c>
      <c r="I105" t="str">
        <f t="shared" ca="1" si="13"/>
        <v>ＴＸＴ(簡略版) 読込（一行ずつ）make(ターゲット指定)</v>
      </c>
      <c r="K105">
        <f t="shared" si="17"/>
        <v>102</v>
      </c>
      <c r="L105" t="str">
        <f t="shared" ca="1" si="9"/>
        <v>ＴＸＴ(簡略版) 読込（一行ずつ）make(ターゲット指定)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make(メイクファイル指定)</v>
      </c>
      <c r="F106" t="str">
        <f t="shared" ca="1" si="12"/>
        <v>ＴＸＴ(簡略版) 読込（一括）make(メイクファイル指定)</v>
      </c>
      <c r="G106">
        <f ca="1">IF($F106="","",COUNTIF($F$3:$F106,$F106))</f>
        <v>1</v>
      </c>
      <c r="H106">
        <f ca="1">IF(OR(G106&gt;1,G106=""),"",COUNTIF($G$3:$G106,1))</f>
        <v>103</v>
      </c>
      <c r="I106" t="str">
        <f t="shared" ca="1" si="13"/>
        <v>ＴＸＴ(簡略版) 読込（一括）make(メイクファイル指定)</v>
      </c>
      <c r="K106">
        <f t="shared" si="17"/>
        <v>103</v>
      </c>
      <c r="L106" t="str">
        <f t="shared" ca="1" si="9"/>
        <v>ＴＸＴ(簡略版) 読込（一括）make(メイクファイル指定)</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make(標準入力指定)</v>
      </c>
      <c r="F107" t="str">
        <f t="shared" ca="1" si="12"/>
        <v>ＴＸＴ(簡略版) 書込make(標準入力指定)</v>
      </c>
      <c r="G107">
        <f ca="1">IF($F107="","",COUNTIF($F$3:$F107,$F107))</f>
        <v>1</v>
      </c>
      <c r="H107">
        <f ca="1">IF(OR(G107&gt;1,G107=""),"",COUNTIF($G$3:$G107,1))</f>
        <v>104</v>
      </c>
      <c r="I107" t="str">
        <f t="shared" ca="1" si="13"/>
        <v>ＴＸＴ(簡略版) 書込make(標準入力指定)</v>
      </c>
      <c r="K107">
        <f t="shared" si="17"/>
        <v>104</v>
      </c>
      <c r="L107" t="str">
        <f t="shared" ca="1" si="9"/>
        <v>ＴＸＴ(簡略版) 書込make(標準入力指定)</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make(エラー無視)</v>
      </c>
      <c r="F108" t="str">
        <f t="shared" ca="1" si="12"/>
        <v>ＴＸＴ(簡略版) クローズmake(エラー無視)</v>
      </c>
      <c r="G108">
        <f ca="1">IF($F108="","",COUNTIF($F$3:$F108,$F108))</f>
        <v>1</v>
      </c>
      <c r="H108">
        <f ca="1">IF(OR(G108&gt;1,G108=""),"",COUNTIF($G$3:$G108,1))</f>
        <v>105</v>
      </c>
      <c r="I108" t="str">
        <f t="shared" ca="1" si="13"/>
        <v>ＴＸＴ(簡略版) クローズmake(エラー無視)</v>
      </c>
      <c r="K108">
        <f t="shared" si="17"/>
        <v>105</v>
      </c>
      <c r="L108" t="str">
        <f t="shared" ca="1" si="9"/>
        <v>ＴＸＴ(簡略版) クローズmake(エラー無視)</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make(コマンド出力のみ)</v>
      </c>
      <c r="F109" t="str">
        <f t="shared" ca="1" si="12"/>
        <v>ＴＸＴ(詳細版) 定義make(コマンド出力のみ)</v>
      </c>
      <c r="G109">
        <f ca="1">IF($F109="","",COUNTIF($F$3:$F109,$F109))</f>
        <v>1</v>
      </c>
      <c r="H109">
        <f ca="1">IF(OR(G109&gt;1,G109=""),"",COUNTIF($G$3:$G109,1))</f>
        <v>106</v>
      </c>
      <c r="I109" t="str">
        <f t="shared" ca="1" si="13"/>
        <v>ＴＸＴ(詳細版) 定義make(コマンド出力のみ)</v>
      </c>
      <c r="K109">
        <f t="shared" si="17"/>
        <v>106</v>
      </c>
      <c r="L109" t="str">
        <f t="shared" ca="1" si="9"/>
        <v>ＴＸＴ(詳細版) 定義make(コマンド出力のみ)</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シンボル情報表示</v>
      </c>
      <c r="F110" t="str">
        <f t="shared" ca="1" si="12"/>
        <v>ＴＸＴ(詳細版) ファイル種別指定シンボル情報表示</v>
      </c>
      <c r="G110">
        <f ca="1">IF($F110="","",COUNTIF($F$3:$F110,$F110))</f>
        <v>1</v>
      </c>
      <c r="H110">
        <f ca="1">IF(OR(G110&gt;1,G110=""),"",COUNTIF($G$3:$G110,1))</f>
        <v>107</v>
      </c>
      <c r="I110" t="str">
        <f t="shared" ca="1" si="13"/>
        <v>ＴＸＴ(詳細版) ファイル種別指定シンボル情報表示</v>
      </c>
      <c r="K110">
        <f t="shared" si="17"/>
        <v>107</v>
      </c>
      <c r="L110" t="str">
        <f t="shared" ca="1" si="9"/>
        <v>ＴＸＴ(詳細版) ファイル種別指定シンボル情報表示</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アーカイブファイル作成</v>
      </c>
      <c r="F111" t="str">
        <f t="shared" ca="1" si="12"/>
        <v>ＴＸＴ(詳細版) 文字コード指定アーカイブファイル作成</v>
      </c>
      <c r="G111">
        <f ca="1">IF($F111="","",COUNTIF($F$3:$F111,$F111))</f>
        <v>1</v>
      </c>
      <c r="H111">
        <f ca="1">IF(OR(G111&gt;1,G111=""),"",COUNTIF($G$3:$G111,1))</f>
        <v>108</v>
      </c>
      <c r="I111" t="str">
        <f t="shared" ca="1" si="13"/>
        <v>ＴＸＴ(詳細版) 文字コード指定アーカイブファイル作成</v>
      </c>
      <c r="K111">
        <f t="shared" si="17"/>
        <v>108</v>
      </c>
      <c r="L111" t="str">
        <f t="shared" ca="1" si="9"/>
        <v>ＴＸＴ(詳細版) 文字コード指定アーカイブファイル作成</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書庫インデックス作成</v>
      </c>
      <c r="F112" t="str">
        <f t="shared" ca="1" si="12"/>
        <v>ＴＸＴ(詳細版) 改行コード指定書庫インデックス作成</v>
      </c>
      <c r="G112">
        <f ca="1">IF($F112="","",COUNTIF($F$3:$F112,$F112))</f>
        <v>1</v>
      </c>
      <c r="H112">
        <f ca="1">IF(OR(G112&gt;1,G112=""),"",COUNTIF($G$3:$G112,1))</f>
        <v>109</v>
      </c>
      <c r="I112" t="str">
        <f t="shared" ca="1" si="13"/>
        <v>ＴＸＴ(詳細版) 改行コード指定書庫インデックス作成</v>
      </c>
      <c r="K112">
        <f t="shared" si="17"/>
        <v>109</v>
      </c>
      <c r="L112" t="str">
        <f t="shared" ca="1" si="9"/>
        <v>ＴＸＴ(詳細版) 改行コード指定書庫インデックス作成</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ctags</v>
      </c>
      <c r="F113" t="str">
        <f t="shared" ca="1" si="12"/>
        <v>ＴＸＴ(詳細版) オープン(読込時用)ctags</v>
      </c>
      <c r="G113">
        <f ca="1">IF($F113="","",COUNTIF($F$3:$F113,$F113))</f>
        <v>1</v>
      </c>
      <c r="H113">
        <f ca="1">IF(OR(G113&gt;1,G113=""),"",COUNTIF($G$3:$G113,1))</f>
        <v>110</v>
      </c>
      <c r="I113" t="str">
        <f t="shared" ca="1" si="13"/>
        <v>ＴＸＴ(詳細版) オープン(読込時用)ctags</v>
      </c>
      <c r="K113">
        <f t="shared" si="17"/>
        <v>110</v>
      </c>
      <c r="L113" t="str">
        <f t="shared" ca="1" si="9"/>
        <v>ＴＸＴ(詳細版) オープン(読込時用)ctags</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gtags</v>
      </c>
      <c r="F114" t="str">
        <f t="shared" ca="1" si="12"/>
        <v>ＴＸＴ(詳細版) 読込（一行ずつ）gtags</v>
      </c>
      <c r="G114">
        <f ca="1">IF($F114="","",COUNTIF($F$3:$F114,$F114))</f>
        <v>1</v>
      </c>
      <c r="H114">
        <f ca="1">IF(OR(G114&gt;1,G114=""),"",COUNTIF($G$3:$G114,1))</f>
        <v>111</v>
      </c>
      <c r="I114" t="str">
        <f t="shared" ca="1" si="13"/>
        <v>ＴＸＴ(詳細版) 読込（一行ずつ）gtags</v>
      </c>
      <c r="K114">
        <f t="shared" si="17"/>
        <v>111</v>
      </c>
      <c r="L114" t="str">
        <f t="shared" ca="1" si="9"/>
        <v>ＴＸＴ(詳細版) 読込（一行ずつ）gtags</v>
      </c>
      <c r="M114" s="2" t="str">
        <f t="shared" ca="1" si="10"/>
        <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引数パーサー</v>
      </c>
      <c r="F115" t="str">
        <f t="shared" ca="1" si="12"/>
        <v>ＴＸＴ(詳細版) 読込（一括）引数パーサー</v>
      </c>
      <c r="G115">
        <f ca="1">IF($F115="","",COUNTIF($F$3:$F115,$F115))</f>
        <v>1</v>
      </c>
      <c r="H115">
        <f ca="1">IF(OR(G115&gt;1,G115=""),"",COUNTIF($G$3:$G115,1))</f>
        <v>112</v>
      </c>
      <c r="I115" t="str">
        <f t="shared" ca="1" si="13"/>
        <v>ＴＸＴ(詳細版) 読込（一括）引数パーサー</v>
      </c>
      <c r="K115">
        <f t="shared" si="17"/>
        <v>112</v>
      </c>
      <c r="L115" t="str">
        <f t="shared" ca="1" si="9"/>
        <v>ＴＸＴ(詳細版) 読込（一括）引数パーサー</v>
      </c>
      <c r="M115" s="2" t="str">
        <f t="shared" ca="1" si="10"/>
        <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vbs,vba</vt:lpstr>
      <vt:lpstr>python</vt:lpstr>
      <vt:lpstr>c++</vt:lpstr>
      <vt:lpstr>bat</vt:lpstr>
      <vt:lpstr>shell</vt:lpstr>
      <vt:lpstr>ps</vt:lpstr>
      <vt:lpstr>git</vt:lpstr>
      <vt:lpstr>cmake</vt:lpstr>
      <vt:lpstr>正規表現</vt:lpstr>
      <vt:lpstr>重複チェック</vt:lpstr>
      <vt:lpstr>bat!Print_Area</vt:lpstr>
      <vt:lpstr>'c++'!Print_Area</vt:lpstr>
      <vt:lpstr>cmake!Print_Area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2026-04-01T09:11:30Z</dcterms:modified>
</cp:coreProperties>
</file>