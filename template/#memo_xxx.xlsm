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49F779B5-0F8D-48C4-90E7-D6E9E729118C}" xr6:coauthVersionLast="45" xr6:coauthVersionMax="45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<sst xmlns="http://schemas.openxmlformats.org/spreadsheetml/2006/main" count="8111" uniqueCount="101">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</sst>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9" fontId="12" fillId="0" borderId="2" xfId="0" applyNumberFormat="1" applyFont="1" applyBorder="1">
      <alignment vertical="top"/>
    </xf>
    <xf numFmtId="179" fontId="12" fillId="0" borderId="8" xfId="0" applyNumberFormat="1" applyFont="1" applyBorder="1">
      <alignment vertical="top"/>
    </xf>
    <xf numFmtId="179" fontId="12" fillId="0" borderId="9" xfId="0" applyNumberFormat="1" applyFont="1" applyBorder="1">
      <alignment vertical="top"/>
    </xf>
    <xf numFmtId="0" fontId="12" fillId="0" borderId="2" xfId="0" applyFont="1" applyBorder="1">
      <alignment vertical="top"/>
    </xf>
    <xf numFmtId="0" fontId="12" fillId="0" borderId="6" xfId="0" applyFont="1" applyBorder="1">
      <alignment vertical="top"/>
    </xf>
    <xf numFmtId="180" fontId="12" fillId="0" borderId="2" xfId="0" applyNumberFormat="1" applyFont="1" applyFill="1" applyBorder="1">
      <alignment vertical="top"/>
    </xf>
    <xf numFmtId="0" fontId="12" fillId="0" borderId="2" xfId="0" applyFont="1" applyBorder="1" applyAlignment="1">
      <alignment horizontal="center" vertical="top"/>
    </xf>
    <xf numFmtId="0" fontId="12" fillId="0" borderId="2" xfId="0" applyFont="1" applyFill="1" applyBorder="1" applyAlignment="1">
      <alignment horizontal="center" vertical="top"/>
    </xf>
    <xf numFmtId="181" fontId="12" fillId="0" borderId="2" xfId="0" applyNumberFormat="1" applyFont="1" applyBorder="1">
      <alignment vertical="top"/>
    </xf>
    <xf numFmtId="0" fontId="12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323850</xdr:rowOff>
        </xdr:from>
        <xdr:to>
          <xdr:col>3</xdr:col>
          <xdr:colOff>666750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171450</xdr:rowOff>
        </xdr:from>
        <xdr:to>
          <xdr:col>3</xdr:col>
          <xdr:colOff>666750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323850</xdr:rowOff>
        </xdr:from>
        <xdr:to>
          <xdr:col>2</xdr:col>
          <xdr:colOff>447675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476250</xdr:rowOff>
        </xdr:from>
        <xdr:to>
          <xdr:col>2</xdr:col>
          <xdr:colOff>447675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628650</xdr:rowOff>
        </xdr:from>
        <xdr:to>
          <xdr:col>2</xdr:col>
          <xdr:colOff>447675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476250</xdr:rowOff>
        </xdr:from>
        <xdr:to>
          <xdr:col>3</xdr:col>
          <xdr:colOff>666750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47" dataDxfId="46" totalsRowDxfId="45">
  <autoFilter ref="A1:V501" xr:uid="{AF94FF42-8860-480A-8162-5AED983C6B44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44" totalsRowDxfId="43"/>
    <tableColumn id="2" xr3:uid="{00000000-0010-0000-0000-000002000000}" name="カテゴリ" totalsRowFunction="min" dataDxfId="42"/>
    <tableColumn id="9" xr3:uid="{00000000-0010-0000-0000-000009000000}" name="優先度" dataDxfId="41"/>
    <tableColumn id="7" xr3:uid="{00000000-0010-0000-0000-000007000000}" name="ジャンル" dataDxfId="40" totalsRowDxfId="39"/>
    <tableColumn id="4" xr3:uid="{00000000-0010-0000-0000-000004000000}" name="対象" dataDxfId="38" totalsRowDxfId="37"/>
    <tableColumn id="5" xr3:uid="{00000000-0010-0000-0000-000005000000}" name="内容1" dataDxfId="36"/>
    <tableColumn id="6" xr3:uid="{00000000-0010-0000-0000-000006000000}" name="内容2" dataDxfId="35"/>
    <tableColumn id="3" xr3:uid="{D8BF8DEE-5B82-4642-8275-871B138A17F2}" name="制御仕様" dataDxfId="15"/>
    <tableColumn id="18" xr3:uid="{39C01570-2533-4FE0-AC30-5BBEE09C21CE}" name="変更設計" dataDxfId="14"/>
    <tableColumn id="22" xr3:uid="{7E6DD80A-F288-4CD9-A3DC-3C814F5D4E66}" name="基本設計" dataDxfId="13"/>
    <tableColumn id="24" xr3:uid="{F953792B-02F8-4B5C-90BB-B972CF9EA892}" name="詳細設計" dataDxfId="12"/>
    <tableColumn id="21" xr3:uid="{7CFFA444-42FE-4250-B226-A4FF187EBAA5}" name="実装" dataDxfId="11"/>
    <tableColumn id="20" xr3:uid="{6FDC90A9-03A5-461D-A4D3-3B2DBF1D8EB9}" name="単体試験" dataDxfId="10"/>
    <tableColumn id="19" xr3:uid="{A7A66065-6893-4459-99BF-C7E8225C575E}" name="結合試験" dataDxfId="9"/>
    <tableColumn id="23" xr3:uid="{9E227755-3935-45C8-8817-320B6E20EA5D}" name="SW試験" dataDxfId="8"/>
    <tableColumn id="11" xr3:uid="{00000000-0010-0000-0000-00000B000000}" name="引用元" dataDxfId="34" totalsRowDxfId="33"/>
    <tableColumn id="14" xr3:uid="{00000000-0010-0000-0000-00000E000000}" name="出典" dataDxfId="32" totalsRowDxfId="31"/>
    <tableColumn id="13" xr3:uid="{00000000-0010-0000-0000-00000D000000}" name="転記元" dataDxfId="30" totalsRowDxfId="29"/>
    <tableColumn id="16" xr3:uid="{8544C34A-4524-4384-949C-238FA1CC1876}" name="期限" dataDxfId="28" totalsRowDxfId="27"/>
    <tableColumn id="8" xr3:uid="{00000000-0010-0000-0000-000008000000}" name="追加日" dataDxfId="26" totalsRowDxfId="25"/>
    <tableColumn id="10" xr3:uid="{00000000-0010-0000-0000-00000A000000}" name="工数[h]" dataDxfId="24" totalsRowDxfId="23"/>
    <tableColumn id="12" xr3:uid="{00000000-0010-0000-0000-00000C000000}" name="備考" totalsRowFunction="count" dataDxfId="22" totalsRowDxfId="21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20" dataDxfId="19">
  <autoFilter ref="A1:C41" xr:uid="{00000000-0009-0000-0100-000003000000}"/>
  <tableColumns count="3">
    <tableColumn id="1" xr3:uid="{00000000-0010-0000-0100-000001000000}" name="版数" dataDxfId="18"/>
    <tableColumn id="2" xr3:uid="{00000000-0010-0000-0100-000002000000}" name="日付" dataDxfId="17"/>
    <tableColumn id="3" xr3:uid="{00000000-0010-0000-0100-000003000000}" name="内容" dataDxfId="16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defaultColWidth="9.33203125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4" width="9.1640625" customWidth="1"/>
    <col min="25" max="25" width="8" style="6" customWidth="1"/>
    <col min="26" max="16384" width="9.33203125" style="6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75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46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46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7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7" priority="1">
      <formula>$C2="★★★"</formula>
    </cfRule>
    <cfRule type="expression" dxfId="6" priority="2">
      <formula>$C2="★★☆"</formula>
    </cfRule>
    <cfRule type="expression" dxfId="5" priority="3">
      <formula>$C2="★☆☆"</formula>
    </cfRule>
    <cfRule type="expression" dxfId="4" priority="23">
      <formula>AND($F2&lt;&gt;"",$B2="TODO保")</formula>
    </cfRule>
    <cfRule type="expression" dxfId="3" priority="24">
      <formula>AND($F2&lt;&gt;"",$B2="TODO完")</formula>
    </cfRule>
    <cfRule type="expression" dxfId="2" priority="25">
      <formula>AND($F2&lt;&gt;"",$B2="TODO未")</formula>
    </cfRule>
    <cfRule type="expression" dxfId="1" priority="27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323850</xdr:rowOff>
                  </from>
                  <to>
                    <xdr:col>3</xdr:col>
                    <xdr:colOff>666750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171450</xdr:rowOff>
                  </from>
                  <to>
                    <xdr:col>3</xdr:col>
                    <xdr:colOff>666750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323850</xdr:rowOff>
                  </from>
                  <to>
                    <xdr:col>2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476250</xdr:rowOff>
                  </from>
                  <to>
                    <xdr:col>2</xdr:col>
                    <xdr:colOff>447675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628650</xdr:rowOff>
                  </from>
                  <to>
                    <xdr:col>2</xdr:col>
                    <xdr:colOff>447675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7" sqref="A7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39" customFormat="1"/>
    <row r="2" spans="1:11" s="39" customFormat="1"/>
    <row r="3" spans="1:11" ht="25.9" customHeight="1"/>
    <row r="4" spans="1:11">
      <c r="A4" s="45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44" t="s">
        <v>54</v>
      </c>
      <c r="B5" s="38"/>
      <c r="C5" s="38"/>
      <c r="D5" s="38"/>
      <c r="E5" s="38"/>
      <c r="F5" s="38"/>
      <c r="G5" s="38"/>
      <c r="H5" s="38"/>
      <c r="I5" s="38"/>
      <c r="J5" s="38"/>
      <c r="K5" s="38"/>
    </row>
    <row r="6" spans="1:11">
      <c r="A6" s="44" t="s">
        <v>55</v>
      </c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>
      <c r="A7" s="28" t="s">
        <v>56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>
      <c r="A8" s="26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>
      <c r="A9" s="26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>
      <c r="A10" s="26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>
      <c r="A11" s="26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>
      <c r="A12" s="26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>
      <c r="A13" s="26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>
      <c r="A14" s="26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>
      <c r="A15" s="26"/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1">
      <c r="A16" s="26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>
      <c r="A17" s="26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>
      <c r="A18" s="26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>
      <c r="A19" s="26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>
      <c r="A20" s="26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>
      <c r="A21" s="26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>
      <c r="A22" s="26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>
      <c r="A23" s="26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>
      <c r="A24" s="26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>
      <c r="A25" s="26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>
      <c r="A26" s="26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>
      <c r="A27" s="26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>
      <c r="A28" s="26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>
      <c r="A29" s="26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>
      <c r="A30" s="26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11">
      <c r="A31" s="26"/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>
      <c r="A32" s="26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>
      <c r="A33" s="26"/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>
      <c r="A34" s="26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>
      <c r="A35" s="26"/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>
      <c r="A36" s="26"/>
      <c r="B36" s="40"/>
      <c r="C36" s="40"/>
      <c r="D36" s="40"/>
      <c r="E36" s="40"/>
      <c r="F36" s="40"/>
      <c r="G36" s="40"/>
      <c r="H36" s="40"/>
      <c r="I36" s="40"/>
      <c r="J36" s="40"/>
      <c r="K36" s="40"/>
    </row>
    <row r="37" spans="1:11">
      <c r="A37" s="26"/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>
      <c r="A38" s="26"/>
      <c r="B38" s="40"/>
      <c r="C38" s="40"/>
      <c r="D38" s="40"/>
      <c r="E38" s="40"/>
      <c r="F38" s="40"/>
      <c r="G38" s="40"/>
      <c r="H38" s="40"/>
      <c r="I38" s="40"/>
      <c r="J38" s="40"/>
      <c r="K38" s="40"/>
    </row>
    <row r="39" spans="1:11">
      <c r="A39" s="26"/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>
      <c r="A40" s="26"/>
      <c r="B40" s="40"/>
      <c r="C40" s="40"/>
      <c r="D40" s="40"/>
      <c r="E40" s="40"/>
      <c r="F40" s="40"/>
      <c r="G40" s="40"/>
      <c r="H40" s="40"/>
      <c r="I40" s="40"/>
      <c r="J40" s="40"/>
      <c r="K40" s="40"/>
    </row>
    <row r="41" spans="1:11">
      <c r="A41" s="26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>
      <c r="A42" s="26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>
      <c r="A43" s="26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>
      <c r="A44" s="26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>
      <c r="A45" s="26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>
      <c r="A46" s="26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>
      <c r="A47" s="26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>
      <c r="A48" s="26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1">
      <c r="A49" s="26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>
      <c r="A50" s="26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1">
      <c r="A51" s="26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>
      <c r="A52" s="26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>
      <c r="A53" s="26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>
      <c r="A54" s="26"/>
      <c r="B54" s="40"/>
      <c r="C54" s="40"/>
      <c r="D54" s="40"/>
      <c r="E54" s="40"/>
      <c r="F54" s="40"/>
      <c r="G54" s="40"/>
      <c r="H54" s="40"/>
      <c r="I54" s="40"/>
      <c r="J54" s="40"/>
      <c r="K54" s="40"/>
    </row>
    <row r="55" spans="1:11">
      <c r="A55" s="26"/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>
      <c r="A56" s="26"/>
      <c r="B56" s="40"/>
      <c r="C56" s="40"/>
      <c r="D56" s="40"/>
      <c r="E56" s="40"/>
      <c r="F56" s="40"/>
      <c r="G56" s="40"/>
      <c r="H56" s="40"/>
      <c r="I56" s="40"/>
      <c r="J56" s="40"/>
      <c r="K56" s="40"/>
    </row>
    <row r="57" spans="1:11">
      <c r="A57" s="26"/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>
      <c r="A58" s="26"/>
      <c r="B58" s="40"/>
      <c r="C58" s="40"/>
      <c r="D58" s="40"/>
      <c r="E58" s="40"/>
      <c r="F58" s="40"/>
      <c r="G58" s="40"/>
      <c r="H58" s="40"/>
      <c r="I58" s="40"/>
      <c r="J58" s="40"/>
      <c r="K58" s="40"/>
    </row>
    <row r="59" spans="1:11">
      <c r="A59" s="26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>
      <c r="A60" s="26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1">
      <c r="A61" s="26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>
      <c r="A62" s="26"/>
      <c r="B62" s="40"/>
      <c r="C62" s="40"/>
      <c r="D62" s="40"/>
      <c r="E62" s="40"/>
      <c r="F62" s="40"/>
      <c r="G62" s="40"/>
      <c r="H62" s="40"/>
      <c r="I62" s="40"/>
      <c r="J62" s="40"/>
      <c r="K62" s="40"/>
    </row>
    <row r="63" spans="1:11">
      <c r="A63" s="26"/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>
      <c r="A64" s="26"/>
      <c r="B64" s="40"/>
      <c r="C64" s="40"/>
      <c r="D64" s="40"/>
      <c r="E64" s="40"/>
      <c r="F64" s="40"/>
      <c r="G64" s="40"/>
      <c r="H64" s="40"/>
      <c r="I64" s="40"/>
      <c r="J64" s="40"/>
      <c r="K64" s="40"/>
    </row>
    <row r="65" spans="1:11">
      <c r="A65" s="26"/>
      <c r="B65" s="40"/>
      <c r="C65" s="40"/>
      <c r="D65" s="40"/>
      <c r="E65" s="40"/>
      <c r="F65" s="40"/>
      <c r="G65" s="40"/>
      <c r="H65" s="40"/>
      <c r="I65" s="40"/>
      <c r="J65" s="40"/>
      <c r="K65" s="40"/>
    </row>
    <row r="66" spans="1:11">
      <c r="A66" s="26"/>
      <c r="B66" s="40"/>
      <c r="C66" s="40"/>
      <c r="D66" s="40"/>
      <c r="E66" s="40"/>
      <c r="F66" s="40"/>
      <c r="G66" s="40"/>
      <c r="H66" s="40"/>
      <c r="I66" s="40"/>
      <c r="J66" s="40"/>
      <c r="K66" s="40"/>
    </row>
    <row r="67" spans="1:11">
      <c r="A67" s="26"/>
      <c r="B67" s="40"/>
      <c r="C67" s="40"/>
      <c r="D67" s="40"/>
      <c r="E67" s="40"/>
      <c r="F67" s="40"/>
      <c r="G67" s="40"/>
      <c r="H67" s="40"/>
      <c r="I67" s="40"/>
      <c r="J67" s="40"/>
      <c r="K67" s="40"/>
    </row>
    <row r="68" spans="1:11">
      <c r="A68" s="26"/>
      <c r="B68" s="40"/>
      <c r="C68" s="40"/>
      <c r="D68" s="40"/>
      <c r="E68" s="40"/>
      <c r="F68" s="40"/>
      <c r="G68" s="40"/>
      <c r="H68" s="40"/>
      <c r="I68" s="40"/>
      <c r="J68" s="40"/>
      <c r="K68" s="40"/>
    </row>
    <row r="69" spans="1:11">
      <c r="A69" s="26"/>
      <c r="B69" s="40"/>
      <c r="C69" s="40"/>
      <c r="D69" s="40"/>
      <c r="E69" s="40"/>
      <c r="F69" s="40"/>
      <c r="G69" s="40"/>
      <c r="H69" s="40"/>
      <c r="I69" s="40"/>
      <c r="J69" s="40"/>
      <c r="K69" s="40"/>
    </row>
    <row r="70" spans="1:11">
      <c r="A70" s="26"/>
      <c r="B70" s="40"/>
      <c r="C70" s="40"/>
      <c r="D70" s="40"/>
      <c r="E70" s="40"/>
      <c r="F70" s="40"/>
      <c r="G70" s="40"/>
      <c r="H70" s="40"/>
      <c r="I70" s="40"/>
      <c r="J70" s="40"/>
      <c r="K70" s="40"/>
    </row>
    <row r="71" spans="1:11">
      <c r="A71" s="26"/>
      <c r="B71" s="40"/>
      <c r="C71" s="40"/>
      <c r="D71" s="40"/>
      <c r="E71" s="40"/>
      <c r="F71" s="40"/>
      <c r="G71" s="40"/>
      <c r="H71" s="40"/>
      <c r="I71" s="40"/>
      <c r="J71" s="40"/>
      <c r="K71" s="40"/>
    </row>
    <row r="72" spans="1:11">
      <c r="A72" s="26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>
      <c r="A73" s="26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>
      <c r="A74" s="26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>
      <c r="A75" s="26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>
      <c r="A76" s="26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>
      <c r="A77" s="26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>
      <c r="A78" s="26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>
      <c r="A79" s="26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>
      <c r="A80" s="26"/>
      <c r="B80" s="40"/>
      <c r="C80" s="40"/>
      <c r="D80" s="40"/>
      <c r="E80" s="40"/>
      <c r="F80" s="40"/>
      <c r="G80" s="40"/>
      <c r="H80" s="40"/>
      <c r="I80" s="40"/>
      <c r="J80" s="40"/>
      <c r="K80" s="40"/>
    </row>
    <row r="81" spans="1:11">
      <c r="A81" s="26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>
      <c r="A82" s="26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>
      <c r="A83" s="26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>
      <c r="A84" s="26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>
      <c r="A85" s="26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>
      <c r="A86" s="26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>
      <c r="A87" s="26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>
      <c r="A88" s="26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>
      <c r="A89" s="26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>
      <c r="A90" s="26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>
      <c r="A91" s="26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>
      <c r="A92" s="26"/>
      <c r="B92" s="40"/>
      <c r="C92" s="40"/>
      <c r="D92" s="40"/>
      <c r="E92" s="40"/>
      <c r="F92" s="40"/>
      <c r="G92" s="40"/>
      <c r="H92" s="40"/>
      <c r="I92" s="40"/>
      <c r="J92" s="40"/>
      <c r="K92" s="40"/>
    </row>
    <row r="93" spans="1:11">
      <c r="A93" s="26"/>
      <c r="B93" s="40"/>
      <c r="C93" s="40"/>
      <c r="D93" s="40"/>
      <c r="E93" s="40"/>
      <c r="F93" s="40"/>
      <c r="G93" s="40"/>
      <c r="H93" s="40"/>
      <c r="I93" s="40"/>
      <c r="J93" s="40"/>
      <c r="K93" s="40"/>
    </row>
    <row r="94" spans="1:11">
      <c r="A94" s="26"/>
      <c r="B94" s="40"/>
      <c r="C94" s="40"/>
      <c r="D94" s="40"/>
      <c r="E94" s="40"/>
      <c r="F94" s="40"/>
      <c r="G94" s="40"/>
      <c r="H94" s="40"/>
      <c r="I94" s="40"/>
      <c r="J94" s="40"/>
      <c r="K94" s="40"/>
    </row>
    <row r="95" spans="1:11">
      <c r="A95" s="26"/>
      <c r="B95" s="40"/>
      <c r="C95" s="40"/>
      <c r="D95" s="40"/>
      <c r="E95" s="40"/>
      <c r="F95" s="40"/>
      <c r="G95" s="40"/>
      <c r="H95" s="40"/>
      <c r="I95" s="40"/>
      <c r="J95" s="40"/>
      <c r="K95" s="40"/>
    </row>
    <row r="96" spans="1:11">
      <c r="A96" s="26"/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1">
      <c r="A97" s="26"/>
      <c r="B97" s="40"/>
      <c r="C97" s="40"/>
      <c r="D97" s="40"/>
      <c r="E97" s="40"/>
      <c r="F97" s="40"/>
      <c r="G97" s="40"/>
      <c r="H97" s="40"/>
      <c r="I97" s="40"/>
      <c r="J97" s="40"/>
      <c r="K97" s="40"/>
    </row>
    <row r="98" spans="1:11">
      <c r="A98" s="26"/>
      <c r="B98" s="40"/>
      <c r="C98" s="40"/>
      <c r="D98" s="40"/>
      <c r="E98" s="40"/>
      <c r="F98" s="40"/>
      <c r="G98" s="40"/>
      <c r="H98" s="40"/>
      <c r="I98" s="40"/>
      <c r="J98" s="40"/>
      <c r="K98" s="40"/>
    </row>
    <row r="99" spans="1:11">
      <c r="A99" s="26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11">
      <c r="A100" s="26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11">
      <c r="A101" s="26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11">
      <c r="A102" s="26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11">
      <c r="A103" s="26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11">
      <c r="A104" s="26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  <row r="105" spans="1:11">
      <c r="A105" s="26"/>
      <c r="B105" s="40"/>
      <c r="C105" s="40"/>
      <c r="D105" s="40"/>
      <c r="E105" s="40"/>
      <c r="F105" s="40"/>
      <c r="G105" s="40"/>
      <c r="H105" s="40"/>
      <c r="I105" s="40"/>
      <c r="J105" s="40"/>
      <c r="K105" s="40"/>
    </row>
    <row r="106" spans="1:11">
      <c r="A106" s="26"/>
      <c r="B106" s="40"/>
      <c r="C106" s="40"/>
      <c r="D106" s="40"/>
      <c r="E106" s="40"/>
      <c r="F106" s="40"/>
      <c r="G106" s="40"/>
      <c r="H106" s="40"/>
      <c r="I106" s="40"/>
      <c r="J106" s="40"/>
      <c r="K106" s="40"/>
    </row>
    <row r="107" spans="1:11">
      <c r="A107" s="26"/>
      <c r="B107" s="40"/>
      <c r="C107" s="40"/>
      <c r="D107" s="40"/>
      <c r="E107" s="40"/>
      <c r="F107" s="40"/>
      <c r="G107" s="40"/>
      <c r="H107" s="40"/>
      <c r="I107" s="40"/>
      <c r="J107" s="40"/>
      <c r="K107" s="40"/>
    </row>
    <row r="108" spans="1:11">
      <c r="A108" s="26"/>
      <c r="B108" s="40"/>
      <c r="C108" s="40"/>
      <c r="D108" s="40"/>
      <c r="E108" s="40"/>
      <c r="F108" s="40"/>
      <c r="G108" s="40"/>
      <c r="H108" s="40"/>
      <c r="I108" s="40"/>
      <c r="J108" s="40"/>
      <c r="K108" s="40"/>
    </row>
    <row r="109" spans="1:11">
      <c r="A109" s="26"/>
      <c r="B109" s="40"/>
      <c r="C109" s="40"/>
      <c r="D109" s="40"/>
      <c r="E109" s="40"/>
      <c r="F109" s="40"/>
      <c r="G109" s="40"/>
      <c r="H109" s="40"/>
      <c r="I109" s="40"/>
      <c r="J109" s="40"/>
      <c r="K109" s="40"/>
    </row>
    <row r="110" spans="1:11">
      <c r="A110" s="26"/>
      <c r="B110" s="40"/>
      <c r="C110" s="40"/>
      <c r="D110" s="40"/>
      <c r="E110" s="40"/>
      <c r="F110" s="40"/>
      <c r="G110" s="40"/>
      <c r="H110" s="40"/>
      <c r="I110" s="40"/>
      <c r="J110" s="40"/>
      <c r="K110" s="40"/>
    </row>
    <row r="111" spans="1:11">
      <c r="A111" s="26"/>
      <c r="B111" s="40"/>
      <c r="C111" s="40"/>
      <c r="D111" s="40"/>
      <c r="E111" s="40"/>
      <c r="F111" s="40"/>
      <c r="G111" s="40"/>
      <c r="H111" s="40"/>
      <c r="I111" s="40"/>
      <c r="J111" s="40"/>
      <c r="K111" s="40"/>
    </row>
    <row r="112" spans="1:11">
      <c r="A112" s="26"/>
      <c r="B112" s="40"/>
      <c r="C112" s="40"/>
      <c r="D112" s="40"/>
      <c r="E112" s="40"/>
      <c r="F112" s="40"/>
      <c r="G112" s="40"/>
      <c r="H112" s="40"/>
      <c r="I112" s="40"/>
      <c r="J112" s="40"/>
      <c r="K112" s="40"/>
    </row>
    <row r="113" spans="1:11">
      <c r="A113" s="26"/>
      <c r="B113" s="40"/>
      <c r="C113" s="40"/>
      <c r="D113" s="40"/>
      <c r="E113" s="40"/>
      <c r="F113" s="40"/>
      <c r="G113" s="40"/>
      <c r="H113" s="40"/>
      <c r="I113" s="40"/>
      <c r="J113" s="40"/>
      <c r="K113" s="40"/>
    </row>
    <row r="114" spans="1:11">
      <c r="A114" s="26"/>
      <c r="B114" s="40"/>
      <c r="C114" s="40"/>
      <c r="D114" s="40"/>
      <c r="E114" s="40"/>
      <c r="F114" s="40"/>
      <c r="G114" s="40"/>
      <c r="H114" s="40"/>
      <c r="I114" s="40"/>
      <c r="J114" s="40"/>
      <c r="K114" s="40"/>
    </row>
    <row r="115" spans="1:11">
      <c r="A115" s="26"/>
      <c r="B115" s="40"/>
      <c r="C115" s="40"/>
      <c r="D115" s="40"/>
      <c r="E115" s="40"/>
      <c r="F115" s="40"/>
      <c r="G115" s="40"/>
      <c r="H115" s="40"/>
      <c r="I115" s="40"/>
      <c r="J115" s="40"/>
      <c r="K115" s="40"/>
    </row>
    <row r="116" spans="1:11">
      <c r="A116" s="26"/>
      <c r="B116" s="40"/>
      <c r="C116" s="40"/>
      <c r="D116" s="40"/>
      <c r="E116" s="40"/>
      <c r="F116" s="40"/>
      <c r="G116" s="40"/>
      <c r="H116" s="40"/>
      <c r="I116" s="40"/>
      <c r="J116" s="40"/>
      <c r="K116" s="40"/>
    </row>
    <row r="117" spans="1:11">
      <c r="A117" s="26"/>
      <c r="B117" s="40"/>
      <c r="C117" s="40"/>
      <c r="D117" s="40"/>
      <c r="E117" s="40"/>
      <c r="F117" s="40"/>
      <c r="G117" s="40"/>
      <c r="H117" s="40"/>
      <c r="I117" s="40"/>
      <c r="J117" s="40"/>
      <c r="K117" s="40"/>
    </row>
    <row r="118" spans="1:11">
      <c r="A118" s="26"/>
      <c r="B118" s="40"/>
      <c r="C118" s="40"/>
      <c r="D118" s="40"/>
      <c r="E118" s="40"/>
      <c r="F118" s="40"/>
      <c r="G118" s="40"/>
      <c r="H118" s="40"/>
      <c r="I118" s="40"/>
      <c r="J118" s="40"/>
      <c r="K118" s="40"/>
    </row>
    <row r="119" spans="1:11">
      <c r="A119" s="26"/>
      <c r="B119" s="40"/>
      <c r="C119" s="40"/>
      <c r="D119" s="40"/>
      <c r="E119" s="40"/>
      <c r="F119" s="40"/>
      <c r="G119" s="40"/>
      <c r="H119" s="40"/>
      <c r="I119" s="40"/>
      <c r="J119" s="40"/>
      <c r="K119" s="40"/>
    </row>
    <row r="120" spans="1:11">
      <c r="A120" s="26"/>
      <c r="B120" s="40"/>
      <c r="C120" s="40"/>
      <c r="D120" s="40"/>
      <c r="E120" s="40"/>
      <c r="F120" s="40"/>
      <c r="G120" s="40"/>
      <c r="H120" s="40"/>
      <c r="I120" s="40"/>
      <c r="J120" s="40"/>
      <c r="K120" s="40"/>
    </row>
    <row r="121" spans="1:11">
      <c r="A121" s="26"/>
      <c r="B121" s="40"/>
      <c r="C121" s="40"/>
      <c r="D121" s="40"/>
      <c r="E121" s="40"/>
      <c r="F121" s="40"/>
      <c r="G121" s="40"/>
      <c r="H121" s="40"/>
      <c r="I121" s="40"/>
      <c r="J121" s="40"/>
      <c r="K121" s="40"/>
    </row>
    <row r="122" spans="1:11">
      <c r="A122" s="26"/>
      <c r="B122" s="40"/>
      <c r="C122" s="40"/>
      <c r="D122" s="40"/>
      <c r="E122" s="40"/>
      <c r="F122" s="40"/>
      <c r="G122" s="40"/>
      <c r="H122" s="40"/>
      <c r="I122" s="40"/>
      <c r="J122" s="40"/>
      <c r="K122" s="40"/>
    </row>
    <row r="123" spans="1:11">
      <c r="A123" s="26"/>
      <c r="B123" s="40"/>
      <c r="C123" s="40"/>
      <c r="D123" s="40"/>
      <c r="E123" s="40"/>
      <c r="F123" s="40"/>
      <c r="G123" s="40"/>
      <c r="H123" s="40"/>
      <c r="I123" s="40"/>
      <c r="J123" s="40"/>
      <c r="K123" s="40"/>
    </row>
    <row r="124" spans="1:11">
      <c r="A124" s="26"/>
      <c r="B124" s="40"/>
      <c r="C124" s="40"/>
      <c r="D124" s="40"/>
      <c r="E124" s="40"/>
      <c r="F124" s="40"/>
      <c r="G124" s="40"/>
      <c r="H124" s="40"/>
      <c r="I124" s="40"/>
      <c r="J124" s="40"/>
      <c r="K124" s="40"/>
    </row>
    <row r="125" spans="1:11">
      <c r="A125" s="26"/>
      <c r="B125" s="40"/>
      <c r="C125" s="40"/>
      <c r="D125" s="40"/>
      <c r="E125" s="40"/>
      <c r="F125" s="40"/>
      <c r="G125" s="40"/>
      <c r="H125" s="40"/>
      <c r="I125" s="40"/>
      <c r="J125" s="40"/>
      <c r="K125" s="40"/>
    </row>
    <row r="126" spans="1:11">
      <c r="A126" s="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</row>
    <row r="127" spans="1:11">
      <c r="A127" s="26"/>
      <c r="B127" s="40"/>
      <c r="C127" s="40"/>
      <c r="D127" s="40"/>
      <c r="E127" s="40"/>
      <c r="F127" s="40"/>
      <c r="G127" s="40"/>
      <c r="H127" s="40"/>
      <c r="I127" s="40"/>
      <c r="J127" s="40"/>
      <c r="K127" s="40"/>
    </row>
    <row r="128" spans="1:11">
      <c r="A128" s="26"/>
      <c r="B128" s="40"/>
      <c r="C128" s="40"/>
      <c r="D128" s="40"/>
      <c r="E128" s="40"/>
      <c r="F128" s="40"/>
      <c r="G128" s="40"/>
      <c r="H128" s="40"/>
      <c r="I128" s="40"/>
      <c r="J128" s="40"/>
      <c r="K128" s="40"/>
    </row>
    <row r="129" spans="1:11">
      <c r="A129" s="26"/>
      <c r="B129" s="40"/>
      <c r="C129" s="40"/>
      <c r="D129" s="40"/>
      <c r="E129" s="40"/>
      <c r="F129" s="40"/>
      <c r="G129" s="40"/>
      <c r="H129" s="40"/>
      <c r="I129" s="40"/>
      <c r="J129" s="40"/>
      <c r="K129" s="40"/>
    </row>
    <row r="130" spans="1:11">
      <c r="A130" s="26"/>
      <c r="B130" s="40"/>
      <c r="C130" s="40"/>
      <c r="D130" s="40"/>
      <c r="E130" s="40"/>
      <c r="F130" s="40"/>
      <c r="G130" s="40"/>
      <c r="H130" s="40"/>
      <c r="I130" s="40"/>
      <c r="J130" s="40"/>
      <c r="K130" s="40"/>
    </row>
    <row r="131" spans="1:11">
      <c r="A131" s="26"/>
      <c r="B131" s="40"/>
      <c r="C131" s="40"/>
      <c r="D131" s="40"/>
      <c r="E131" s="40"/>
      <c r="F131" s="40"/>
      <c r="G131" s="40"/>
      <c r="H131" s="40"/>
      <c r="I131" s="40"/>
      <c r="J131" s="40"/>
      <c r="K131" s="40"/>
    </row>
    <row r="132" spans="1:11">
      <c r="A132" s="26"/>
      <c r="B132" s="40"/>
      <c r="C132" s="40"/>
      <c r="D132" s="40"/>
      <c r="E132" s="40"/>
      <c r="F132" s="40"/>
      <c r="G132" s="40"/>
      <c r="H132" s="40"/>
      <c r="I132" s="40"/>
      <c r="J132" s="40"/>
      <c r="K132" s="40"/>
    </row>
    <row r="133" spans="1:11">
      <c r="A133" s="26"/>
      <c r="B133" s="40"/>
      <c r="C133" s="40"/>
      <c r="D133" s="40"/>
      <c r="E133" s="40"/>
      <c r="F133" s="40"/>
      <c r="G133" s="40"/>
      <c r="H133" s="40"/>
      <c r="I133" s="40"/>
      <c r="J133" s="40"/>
      <c r="K133" s="40"/>
    </row>
    <row r="134" spans="1:11">
      <c r="A134" s="26"/>
      <c r="B134" s="40"/>
      <c r="C134" s="40"/>
      <c r="D134" s="40"/>
      <c r="E134" s="40"/>
      <c r="F134" s="40"/>
      <c r="G134" s="40"/>
      <c r="H134" s="40"/>
      <c r="I134" s="40"/>
      <c r="J134" s="40"/>
      <c r="K134" s="40"/>
    </row>
    <row r="135" spans="1:11">
      <c r="A135" s="26"/>
      <c r="B135" s="40"/>
      <c r="C135" s="40"/>
      <c r="D135" s="40"/>
      <c r="E135" s="40"/>
      <c r="F135" s="40"/>
      <c r="G135" s="40"/>
      <c r="H135" s="40"/>
      <c r="I135" s="40"/>
      <c r="J135" s="40"/>
      <c r="K135" s="40"/>
    </row>
    <row r="136" spans="1:11">
      <c r="A136" s="26"/>
      <c r="B136" s="40"/>
      <c r="C136" s="40"/>
      <c r="D136" s="40"/>
      <c r="E136" s="40"/>
      <c r="F136" s="40"/>
      <c r="G136" s="40"/>
      <c r="H136" s="40"/>
      <c r="I136" s="40"/>
      <c r="J136" s="40"/>
      <c r="K136" s="40"/>
    </row>
    <row r="137" spans="1:11">
      <c r="A137" s="26"/>
      <c r="B137" s="40"/>
      <c r="C137" s="40"/>
      <c r="D137" s="40"/>
      <c r="E137" s="40"/>
      <c r="F137" s="40"/>
      <c r="G137" s="40"/>
      <c r="H137" s="40"/>
      <c r="I137" s="40"/>
      <c r="J137" s="40"/>
      <c r="K137" s="40"/>
    </row>
    <row r="138" spans="1:11">
      <c r="A138" s="26"/>
      <c r="B138" s="40"/>
      <c r="C138" s="40"/>
      <c r="D138" s="40"/>
      <c r="E138" s="40"/>
      <c r="F138" s="40"/>
      <c r="G138" s="40"/>
      <c r="H138" s="40"/>
      <c r="I138" s="40"/>
      <c r="J138" s="40"/>
      <c r="K138" s="40"/>
    </row>
    <row r="139" spans="1:11">
      <c r="A139" s="26"/>
      <c r="B139" s="40"/>
      <c r="C139" s="40"/>
      <c r="D139" s="40"/>
      <c r="E139" s="40"/>
      <c r="F139" s="40"/>
      <c r="G139" s="40"/>
      <c r="H139" s="40"/>
      <c r="I139" s="40"/>
      <c r="J139" s="40"/>
      <c r="K139" s="40"/>
    </row>
    <row r="140" spans="1:11">
      <c r="A140" s="26"/>
      <c r="B140" s="40"/>
      <c r="C140" s="40"/>
      <c r="D140" s="40"/>
      <c r="E140" s="40"/>
      <c r="F140" s="40"/>
      <c r="G140" s="40"/>
      <c r="H140" s="40"/>
      <c r="I140" s="40"/>
      <c r="J140" s="40"/>
      <c r="K140" s="40"/>
    </row>
    <row r="141" spans="1:11">
      <c r="A141" s="26"/>
      <c r="B141" s="40"/>
      <c r="C141" s="40"/>
      <c r="D141" s="40"/>
      <c r="E141" s="40"/>
      <c r="F141" s="40"/>
      <c r="G141" s="40"/>
      <c r="H141" s="40"/>
      <c r="I141" s="40"/>
      <c r="J141" s="40"/>
      <c r="K141" s="40"/>
    </row>
    <row r="142" spans="1:11">
      <c r="A142" s="26"/>
      <c r="B142" s="40"/>
      <c r="C142" s="40"/>
      <c r="D142" s="40"/>
      <c r="E142" s="40"/>
      <c r="F142" s="40"/>
      <c r="G142" s="40"/>
      <c r="H142" s="40"/>
      <c r="I142" s="40"/>
      <c r="J142" s="40"/>
      <c r="K142" s="40"/>
    </row>
    <row r="143" spans="1:11">
      <c r="A143" s="26"/>
      <c r="B143" s="40"/>
      <c r="C143" s="40"/>
      <c r="D143" s="40"/>
      <c r="E143" s="40"/>
      <c r="F143" s="40"/>
      <c r="G143" s="40"/>
      <c r="H143" s="40"/>
      <c r="I143" s="40"/>
      <c r="J143" s="40"/>
      <c r="K143" s="40"/>
    </row>
    <row r="144" spans="1:11">
      <c r="A144" s="26"/>
      <c r="B144" s="40"/>
      <c r="C144" s="40"/>
      <c r="D144" s="40"/>
      <c r="E144" s="40"/>
      <c r="F144" s="40"/>
      <c r="G144" s="40"/>
      <c r="H144" s="40"/>
      <c r="I144" s="40"/>
      <c r="J144" s="40"/>
      <c r="K144" s="40"/>
    </row>
    <row r="145" spans="1:11">
      <c r="A145" s="26"/>
      <c r="B145" s="40"/>
      <c r="C145" s="40"/>
      <c r="D145" s="40"/>
      <c r="E145" s="40"/>
      <c r="F145" s="40"/>
      <c r="G145" s="40"/>
      <c r="H145" s="40"/>
      <c r="I145" s="40"/>
      <c r="J145" s="40"/>
      <c r="K145" s="40"/>
    </row>
    <row r="146" spans="1:11">
      <c r="A146" s="26"/>
      <c r="B146" s="40"/>
      <c r="C146" s="40"/>
      <c r="D146" s="40"/>
      <c r="E146" s="40"/>
      <c r="F146" s="40"/>
      <c r="G146" s="40"/>
      <c r="H146" s="40"/>
      <c r="I146" s="40"/>
      <c r="J146" s="40"/>
      <c r="K146" s="40"/>
    </row>
    <row r="147" spans="1:11">
      <c r="A147" s="26"/>
      <c r="B147" s="40"/>
      <c r="C147" s="40"/>
      <c r="D147" s="40"/>
      <c r="E147" s="40"/>
      <c r="F147" s="40"/>
      <c r="G147" s="40"/>
      <c r="H147" s="40"/>
      <c r="I147" s="40"/>
      <c r="J147" s="40"/>
      <c r="K147" s="40"/>
    </row>
    <row r="148" spans="1:11">
      <c r="A148" s="26"/>
      <c r="B148" s="40"/>
      <c r="C148" s="40"/>
      <c r="D148" s="40"/>
      <c r="E148" s="40"/>
      <c r="F148" s="40"/>
      <c r="G148" s="40"/>
      <c r="H148" s="40"/>
      <c r="I148" s="40"/>
      <c r="J148" s="40"/>
      <c r="K148" s="40"/>
    </row>
    <row r="149" spans="1:11">
      <c r="A149" s="26"/>
      <c r="B149" s="40"/>
      <c r="C149" s="40"/>
      <c r="D149" s="40"/>
      <c r="E149" s="40"/>
      <c r="F149" s="40"/>
      <c r="G149" s="40"/>
      <c r="H149" s="40"/>
      <c r="I149" s="40"/>
      <c r="J149" s="40"/>
      <c r="K149" s="40"/>
    </row>
    <row r="150" spans="1:11">
      <c r="A150" s="26"/>
      <c r="B150" s="40"/>
      <c r="C150" s="40"/>
      <c r="D150" s="40"/>
      <c r="E150" s="40"/>
      <c r="F150" s="40"/>
      <c r="G150" s="40"/>
      <c r="H150" s="40"/>
      <c r="I150" s="40"/>
      <c r="J150" s="40"/>
      <c r="K150" s="40"/>
    </row>
    <row r="151" spans="1:11">
      <c r="A151" s="26"/>
      <c r="B151" s="40"/>
      <c r="C151" s="40"/>
      <c r="D151" s="40"/>
      <c r="E151" s="40"/>
      <c r="F151" s="40"/>
      <c r="G151" s="40"/>
      <c r="H151" s="40"/>
      <c r="I151" s="40"/>
      <c r="J151" s="40"/>
      <c r="K151" s="40"/>
    </row>
    <row r="152" spans="1:11">
      <c r="A152" s="26"/>
      <c r="B152" s="40"/>
      <c r="C152" s="40"/>
      <c r="D152" s="40"/>
      <c r="E152" s="40"/>
      <c r="F152" s="40"/>
      <c r="G152" s="40"/>
      <c r="H152" s="40"/>
      <c r="I152" s="40"/>
      <c r="J152" s="40"/>
      <c r="K152" s="40"/>
    </row>
    <row r="153" spans="1:11">
      <c r="A153" s="26"/>
      <c r="B153" s="40"/>
      <c r="C153" s="40"/>
      <c r="D153" s="40"/>
      <c r="E153" s="40"/>
      <c r="F153" s="40"/>
      <c r="G153" s="40"/>
      <c r="H153" s="40"/>
      <c r="I153" s="40"/>
      <c r="J153" s="40"/>
      <c r="K153" s="40"/>
    </row>
    <row r="154" spans="1:11">
      <c r="A154" s="26"/>
      <c r="B154" s="40"/>
      <c r="C154" s="40"/>
      <c r="D154" s="40"/>
      <c r="E154" s="40"/>
      <c r="F154" s="40"/>
      <c r="G154" s="40"/>
      <c r="H154" s="40"/>
      <c r="I154" s="40"/>
      <c r="J154" s="40"/>
      <c r="K154" s="40"/>
    </row>
    <row r="155" spans="1:11">
      <c r="A155" s="26"/>
      <c r="B155" s="40"/>
      <c r="C155" s="40"/>
      <c r="D155" s="40"/>
      <c r="E155" s="40"/>
      <c r="F155" s="40"/>
      <c r="G155" s="40"/>
      <c r="H155" s="40"/>
      <c r="I155" s="40"/>
      <c r="J155" s="40"/>
      <c r="K155" s="40"/>
    </row>
    <row r="156" spans="1:11">
      <c r="A156" s="26"/>
      <c r="B156" s="40"/>
      <c r="C156" s="40"/>
      <c r="D156" s="40"/>
      <c r="E156" s="40"/>
      <c r="F156" s="40"/>
      <c r="G156" s="40"/>
      <c r="H156" s="40"/>
      <c r="I156" s="40"/>
      <c r="J156" s="40"/>
      <c r="K156" s="40"/>
    </row>
    <row r="157" spans="1:11">
      <c r="A157" s="26"/>
      <c r="B157" s="40"/>
      <c r="C157" s="40"/>
      <c r="D157" s="40"/>
      <c r="E157" s="40"/>
      <c r="F157" s="40"/>
      <c r="G157" s="40"/>
      <c r="H157" s="40"/>
      <c r="I157" s="40"/>
      <c r="J157" s="40"/>
      <c r="K157" s="40"/>
    </row>
    <row r="158" spans="1:11">
      <c r="A158" s="26"/>
      <c r="B158" s="40"/>
      <c r="C158" s="40"/>
      <c r="D158" s="40"/>
      <c r="E158" s="40"/>
      <c r="F158" s="40"/>
      <c r="G158" s="40"/>
      <c r="H158" s="40"/>
      <c r="I158" s="40"/>
      <c r="J158" s="40"/>
      <c r="K158" s="40"/>
    </row>
    <row r="159" spans="1:11">
      <c r="A159" s="26"/>
      <c r="B159" s="40"/>
      <c r="C159" s="40"/>
      <c r="D159" s="40"/>
      <c r="E159" s="40"/>
      <c r="F159" s="40"/>
      <c r="G159" s="40"/>
      <c r="H159" s="40"/>
      <c r="I159" s="40"/>
      <c r="J159" s="40"/>
      <c r="K159" s="40"/>
    </row>
    <row r="160" spans="1:11">
      <c r="A160" s="26"/>
      <c r="B160" s="40"/>
      <c r="C160" s="40"/>
      <c r="D160" s="40"/>
      <c r="E160" s="40"/>
      <c r="F160" s="40"/>
      <c r="G160" s="40"/>
      <c r="H160" s="40"/>
      <c r="I160" s="40"/>
      <c r="J160" s="40"/>
      <c r="K160" s="40"/>
    </row>
    <row r="161" spans="1:11">
      <c r="A161" s="26"/>
      <c r="B161" s="40"/>
      <c r="C161" s="40"/>
      <c r="D161" s="40"/>
      <c r="E161" s="40"/>
      <c r="F161" s="40"/>
      <c r="G161" s="40"/>
      <c r="H161" s="40"/>
      <c r="I161" s="40"/>
      <c r="J161" s="40"/>
      <c r="K161" s="40"/>
    </row>
    <row r="162" spans="1:11">
      <c r="A162" s="26"/>
      <c r="B162" s="40"/>
      <c r="C162" s="40"/>
      <c r="D162" s="40"/>
      <c r="E162" s="40"/>
      <c r="F162" s="40"/>
      <c r="G162" s="40"/>
      <c r="H162" s="40"/>
      <c r="I162" s="40"/>
      <c r="J162" s="40"/>
      <c r="K162" s="40"/>
    </row>
    <row r="163" spans="1:11">
      <c r="A163" s="26"/>
      <c r="B163" s="40"/>
      <c r="C163" s="40"/>
      <c r="D163" s="40"/>
      <c r="E163" s="40"/>
      <c r="F163" s="40"/>
      <c r="G163" s="40"/>
      <c r="H163" s="40"/>
      <c r="I163" s="40"/>
      <c r="J163" s="40"/>
      <c r="K163" s="40"/>
    </row>
    <row r="164" spans="1:11">
      <c r="A164" s="26"/>
      <c r="B164" s="40"/>
      <c r="C164" s="40"/>
      <c r="D164" s="40"/>
      <c r="E164" s="40"/>
      <c r="F164" s="40"/>
      <c r="G164" s="40"/>
      <c r="H164" s="40"/>
      <c r="I164" s="40"/>
      <c r="J164" s="40"/>
      <c r="K164" s="40"/>
    </row>
    <row r="165" spans="1:11">
      <c r="A165" s="26"/>
      <c r="B165" s="40"/>
      <c r="C165" s="40"/>
      <c r="D165" s="40"/>
      <c r="E165" s="40"/>
      <c r="F165" s="40"/>
      <c r="G165" s="40"/>
      <c r="H165" s="40"/>
      <c r="I165" s="40"/>
      <c r="J165" s="40"/>
      <c r="K165" s="40"/>
    </row>
    <row r="166" spans="1:11">
      <c r="A166" s="26"/>
      <c r="B166" s="40"/>
      <c r="C166" s="40"/>
      <c r="D166" s="40"/>
      <c r="E166" s="40"/>
      <c r="F166" s="40"/>
      <c r="G166" s="40"/>
      <c r="H166" s="40"/>
      <c r="I166" s="40"/>
      <c r="J166" s="40"/>
      <c r="K166" s="40"/>
    </row>
    <row r="167" spans="1:11">
      <c r="A167" s="26"/>
      <c r="B167" s="40"/>
      <c r="C167" s="40"/>
      <c r="D167" s="40"/>
      <c r="E167" s="40"/>
      <c r="F167" s="40"/>
      <c r="G167" s="40"/>
      <c r="H167" s="40"/>
      <c r="I167" s="40"/>
      <c r="J167" s="40"/>
      <c r="K167" s="40"/>
    </row>
    <row r="168" spans="1:11">
      <c r="A168" s="26"/>
      <c r="B168" s="40"/>
      <c r="C168" s="40"/>
      <c r="D168" s="40"/>
      <c r="E168" s="40"/>
      <c r="F168" s="40"/>
      <c r="G168" s="40"/>
      <c r="H168" s="40"/>
      <c r="I168" s="40"/>
      <c r="J168" s="40"/>
      <c r="K168" s="40"/>
    </row>
    <row r="169" spans="1:11">
      <c r="A169" s="26"/>
      <c r="B169" s="40"/>
      <c r="C169" s="40"/>
      <c r="D169" s="40"/>
      <c r="E169" s="40"/>
      <c r="F169" s="40"/>
      <c r="G169" s="40"/>
      <c r="H169" s="40"/>
      <c r="I169" s="40"/>
      <c r="J169" s="40"/>
      <c r="K169" s="40"/>
    </row>
    <row r="170" spans="1:11">
      <c r="A170" s="26"/>
      <c r="B170" s="40"/>
      <c r="C170" s="40"/>
      <c r="D170" s="40"/>
      <c r="E170" s="40"/>
      <c r="F170" s="40"/>
      <c r="G170" s="40"/>
      <c r="H170" s="40"/>
      <c r="I170" s="40"/>
      <c r="J170" s="40"/>
      <c r="K170" s="40"/>
    </row>
    <row r="171" spans="1:11">
      <c r="A171" s="26"/>
      <c r="B171" s="40"/>
      <c r="C171" s="40"/>
      <c r="D171" s="40"/>
      <c r="E171" s="40"/>
      <c r="F171" s="40"/>
      <c r="G171" s="40"/>
      <c r="H171" s="40"/>
      <c r="I171" s="40"/>
      <c r="J171" s="40"/>
      <c r="K171" s="40"/>
    </row>
    <row r="172" spans="1:11">
      <c r="A172" s="26"/>
      <c r="B172" s="40"/>
      <c r="C172" s="40"/>
      <c r="D172" s="40"/>
      <c r="E172" s="40"/>
      <c r="F172" s="40"/>
      <c r="G172" s="40"/>
      <c r="H172" s="40"/>
      <c r="I172" s="40"/>
      <c r="J172" s="40"/>
      <c r="K172" s="40"/>
    </row>
    <row r="173" spans="1:11">
      <c r="A173" s="26"/>
      <c r="B173" s="40"/>
      <c r="C173" s="40"/>
      <c r="D173" s="40"/>
      <c r="E173" s="40"/>
      <c r="F173" s="40"/>
      <c r="G173" s="40"/>
      <c r="H173" s="40"/>
      <c r="I173" s="40"/>
      <c r="J173" s="40"/>
      <c r="K173" s="40"/>
    </row>
    <row r="174" spans="1:11">
      <c r="A174" s="26"/>
      <c r="B174" s="40"/>
      <c r="C174" s="40"/>
      <c r="D174" s="40"/>
      <c r="E174" s="40"/>
      <c r="F174" s="40"/>
      <c r="G174" s="40"/>
      <c r="H174" s="40"/>
      <c r="I174" s="40"/>
      <c r="J174" s="40"/>
      <c r="K174" s="40"/>
    </row>
    <row r="175" spans="1:11">
      <c r="A175" s="26"/>
      <c r="B175" s="40"/>
      <c r="C175" s="40"/>
      <c r="D175" s="40"/>
      <c r="E175" s="40"/>
      <c r="F175" s="40"/>
      <c r="G175" s="40"/>
      <c r="H175" s="40"/>
      <c r="I175" s="40"/>
      <c r="J175" s="40"/>
      <c r="K175" s="40"/>
    </row>
    <row r="176" spans="1:11">
      <c r="A176" s="26"/>
      <c r="B176" s="40"/>
      <c r="C176" s="40"/>
      <c r="D176" s="40"/>
      <c r="E176" s="40"/>
      <c r="F176" s="40"/>
      <c r="G176" s="40"/>
      <c r="H176" s="40"/>
      <c r="I176" s="40"/>
      <c r="J176" s="40"/>
      <c r="K176" s="40"/>
    </row>
    <row r="177" spans="1:11">
      <c r="A177" s="26"/>
      <c r="B177" s="40"/>
      <c r="C177" s="40"/>
      <c r="D177" s="40"/>
      <c r="E177" s="40"/>
      <c r="F177" s="40"/>
      <c r="G177" s="40"/>
      <c r="H177" s="40"/>
      <c r="I177" s="40"/>
      <c r="J177" s="40"/>
      <c r="K177" s="40"/>
    </row>
    <row r="178" spans="1:11">
      <c r="A178" s="26"/>
      <c r="B178" s="40"/>
      <c r="C178" s="40"/>
      <c r="D178" s="40"/>
      <c r="E178" s="40"/>
      <c r="F178" s="40"/>
      <c r="G178" s="40"/>
      <c r="H178" s="40"/>
      <c r="I178" s="40"/>
      <c r="J178" s="40"/>
      <c r="K178" s="40"/>
    </row>
    <row r="179" spans="1:11">
      <c r="A179" s="26"/>
      <c r="B179" s="40"/>
      <c r="C179" s="40"/>
      <c r="D179" s="40"/>
      <c r="E179" s="40"/>
      <c r="F179" s="40"/>
      <c r="G179" s="40"/>
      <c r="H179" s="40"/>
      <c r="I179" s="40"/>
      <c r="J179" s="40"/>
      <c r="K179" s="40"/>
    </row>
    <row r="180" spans="1:11">
      <c r="A180" s="26"/>
      <c r="B180" s="40"/>
      <c r="C180" s="40"/>
      <c r="D180" s="40"/>
      <c r="E180" s="40"/>
      <c r="F180" s="40"/>
      <c r="G180" s="40"/>
      <c r="H180" s="40"/>
      <c r="I180" s="40"/>
      <c r="J180" s="40"/>
      <c r="K180" s="40"/>
    </row>
    <row r="181" spans="1:11">
      <c r="A181" s="26"/>
      <c r="B181" s="40"/>
      <c r="C181" s="40"/>
      <c r="D181" s="40"/>
      <c r="E181" s="40"/>
      <c r="F181" s="40"/>
      <c r="G181" s="40"/>
      <c r="H181" s="40"/>
      <c r="I181" s="40"/>
      <c r="J181" s="40"/>
      <c r="K181" s="40"/>
    </row>
    <row r="182" spans="1:11">
      <c r="A182" s="26"/>
      <c r="B182" s="40"/>
      <c r="C182" s="40"/>
      <c r="D182" s="40"/>
      <c r="E182" s="40"/>
      <c r="F182" s="40"/>
      <c r="G182" s="40"/>
      <c r="H182" s="40"/>
      <c r="I182" s="40"/>
      <c r="J182" s="40"/>
      <c r="K182" s="40"/>
    </row>
    <row r="183" spans="1:11">
      <c r="A183" s="26"/>
      <c r="B183" s="40"/>
      <c r="C183" s="40"/>
      <c r="D183" s="40"/>
      <c r="E183" s="40"/>
      <c r="F183" s="40"/>
      <c r="G183" s="40"/>
      <c r="H183" s="40"/>
      <c r="I183" s="40"/>
      <c r="J183" s="40"/>
      <c r="K183" s="40"/>
    </row>
    <row r="184" spans="1:11">
      <c r="A184" s="26"/>
      <c r="B184" s="40"/>
      <c r="C184" s="40"/>
      <c r="D184" s="40"/>
      <c r="E184" s="40"/>
      <c r="F184" s="40"/>
      <c r="G184" s="40"/>
      <c r="H184" s="40"/>
      <c r="I184" s="40"/>
      <c r="J184" s="40"/>
      <c r="K184" s="40"/>
    </row>
    <row r="185" spans="1:11">
      <c r="A185" s="26"/>
      <c r="B185" s="40"/>
      <c r="C185" s="40"/>
      <c r="D185" s="40"/>
      <c r="E185" s="40"/>
      <c r="F185" s="40"/>
      <c r="G185" s="40"/>
      <c r="H185" s="40"/>
      <c r="I185" s="40"/>
      <c r="J185" s="40"/>
      <c r="K185" s="40"/>
    </row>
    <row r="186" spans="1:11">
      <c r="A186" s="26"/>
      <c r="B186" s="40"/>
      <c r="C186" s="40"/>
      <c r="D186" s="40"/>
      <c r="E186" s="40"/>
      <c r="F186" s="40"/>
      <c r="G186" s="40"/>
      <c r="H186" s="40"/>
      <c r="I186" s="40"/>
      <c r="J186" s="40"/>
      <c r="K186" s="40"/>
    </row>
    <row r="187" spans="1:11">
      <c r="A187" s="26"/>
      <c r="B187" s="40"/>
      <c r="C187" s="40"/>
      <c r="D187" s="40"/>
      <c r="E187" s="40"/>
      <c r="F187" s="40"/>
      <c r="G187" s="40"/>
      <c r="H187" s="40"/>
      <c r="I187" s="40"/>
      <c r="J187" s="40"/>
      <c r="K187" s="40"/>
    </row>
    <row r="188" spans="1:11">
      <c r="A188" s="26"/>
      <c r="B188" s="40"/>
      <c r="C188" s="40"/>
      <c r="D188" s="40"/>
      <c r="E188" s="40"/>
      <c r="F188" s="40"/>
      <c r="G188" s="40"/>
      <c r="H188" s="40"/>
      <c r="I188" s="40"/>
      <c r="J188" s="40"/>
      <c r="K188" s="40"/>
    </row>
    <row r="189" spans="1:11">
      <c r="A189" s="26"/>
      <c r="B189" s="40"/>
      <c r="C189" s="40"/>
      <c r="D189" s="40"/>
      <c r="E189" s="40"/>
      <c r="F189" s="40"/>
      <c r="G189" s="40"/>
      <c r="H189" s="40"/>
      <c r="I189" s="40"/>
      <c r="J189" s="40"/>
      <c r="K189" s="40"/>
    </row>
    <row r="190" spans="1:11">
      <c r="A190" s="26"/>
      <c r="B190" s="40"/>
      <c r="C190" s="40"/>
      <c r="D190" s="40"/>
      <c r="E190" s="40"/>
      <c r="F190" s="40"/>
      <c r="G190" s="40"/>
      <c r="H190" s="40"/>
      <c r="I190" s="40"/>
      <c r="J190" s="40"/>
      <c r="K190" s="40"/>
    </row>
    <row r="191" spans="1:11">
      <c r="A191" s="26"/>
      <c r="B191" s="40"/>
      <c r="C191" s="40"/>
      <c r="D191" s="40"/>
      <c r="E191" s="40"/>
      <c r="F191" s="40"/>
      <c r="G191" s="40"/>
      <c r="H191" s="40"/>
      <c r="I191" s="40"/>
      <c r="J191" s="40"/>
      <c r="K191" s="40"/>
    </row>
    <row r="192" spans="1:11">
      <c r="A192" s="26"/>
      <c r="B192" s="40"/>
      <c r="C192" s="40"/>
      <c r="D192" s="40"/>
      <c r="E192" s="40"/>
      <c r="F192" s="40"/>
      <c r="G192" s="40"/>
      <c r="H192" s="40"/>
      <c r="I192" s="40"/>
      <c r="J192" s="40"/>
      <c r="K192" s="40"/>
    </row>
    <row r="193" spans="1:11">
      <c r="A193" s="26"/>
      <c r="B193" s="40"/>
      <c r="C193" s="40"/>
      <c r="D193" s="40"/>
      <c r="E193" s="40"/>
      <c r="F193" s="40"/>
      <c r="G193" s="40"/>
      <c r="H193" s="40"/>
      <c r="I193" s="40"/>
      <c r="J193" s="40"/>
      <c r="K193" s="40"/>
    </row>
    <row r="194" spans="1:11">
      <c r="A194" s="26"/>
      <c r="B194" s="40"/>
      <c r="C194" s="40"/>
      <c r="D194" s="40"/>
      <c r="E194" s="40"/>
      <c r="F194" s="40"/>
      <c r="G194" s="40"/>
      <c r="H194" s="40"/>
      <c r="I194" s="40"/>
      <c r="J194" s="40"/>
      <c r="K194" s="40"/>
    </row>
    <row r="195" spans="1:11">
      <c r="A195" s="26"/>
      <c r="B195" s="40"/>
      <c r="C195" s="40"/>
      <c r="D195" s="40"/>
      <c r="E195" s="40"/>
      <c r="F195" s="40"/>
      <c r="G195" s="40"/>
      <c r="H195" s="40"/>
      <c r="I195" s="40"/>
      <c r="J195" s="40"/>
      <c r="K195" s="40"/>
    </row>
    <row r="196" spans="1:11">
      <c r="A196" s="26"/>
      <c r="B196" s="40"/>
      <c r="C196" s="40"/>
      <c r="D196" s="40"/>
      <c r="E196" s="40"/>
      <c r="F196" s="40"/>
      <c r="G196" s="40"/>
      <c r="H196" s="40"/>
      <c r="I196" s="40"/>
      <c r="J196" s="40"/>
      <c r="K196" s="40"/>
    </row>
    <row r="197" spans="1:11">
      <c r="A197" s="26"/>
      <c r="B197" s="40"/>
      <c r="C197" s="40"/>
      <c r="D197" s="40"/>
      <c r="E197" s="40"/>
      <c r="F197" s="40"/>
      <c r="G197" s="40"/>
      <c r="H197" s="40"/>
      <c r="I197" s="40"/>
      <c r="J197" s="40"/>
      <c r="K197" s="40"/>
    </row>
    <row r="198" spans="1:11">
      <c r="A198" s="26"/>
      <c r="B198" s="40"/>
      <c r="C198" s="40"/>
      <c r="D198" s="40"/>
      <c r="E198" s="40"/>
      <c r="F198" s="40"/>
      <c r="G198" s="40"/>
      <c r="H198" s="40"/>
      <c r="I198" s="40"/>
      <c r="J198" s="40"/>
      <c r="K198" s="40"/>
    </row>
    <row r="199" spans="1:11">
      <c r="A199" s="27"/>
      <c r="B199" s="40"/>
      <c r="C199" s="40"/>
      <c r="D199" s="40"/>
      <c r="E199" s="40"/>
      <c r="F199" s="40"/>
      <c r="G199" s="40"/>
      <c r="H199" s="40"/>
      <c r="I199" s="40"/>
      <c r="J199" s="40"/>
      <c r="K199" s="40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H46"/>
  <sheetViews>
    <sheetView showGridLines="0" zoomScaleNormal="100" zoomScaleSheetLayoutView="130" workbookViewId="0">
      <selection activeCell="A2" sqref="A2"/>
    </sheetView>
  </sheetViews>
  <sheetFormatPr defaultColWidth="9.1640625" defaultRowHeight="10.5"/>
  <cols>
    <col min="1" max="1" width="4" style="59" bestFit="1" customWidth="1"/>
    <col min="2" max="2" width="39" customWidth="1"/>
    <col min="3" max="6" width="10.83203125" customWidth="1"/>
    <col min="7" max="7" width="12.5" customWidth="1"/>
    <col min="8" max="8" width="12.5" style="29" customWidth="1"/>
    <col min="9" max="11" width="9.1640625" style="57" customWidth="1"/>
    <col min="12" max="16384" width="9.1640625" style="57"/>
  </cols>
  <sheetData>
    <row r="1" spans="1:8">
      <c r="C1" s="33" t="s">
        <v>63</v>
      </c>
      <c r="D1" s="33"/>
      <c r="E1" s="33"/>
      <c r="F1" s="33"/>
      <c r="G1" s="33" t="s">
        <v>64</v>
      </c>
      <c r="H1" s="34"/>
    </row>
    <row r="2" spans="1:8" ht="42">
      <c r="A2" s="42" t="s">
        <v>97</v>
      </c>
      <c r="B2" s="32" t="s">
        <v>60</v>
      </c>
      <c r="C2" s="42" t="s">
        <v>90</v>
      </c>
      <c r="D2" s="32" t="s">
        <v>80</v>
      </c>
      <c r="E2" s="32" t="s">
        <v>81</v>
      </c>
      <c r="F2" s="32" t="s">
        <v>86</v>
      </c>
      <c r="G2" s="42" t="s">
        <v>84</v>
      </c>
      <c r="H2" s="52" t="s">
        <v>85</v>
      </c>
    </row>
    <row r="3" spans="1:8" ht="3" customHeight="1">
      <c r="A3" s="43"/>
      <c r="B3" s="30"/>
      <c r="C3" s="30"/>
      <c r="D3" s="30"/>
      <c r="E3" s="30"/>
      <c r="F3" s="31"/>
      <c r="G3" s="31"/>
      <c r="H3" s="31"/>
    </row>
    <row r="4" spans="1:8">
      <c r="A4" s="67"/>
      <c r="B4" s="64" t="s">
        <v>61</v>
      </c>
      <c r="C4" s="61">
        <v>24</v>
      </c>
      <c r="D4" s="47">
        <f ca="1">OFFSET(C$3,MATCH("○",$A$3:$A$23,0)-1,0)/OFFSET(D$3,MATCH("○",$A$3:$A$23,0)-1,0)*$C4</f>
        <v>10.285714285714285</v>
      </c>
      <c r="E4" s="47">
        <f ca="1">D4/8</f>
        <v>1.2857142857142856</v>
      </c>
      <c r="F4" s="48">
        <f t="shared" ref="F4:F22" ca="1" si="0">E4/SUM($E$3:$E$23)</f>
        <v>0.32286995515695066</v>
      </c>
      <c r="G4" s="66">
        <v>0</v>
      </c>
      <c r="H4" s="48">
        <f t="shared" ref="H4" ca="1" si="1">F4*G4</f>
        <v>0</v>
      </c>
    </row>
    <row r="5" spans="1:8">
      <c r="A5" s="67"/>
      <c r="B5" s="64" t="s">
        <v>62</v>
      </c>
      <c r="C5" s="62">
        <v>18</v>
      </c>
      <c r="D5" s="47">
        <f ca="1">OFFSET(C$3,MATCH("○",$A$3:$A$23,0)-1,0)/OFFSET(D$3,MATCH("○",$A$3:$A$23,0)-1,0)*$C5</f>
        <v>7.7142857142857135</v>
      </c>
      <c r="E5" s="47">
        <f t="shared" ref="E5:E22" ca="1" si="2">D5/8</f>
        <v>0.96428571428571419</v>
      </c>
      <c r="F5" s="48">
        <f t="shared" ca="1" si="0"/>
        <v>0.24215246636771301</v>
      </c>
      <c r="G5" s="66">
        <v>0</v>
      </c>
      <c r="H5" s="48">
        <f ca="1">F5*G5</f>
        <v>0</v>
      </c>
    </row>
    <row r="6" spans="1:8">
      <c r="A6" s="70"/>
      <c r="B6" s="65" t="s">
        <v>65</v>
      </c>
      <c r="C6" s="61">
        <v>10</v>
      </c>
      <c r="D6" s="47">
        <f ca="1">OFFSET(C$3,MATCH("○",$A$3:$A$23,0)-1,0)/OFFSET(D$3,MATCH("○",$A$3:$A$23,0)-1,0)*$C6</f>
        <v>4.2857142857142856</v>
      </c>
      <c r="E6" s="47">
        <f ca="1">D6/8</f>
        <v>0.5357142857142857</v>
      </c>
      <c r="F6" s="49">
        <f t="shared" ca="1" si="0"/>
        <v>0.13452914798206278</v>
      </c>
      <c r="G6" s="66">
        <v>0</v>
      </c>
      <c r="H6" s="48">
        <f t="shared" ref="H6:H22" ca="1" si="3">F6*G6</f>
        <v>0</v>
      </c>
    </row>
    <row r="7" spans="1:8">
      <c r="A7" s="67" t="s">
        <v>96</v>
      </c>
      <c r="B7" s="64" t="s">
        <v>82</v>
      </c>
      <c r="C7" s="61">
        <v>3</v>
      </c>
      <c r="D7" s="61">
        <v>7</v>
      </c>
      <c r="E7" s="47">
        <f>D7/8</f>
        <v>0.875</v>
      </c>
      <c r="F7" s="48">
        <f t="shared" ca="1" si="0"/>
        <v>0.2197309417040359</v>
      </c>
      <c r="G7" s="66">
        <v>0</v>
      </c>
      <c r="H7" s="48">
        <f ca="1">F7*G7</f>
        <v>0</v>
      </c>
    </row>
    <row r="8" spans="1:8">
      <c r="A8" s="67"/>
      <c r="B8" s="64" t="s">
        <v>66</v>
      </c>
      <c r="C8" s="63">
        <v>6</v>
      </c>
      <c r="D8" s="47">
        <f t="shared" ref="D8:D22" ca="1" si="4">OFFSET(C$3,MATCH("○",$A$3:$A$23,0)-1,0)/OFFSET(D$3,MATCH("○",$A$3:$A$23,0)-1,0)*$C8</f>
        <v>2.5714285714285712</v>
      </c>
      <c r="E8" s="47">
        <f t="shared" ca="1" si="2"/>
        <v>0.3214285714285714</v>
      </c>
      <c r="F8" s="48">
        <f t="shared" ca="1" si="0"/>
        <v>8.0717488789237665E-2</v>
      </c>
      <c r="G8" s="66">
        <v>1</v>
      </c>
      <c r="H8" s="48">
        <f t="shared" ca="1" si="3"/>
        <v>8.0717488789237665E-2</v>
      </c>
    </row>
    <row r="9" spans="1:8">
      <c r="A9" s="67"/>
      <c r="B9" s="64"/>
      <c r="C9" s="61">
        <v>0</v>
      </c>
      <c r="D9" s="47">
        <f t="shared" ca="1" si="4"/>
        <v>0</v>
      </c>
      <c r="E9" s="47">
        <f t="shared" ca="1" si="2"/>
        <v>0</v>
      </c>
      <c r="F9" s="48">
        <f t="shared" ca="1" si="0"/>
        <v>0</v>
      </c>
      <c r="G9" s="66">
        <v>0</v>
      </c>
      <c r="H9" s="48">
        <f t="shared" ref="H9:H21" ca="1" si="5">F9*G9</f>
        <v>0</v>
      </c>
    </row>
    <row r="10" spans="1:8">
      <c r="A10" s="67"/>
      <c r="B10" s="64"/>
      <c r="C10" s="61">
        <v>0</v>
      </c>
      <c r="D10" s="47">
        <f t="shared" ca="1" si="4"/>
        <v>0</v>
      </c>
      <c r="E10" s="47">
        <f t="shared" ca="1" si="2"/>
        <v>0</v>
      </c>
      <c r="F10" s="48">
        <f t="shared" ca="1" si="0"/>
        <v>0</v>
      </c>
      <c r="G10" s="66">
        <v>0</v>
      </c>
      <c r="H10" s="48">
        <f t="shared" ca="1" si="5"/>
        <v>0</v>
      </c>
    </row>
    <row r="11" spans="1:8">
      <c r="A11" s="67"/>
      <c r="B11" s="64"/>
      <c r="C11" s="61">
        <v>0</v>
      </c>
      <c r="D11" s="47">
        <f t="shared" ca="1" si="4"/>
        <v>0</v>
      </c>
      <c r="E11" s="47">
        <f t="shared" ca="1" si="2"/>
        <v>0</v>
      </c>
      <c r="F11" s="48">
        <f t="shared" ca="1" si="0"/>
        <v>0</v>
      </c>
      <c r="G11" s="66">
        <v>0</v>
      </c>
      <c r="H11" s="48">
        <f t="shared" ca="1" si="5"/>
        <v>0</v>
      </c>
    </row>
    <row r="12" spans="1:8">
      <c r="A12" s="67"/>
      <c r="B12" s="64"/>
      <c r="C12" s="61">
        <v>0</v>
      </c>
      <c r="D12" s="47">
        <f t="shared" ca="1" si="4"/>
        <v>0</v>
      </c>
      <c r="E12" s="47">
        <f t="shared" ca="1" si="2"/>
        <v>0</v>
      </c>
      <c r="F12" s="48">
        <f t="shared" ca="1" si="0"/>
        <v>0</v>
      </c>
      <c r="G12" s="66">
        <v>0</v>
      </c>
      <c r="H12" s="48">
        <f t="shared" ca="1" si="5"/>
        <v>0</v>
      </c>
    </row>
    <row r="13" spans="1:8">
      <c r="A13" s="67"/>
      <c r="B13" s="64"/>
      <c r="C13" s="61">
        <v>0</v>
      </c>
      <c r="D13" s="47">
        <f t="shared" ca="1" si="4"/>
        <v>0</v>
      </c>
      <c r="E13" s="47">
        <f t="shared" ca="1" si="2"/>
        <v>0</v>
      </c>
      <c r="F13" s="48">
        <f t="shared" ca="1" si="0"/>
        <v>0</v>
      </c>
      <c r="G13" s="66">
        <v>0</v>
      </c>
      <c r="H13" s="48">
        <f t="shared" ca="1" si="5"/>
        <v>0</v>
      </c>
    </row>
    <row r="14" spans="1:8">
      <c r="A14" s="67"/>
      <c r="B14" s="64"/>
      <c r="C14" s="61">
        <v>0</v>
      </c>
      <c r="D14" s="47">
        <f t="shared" ca="1" si="4"/>
        <v>0</v>
      </c>
      <c r="E14" s="47">
        <f t="shared" ca="1" si="2"/>
        <v>0</v>
      </c>
      <c r="F14" s="48">
        <f t="shared" ca="1" si="0"/>
        <v>0</v>
      </c>
      <c r="G14" s="66">
        <v>0</v>
      </c>
      <c r="H14" s="48">
        <f t="shared" ca="1" si="5"/>
        <v>0</v>
      </c>
    </row>
    <row r="15" spans="1:8">
      <c r="A15" s="67"/>
      <c r="B15" s="64"/>
      <c r="C15" s="61">
        <v>0</v>
      </c>
      <c r="D15" s="47">
        <f t="shared" ca="1" si="4"/>
        <v>0</v>
      </c>
      <c r="E15" s="47">
        <f t="shared" ca="1" si="2"/>
        <v>0</v>
      </c>
      <c r="F15" s="48">
        <f t="shared" ca="1" si="0"/>
        <v>0</v>
      </c>
      <c r="G15" s="66">
        <v>0</v>
      </c>
      <c r="H15" s="48">
        <f t="shared" ca="1" si="5"/>
        <v>0</v>
      </c>
    </row>
    <row r="16" spans="1:8">
      <c r="A16" s="67"/>
      <c r="B16" s="64"/>
      <c r="C16" s="61">
        <v>0</v>
      </c>
      <c r="D16" s="47">
        <f t="shared" ca="1" si="4"/>
        <v>0</v>
      </c>
      <c r="E16" s="47">
        <f t="shared" ca="1" si="2"/>
        <v>0</v>
      </c>
      <c r="F16" s="48">
        <f t="shared" ca="1" si="0"/>
        <v>0</v>
      </c>
      <c r="G16" s="66">
        <v>0</v>
      </c>
      <c r="H16" s="48">
        <f t="shared" ca="1" si="5"/>
        <v>0</v>
      </c>
    </row>
    <row r="17" spans="1:8">
      <c r="A17" s="67"/>
      <c r="B17" s="64"/>
      <c r="C17" s="61">
        <v>0</v>
      </c>
      <c r="D17" s="47">
        <f t="shared" ca="1" si="4"/>
        <v>0</v>
      </c>
      <c r="E17" s="47">
        <f t="shared" ca="1" si="2"/>
        <v>0</v>
      </c>
      <c r="F17" s="48">
        <f t="shared" ca="1" si="0"/>
        <v>0</v>
      </c>
      <c r="G17" s="66">
        <v>0</v>
      </c>
      <c r="H17" s="48">
        <f t="shared" ca="1" si="5"/>
        <v>0</v>
      </c>
    </row>
    <row r="18" spans="1:8">
      <c r="A18" s="67"/>
      <c r="B18" s="64"/>
      <c r="C18" s="61">
        <v>0</v>
      </c>
      <c r="D18" s="47">
        <f t="shared" ca="1" si="4"/>
        <v>0</v>
      </c>
      <c r="E18" s="47">
        <f t="shared" ca="1" si="2"/>
        <v>0</v>
      </c>
      <c r="F18" s="48">
        <f t="shared" ca="1" si="0"/>
        <v>0</v>
      </c>
      <c r="G18" s="66">
        <v>0</v>
      </c>
      <c r="H18" s="48">
        <f t="shared" ca="1" si="5"/>
        <v>0</v>
      </c>
    </row>
    <row r="19" spans="1:8">
      <c r="A19" s="67"/>
      <c r="B19" s="64"/>
      <c r="C19" s="61">
        <v>0</v>
      </c>
      <c r="D19" s="47">
        <f t="shared" ca="1" si="4"/>
        <v>0</v>
      </c>
      <c r="E19" s="47">
        <f t="shared" ca="1" si="2"/>
        <v>0</v>
      </c>
      <c r="F19" s="48">
        <f t="shared" ca="1" si="0"/>
        <v>0</v>
      </c>
      <c r="G19" s="66">
        <v>0</v>
      </c>
      <c r="H19" s="48">
        <f t="shared" ca="1" si="5"/>
        <v>0</v>
      </c>
    </row>
    <row r="20" spans="1:8">
      <c r="A20" s="67"/>
      <c r="B20" s="64"/>
      <c r="C20" s="61">
        <v>0</v>
      </c>
      <c r="D20" s="47">
        <f t="shared" ca="1" si="4"/>
        <v>0</v>
      </c>
      <c r="E20" s="47">
        <f t="shared" ca="1" si="2"/>
        <v>0</v>
      </c>
      <c r="F20" s="48">
        <f t="shared" ca="1" si="0"/>
        <v>0</v>
      </c>
      <c r="G20" s="66">
        <v>0</v>
      </c>
      <c r="H20" s="48">
        <f t="shared" ca="1" si="5"/>
        <v>0</v>
      </c>
    </row>
    <row r="21" spans="1:8">
      <c r="A21" s="67"/>
      <c r="B21" s="64"/>
      <c r="C21" s="61">
        <v>0</v>
      </c>
      <c r="D21" s="47">
        <f t="shared" ca="1" si="4"/>
        <v>0</v>
      </c>
      <c r="E21" s="47">
        <f t="shared" ca="1" si="2"/>
        <v>0</v>
      </c>
      <c r="F21" s="48">
        <f t="shared" ca="1" si="0"/>
        <v>0</v>
      </c>
      <c r="G21" s="66">
        <v>0</v>
      </c>
      <c r="H21" s="48">
        <f t="shared" ca="1" si="5"/>
        <v>0</v>
      </c>
    </row>
    <row r="22" spans="1:8">
      <c r="A22" s="67"/>
      <c r="B22" s="64"/>
      <c r="C22" s="61">
        <v>0</v>
      </c>
      <c r="D22" s="47">
        <f t="shared" ca="1" si="4"/>
        <v>0</v>
      </c>
      <c r="E22" s="47">
        <f t="shared" ca="1" si="2"/>
        <v>0</v>
      </c>
      <c r="F22" s="48">
        <f t="shared" ca="1" si="0"/>
        <v>0</v>
      </c>
      <c r="G22" s="66">
        <v>0</v>
      </c>
      <c r="H22" s="48">
        <f t="shared" ca="1" si="3"/>
        <v>0</v>
      </c>
    </row>
    <row r="23" spans="1:8" ht="3" customHeight="1">
      <c r="A23" s="43"/>
      <c r="B23" s="30"/>
      <c r="C23" s="30"/>
      <c r="D23" s="30"/>
      <c r="E23" s="30"/>
      <c r="F23" s="31"/>
      <c r="G23" s="31"/>
      <c r="H23" s="31"/>
    </row>
    <row r="24" spans="1:8">
      <c r="A24" s="41"/>
      <c r="B24" s="41" t="s">
        <v>69</v>
      </c>
      <c r="C24" s="37" t="s">
        <v>68</v>
      </c>
      <c r="D24" s="36">
        <f ca="1">SUM(D3:D23)</f>
        <v>31.857142857142854</v>
      </c>
      <c r="E24" s="36">
        <f ca="1">SUM(E3:E23)</f>
        <v>3.9821428571428568</v>
      </c>
      <c r="F24" s="35">
        <f ca="1">SUM(F3:F23)</f>
        <v>1</v>
      </c>
      <c r="G24" s="37" t="s">
        <v>68</v>
      </c>
      <c r="H24" s="35">
        <f ca="1">SUM(H3:H23)</f>
        <v>8.0717488789237665E-2</v>
      </c>
    </row>
    <row r="25" spans="1:8" ht="5.45" customHeight="1"/>
    <row r="26" spans="1:8">
      <c r="B26" s="69">
        <v>44026</v>
      </c>
      <c r="C26" s="33" t="s">
        <v>83</v>
      </c>
      <c r="D26" s="33"/>
      <c r="E26" s="33"/>
      <c r="F26" s="33" t="s">
        <v>64</v>
      </c>
      <c r="G26" s="33" t="s">
        <v>89</v>
      </c>
      <c r="H26" s="34"/>
    </row>
    <row r="27" spans="1:8" s="58" customFormat="1" ht="21">
      <c r="A27" s="60"/>
      <c r="B27" s="42" t="s">
        <v>72</v>
      </c>
      <c r="C27" s="42" t="s">
        <v>87</v>
      </c>
      <c r="D27" s="42" t="s">
        <v>88</v>
      </c>
      <c r="E27" s="42" t="s">
        <v>67</v>
      </c>
      <c r="F27" s="42" t="s">
        <v>67</v>
      </c>
      <c r="G27" s="42" t="s">
        <v>67</v>
      </c>
      <c r="H27" s="42" t="s">
        <v>80</v>
      </c>
    </row>
    <row r="28" spans="1:8" ht="3" customHeight="1">
      <c r="B28" s="46">
        <f>$B$26</f>
        <v>44026</v>
      </c>
      <c r="C28" s="51"/>
      <c r="D28" s="43"/>
      <c r="E28" s="43"/>
      <c r="F28" s="50"/>
      <c r="G28" s="31"/>
      <c r="H28" s="31"/>
    </row>
    <row r="29" spans="1:8">
      <c r="B29" s="53">
        <f ca="1">OFFSET(B29,-1,0)+1</f>
        <v>44027</v>
      </c>
      <c r="C29" s="68" t="s">
        <v>79</v>
      </c>
      <c r="D29" s="54">
        <f>SUM(C$28:C29)</f>
        <v>0</v>
      </c>
      <c r="E29" s="55" t="str">
        <f t="shared" ref="E29:E45" si="6">IF($C29="-","-",$D29/MAX($D$28:$D$46))</f>
        <v>-</v>
      </c>
      <c r="F29" s="66"/>
      <c r="G29" s="48" t="str">
        <f>IF(F29="","",F29-E29)</f>
        <v/>
      </c>
      <c r="H29" s="56" t="str">
        <f t="shared" ref="H29" si="7">IF(G29="","",MAX($D$28:$D$46)*G29)</f>
        <v/>
      </c>
    </row>
    <row r="30" spans="1:8">
      <c r="B30" s="53">
        <f ca="1">OFFSET(B30,-1,0)+1</f>
        <v>44028</v>
      </c>
      <c r="C30" s="68" t="s">
        <v>68</v>
      </c>
      <c r="D30" s="54">
        <f>SUM(C$28:C30)</f>
        <v>0</v>
      </c>
      <c r="E30" s="55" t="str">
        <f t="shared" si="6"/>
        <v>-</v>
      </c>
      <c r="F30" s="66"/>
      <c r="G30" s="48" t="str">
        <f t="shared" ref="G30:G45" si="8">IF(F30="","",F30-E30)</f>
        <v/>
      </c>
      <c r="H30" s="56" t="str">
        <f>IF(G30="","",MAX($D$28:$D$46)*G30)</f>
        <v/>
      </c>
    </row>
    <row r="31" spans="1:8">
      <c r="B31" s="53">
        <f t="shared" ref="B31:B45" ca="1" si="9">OFFSET(B31,-1,0)+1</f>
        <v>44029</v>
      </c>
      <c r="C31" s="68" t="s">
        <v>68</v>
      </c>
      <c r="D31" s="54">
        <f>SUM(C$28:C31)</f>
        <v>0</v>
      </c>
      <c r="E31" s="55" t="str">
        <f t="shared" si="6"/>
        <v>-</v>
      </c>
      <c r="F31" s="66"/>
      <c r="G31" s="48" t="str">
        <f t="shared" si="8"/>
        <v/>
      </c>
      <c r="H31" s="56" t="str">
        <f t="shared" ref="H31:H45" si="10">IF(G31="","",MAX($D$28:$D$46)*G31)</f>
        <v/>
      </c>
    </row>
    <row r="32" spans="1:8">
      <c r="B32" s="53">
        <f t="shared" ca="1" si="9"/>
        <v>44030</v>
      </c>
      <c r="C32" s="68">
        <v>8</v>
      </c>
      <c r="D32" s="54">
        <f>SUM(C$28:C32)</f>
        <v>8</v>
      </c>
      <c r="E32" s="55">
        <f t="shared" si="6"/>
        <v>0.25</v>
      </c>
      <c r="F32" s="66">
        <v>8.0717488789237707E-2</v>
      </c>
      <c r="G32" s="48">
        <f t="shared" si="8"/>
        <v>-0.16928251121076229</v>
      </c>
      <c r="H32" s="56">
        <f t="shared" si="10"/>
        <v>-5.4170403587443934</v>
      </c>
    </row>
    <row r="33" spans="2:8">
      <c r="B33" s="53">
        <f t="shared" ca="1" si="9"/>
        <v>44031</v>
      </c>
      <c r="C33" s="68">
        <v>8</v>
      </c>
      <c r="D33" s="54">
        <f>SUM(C$28:C33)</f>
        <v>16</v>
      </c>
      <c r="E33" s="55">
        <f t="shared" si="6"/>
        <v>0.5</v>
      </c>
      <c r="F33" s="66">
        <v>0.39</v>
      </c>
      <c r="G33" s="48">
        <f t="shared" si="8"/>
        <v>-0.10999999999999999</v>
      </c>
      <c r="H33" s="56">
        <f t="shared" si="10"/>
        <v>-3.5199999999999996</v>
      </c>
    </row>
    <row r="34" spans="2:8">
      <c r="B34" s="53">
        <f t="shared" ca="1" si="9"/>
        <v>44032</v>
      </c>
      <c r="C34" s="68">
        <v>8</v>
      </c>
      <c r="D34" s="54">
        <f>SUM(C$28:C34)</f>
        <v>24</v>
      </c>
      <c r="E34" s="55">
        <f t="shared" si="6"/>
        <v>0.75</v>
      </c>
      <c r="F34" s="66"/>
      <c r="G34" s="48" t="str">
        <f t="shared" si="8"/>
        <v/>
      </c>
      <c r="H34" s="56" t="str">
        <f t="shared" si="10"/>
        <v/>
      </c>
    </row>
    <row r="35" spans="2:8">
      <c r="B35" s="53">
        <f t="shared" ca="1" si="9"/>
        <v>44033</v>
      </c>
      <c r="C35" s="68">
        <v>8</v>
      </c>
      <c r="D35" s="54">
        <f>SUM(C$28:C35)</f>
        <v>32</v>
      </c>
      <c r="E35" s="55">
        <f t="shared" si="6"/>
        <v>1</v>
      </c>
      <c r="F35" s="66"/>
      <c r="G35" s="48" t="str">
        <f t="shared" si="8"/>
        <v/>
      </c>
      <c r="H35" s="56" t="str">
        <f t="shared" si="10"/>
        <v/>
      </c>
    </row>
    <row r="36" spans="2:8">
      <c r="B36" s="53">
        <f t="shared" ca="1" si="9"/>
        <v>44034</v>
      </c>
      <c r="C36" s="68" t="s">
        <v>68</v>
      </c>
      <c r="D36" s="54">
        <f>SUM(C$28:C36)</f>
        <v>32</v>
      </c>
      <c r="E36" s="55" t="str">
        <f t="shared" si="6"/>
        <v>-</v>
      </c>
      <c r="F36" s="66"/>
      <c r="G36" s="48" t="str">
        <f t="shared" si="8"/>
        <v/>
      </c>
      <c r="H36" s="56" t="str">
        <f t="shared" si="10"/>
        <v/>
      </c>
    </row>
    <row r="37" spans="2:8">
      <c r="B37" s="53">
        <f t="shared" ca="1" si="9"/>
        <v>44035</v>
      </c>
      <c r="C37" s="68" t="s">
        <v>68</v>
      </c>
      <c r="D37" s="54">
        <f>SUM(C$28:C37)</f>
        <v>32</v>
      </c>
      <c r="E37" s="55" t="str">
        <f t="shared" si="6"/>
        <v>-</v>
      </c>
      <c r="F37" s="66"/>
      <c r="G37" s="48" t="str">
        <f t="shared" si="8"/>
        <v/>
      </c>
      <c r="H37" s="56" t="str">
        <f t="shared" si="10"/>
        <v/>
      </c>
    </row>
    <row r="38" spans="2:8">
      <c r="B38" s="53">
        <f t="shared" ca="1" si="9"/>
        <v>44036</v>
      </c>
      <c r="C38" s="68" t="s">
        <v>68</v>
      </c>
      <c r="D38" s="54">
        <f>SUM(C$28:C38)</f>
        <v>32</v>
      </c>
      <c r="E38" s="55" t="str">
        <f t="shared" si="6"/>
        <v>-</v>
      </c>
      <c r="F38" s="66"/>
      <c r="G38" s="48" t="str">
        <f t="shared" si="8"/>
        <v/>
      </c>
      <c r="H38" s="56" t="str">
        <f t="shared" si="10"/>
        <v/>
      </c>
    </row>
    <row r="39" spans="2:8">
      <c r="B39" s="53">
        <f t="shared" ca="1" si="9"/>
        <v>44037</v>
      </c>
      <c r="C39" s="68" t="s">
        <v>68</v>
      </c>
      <c r="D39" s="54">
        <f>SUM(C$28:C39)</f>
        <v>32</v>
      </c>
      <c r="E39" s="55" t="str">
        <f t="shared" si="6"/>
        <v>-</v>
      </c>
      <c r="F39" s="66"/>
      <c r="G39" s="48" t="str">
        <f t="shared" si="8"/>
        <v/>
      </c>
      <c r="H39" s="56" t="str">
        <f t="shared" si="10"/>
        <v/>
      </c>
    </row>
    <row r="40" spans="2:8">
      <c r="B40" s="53">
        <f t="shared" ca="1" si="9"/>
        <v>44038</v>
      </c>
      <c r="C40" s="68" t="s">
        <v>79</v>
      </c>
      <c r="D40" s="54">
        <f>SUM(C$28:C40)</f>
        <v>32</v>
      </c>
      <c r="E40" s="55" t="str">
        <f t="shared" si="6"/>
        <v>-</v>
      </c>
      <c r="F40" s="66"/>
      <c r="G40" s="48" t="str">
        <f t="shared" si="8"/>
        <v/>
      </c>
      <c r="H40" s="56" t="str">
        <f t="shared" si="10"/>
        <v/>
      </c>
    </row>
    <row r="41" spans="2:8">
      <c r="B41" s="53">
        <f t="shared" ca="1" si="9"/>
        <v>44039</v>
      </c>
      <c r="C41" s="68" t="s">
        <v>79</v>
      </c>
      <c r="D41" s="54">
        <f>SUM(C$28:C41)</f>
        <v>32</v>
      </c>
      <c r="E41" s="55" t="str">
        <f t="shared" si="6"/>
        <v>-</v>
      </c>
      <c r="F41" s="66"/>
      <c r="G41" s="48" t="str">
        <f t="shared" si="8"/>
        <v/>
      </c>
      <c r="H41" s="56" t="str">
        <f t="shared" si="10"/>
        <v/>
      </c>
    </row>
    <row r="42" spans="2:8">
      <c r="B42" s="53">
        <f t="shared" ca="1" si="9"/>
        <v>44040</v>
      </c>
      <c r="C42" s="68" t="s">
        <v>79</v>
      </c>
      <c r="D42" s="54">
        <f>SUM(C$28:C42)</f>
        <v>32</v>
      </c>
      <c r="E42" s="55" t="str">
        <f t="shared" si="6"/>
        <v>-</v>
      </c>
      <c r="F42" s="66"/>
      <c r="G42" s="48" t="str">
        <f t="shared" si="8"/>
        <v/>
      </c>
      <c r="H42" s="56" t="str">
        <f t="shared" si="10"/>
        <v/>
      </c>
    </row>
    <row r="43" spans="2:8">
      <c r="B43" s="53">
        <f t="shared" ca="1" si="9"/>
        <v>44041</v>
      </c>
      <c r="C43" s="68" t="s">
        <v>79</v>
      </c>
      <c r="D43" s="54">
        <f>SUM(C$28:C43)</f>
        <v>32</v>
      </c>
      <c r="E43" s="55" t="str">
        <f t="shared" si="6"/>
        <v>-</v>
      </c>
      <c r="F43" s="66"/>
      <c r="G43" s="48" t="str">
        <f t="shared" si="8"/>
        <v/>
      </c>
      <c r="H43" s="56" t="str">
        <f t="shared" si="10"/>
        <v/>
      </c>
    </row>
    <row r="44" spans="2:8">
      <c r="B44" s="53">
        <f t="shared" ca="1" si="9"/>
        <v>44042</v>
      </c>
      <c r="C44" s="68" t="s">
        <v>79</v>
      </c>
      <c r="D44" s="54">
        <f>SUM(C$28:C44)</f>
        <v>32</v>
      </c>
      <c r="E44" s="55" t="str">
        <f t="shared" si="6"/>
        <v>-</v>
      </c>
      <c r="F44" s="66"/>
      <c r="G44" s="48" t="str">
        <f t="shared" si="8"/>
        <v/>
      </c>
      <c r="H44" s="56" t="str">
        <f t="shared" si="10"/>
        <v/>
      </c>
    </row>
    <row r="45" spans="2:8">
      <c r="B45" s="53">
        <f t="shared" ca="1" si="9"/>
        <v>44043</v>
      </c>
      <c r="C45" s="68" t="s">
        <v>79</v>
      </c>
      <c r="D45" s="54">
        <f>SUM(C$28:C45)</f>
        <v>32</v>
      </c>
      <c r="E45" s="55" t="str">
        <f t="shared" si="6"/>
        <v>-</v>
      </c>
      <c r="F45" s="66"/>
      <c r="G45" s="48" t="str">
        <f t="shared" si="8"/>
        <v/>
      </c>
      <c r="H45" s="56" t="str">
        <f t="shared" si="10"/>
        <v/>
      </c>
    </row>
    <row r="46" spans="2:8" ht="3" customHeight="1">
      <c r="B46" s="30"/>
      <c r="C46" s="51"/>
      <c r="D46" s="43"/>
      <c r="E46" s="43"/>
      <c r="F46" s="50"/>
      <c r="G46" s="31"/>
      <c r="H46" s="31"/>
    </row>
  </sheetData>
  <phoneticPr fontId="7"/>
  <conditionalFormatting sqref="B28:H46">
    <cfRule type="expression" dxfId="0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C21" sqref="C2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93</v>
      </c>
      <c r="B19" s="22">
        <v>43945</v>
      </c>
      <c r="C19" s="9" t="s">
        <v>94</v>
      </c>
    </row>
    <row r="20" spans="1:3">
      <c r="A20" s="4" t="s">
        <v>95</v>
      </c>
      <c r="B20" s="22">
        <v>43986</v>
      </c>
      <c r="C20" s="9" t="s">
        <v>98</v>
      </c>
    </row>
    <row r="21" spans="1:3">
      <c r="A21" s="4" t="s">
        <v>99</v>
      </c>
      <c r="B21" s="22">
        <v>44002</v>
      </c>
      <c r="C21" s="9" t="s">
        <v>100</v>
      </c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2020-09-11T05:54:58Z</dcterms:modified>
</cp:coreProperties>
</file>