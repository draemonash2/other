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filterPrivacy="1" codeName="ThisWorkbook" defaultThemeVersion="124226"/>
  <xr:revisionPtr revIDLastSave="0" documentId="13_ncr:1_{7824AD2C-1558-47EE-9EC0-E9D59D8A4148}" xr6:coauthVersionLast="45" xr6:coauthVersionMax="45" xr10:uidLastSave="{00000000-0000-0000-0000-000000000000}"/>
  <bookViews>
    <workbookView xWindow="-108" yWindow="-108" windowWidth="21720" windowHeight="13176" xr2:uid="{00000000-000D-0000-FFFF-FFFF00000000}"/>
  </bookViews>
  <sheets>
    <sheet name="改訂履歴" sheetId="4" r:id="rId1"/>
    <sheet name="SRCパス" sheetId="5" r:id="rId2"/>
    <sheet name="進捗" sheetId="6" r:id="rId3"/>
    <sheet name="MEMO" sheetId="1" r:id="rId4"/>
  </sheets>
  <functionGroups builtInGroupCount="19"/>
  <definedNames>
    <definedName name="_xlnm._FilterDatabase" localSheetId="3" hidden="1">MEMO!$A$11:$V$511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6" l="1"/>
  <c r="F32" i="6" s="1"/>
  <c r="E31" i="6"/>
  <c r="F31" i="6" s="1"/>
  <c r="E30" i="6"/>
  <c r="F30" i="6" s="1"/>
  <c r="E29" i="6"/>
  <c r="F29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F21" i="6" s="1"/>
  <c r="E20" i="6"/>
  <c r="F20" i="6" s="1"/>
  <c r="E19" i="6"/>
  <c r="F19" i="6" s="1"/>
  <c r="E18" i="6"/>
  <c r="F18" i="6" s="1"/>
  <c r="E17" i="6"/>
  <c r="F17" i="6" s="1"/>
  <c r="C16" i="6"/>
  <c r="E16" i="6" s="1"/>
  <c r="F16" i="6" s="1"/>
  <c r="C32" i="6"/>
  <c r="C31" i="6"/>
  <c r="C29" i="6"/>
  <c r="C28" i="6"/>
  <c r="C22" i="6"/>
  <c r="C21" i="6"/>
  <c r="C19" i="6"/>
  <c r="C18" i="6"/>
  <c r="C17" i="6"/>
  <c r="A17" i="6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C26" i="6"/>
  <c r="C27" i="6" l="1"/>
  <c r="C20" i="6"/>
  <c r="C30" i="6"/>
  <c r="C23" i="6"/>
  <c r="C24" i="6"/>
  <c r="C25" i="6"/>
  <c r="C9" i="6"/>
  <c r="C8" i="6"/>
  <c r="C7" i="6"/>
  <c r="C4" i="6"/>
  <c r="C5" i="6"/>
  <c r="D8" i="6" l="1"/>
  <c r="F8" i="6" s="1"/>
  <c r="D7" i="6"/>
  <c r="F7" i="6" s="1"/>
  <c r="C11" i="6"/>
  <c r="D6" i="6"/>
  <c r="D9" i="6"/>
  <c r="D5" i="6"/>
  <c r="D4" i="6"/>
  <c r="D11" i="6" l="1"/>
  <c r="F6" i="6"/>
  <c r="F9" i="6"/>
  <c r="F5" i="6"/>
  <c r="F4" i="6" l="1"/>
  <c r="F11" i="6" s="1"/>
</calcChain>
</file>

<file path=xl/sharedStrings.xml><?xml version="1.0" encoding="utf-8"?>
<sst xmlns="http://schemas.openxmlformats.org/spreadsheetml/2006/main" count="8112" uniqueCount="101">
  <si>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</si>
  <si>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</si>
  <si>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</si>
  <si>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</si>
  <si>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</si>
  <si>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</si>
  <si>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</si>
  <si>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</si>
  <si>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</si>
  <si>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</si>
  <si>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</si>
  <si>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</si>
  <si>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</si>
  <si>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</si>
  <si>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</si>
  <si>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</si>
  <si>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</si>
  <si>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</si>
  <si>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</si>
  <si>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</si>
  <si>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</si>
  <si>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</si>
  <si>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</si>
  <si>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</si>
  <si>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</si>
  <si>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</si>
  <si>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</si>
  <si>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</si>
  <si>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</si>
  <si>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</si>
  <si>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</si>
  <si>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</si>
  <si>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</si>
  <si>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</si>
  <si>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</si>
  <si>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</si>
  <si>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</si>
  <si>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</si>
  <si>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</si>
  <si>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</si>
  <si>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</si>
  <si>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</si>
  <si>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</si>
  <si>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★★★</t>
    <phoneticPr fontId="1"/>
  </si>
  <si>
    <t>★★☆</t>
    <phoneticPr fontId="1"/>
  </si>
  <si>
    <t>★☆☆</t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</si>
  <si>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</si>
  <si>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</si>
  <si>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</si>
  <si>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</si>
  <si>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r>
      <t>*</t>
    </r>
    <r>
      <rPr>
        <sz val="8"/>
        <color theme="1"/>
        <rFont val="ＭＳ ゴシック"/>
        <family val="3"/>
        <charset val="128"/>
      </rPr>
      <t>未</t>
    </r>
    <r>
      <rPr>
        <sz val="8"/>
        <color theme="1"/>
        <rFont val="ＭＳ ゴシック"/>
        <family val="3"/>
        <charset val="128"/>
      </rPr>
      <t>*</t>
    </r>
    <rPh sb="1" eb="2">
      <t>ミ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</si>
  <si>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</si>
  <si>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</si>
  <si>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</si>
  <si>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</si>
  <si>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</si>
  <si>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*未*
*保*</t>
    <phoneticPr fontId="1"/>
  </si>
  <si>
    <t>*保*</t>
    <phoneticPr fontId="1"/>
  </si>
  <si>
    <t>*完*</t>
    <phoneticPr fontId="1"/>
  </si>
  <si>
    <t>MEMO</t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</si>
  <si>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</si>
  <si>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</si>
  <si>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9"/>
  </si>
  <si>
    <t>コピー先</t>
    <rPh sb="3" eb="4">
      <t>サキ</t>
    </rPh>
    <phoneticPr fontId="9"/>
  </si>
  <si>
    <t>相対パス</t>
    <rPh sb="0" eb="2">
      <t>ソウタイ</t>
    </rPh>
    <phoneticPr fontId="9"/>
  </si>
  <si>
    <t>案件名</t>
    <rPh sb="0" eb="2">
      <t>アンケン</t>
    </rPh>
    <rPh sb="2" eb="3">
      <t>メイ</t>
    </rPh>
    <phoneticPr fontId="9"/>
  </si>
  <si>
    <t>1.4.0</t>
    <phoneticPr fontId="1"/>
  </si>
  <si>
    <t>・ソースコードコピーマクロおよび「cpy_src」シート追加</t>
    <rPh sb="28" eb="30">
      <t>ツイカ</t>
    </rPh>
    <phoneticPr fontId="1"/>
  </si>
  <si>
    <r>
      <t>*#</t>
    </r>
    <r>
      <rPr>
        <sz val="8"/>
        <color theme="1"/>
        <rFont val="ＭＳ ゴシック"/>
        <family val="3"/>
        <charset val="128"/>
      </rPr>
      <t>chklst</t>
    </r>
    <r>
      <rPr>
        <sz val="8"/>
        <color theme="1"/>
        <rFont val="ＭＳ ゴシック"/>
        <family val="3"/>
        <charset val="128"/>
      </rPr>
      <t>*</t>
    </r>
    <phoneticPr fontId="1"/>
  </si>
  <si>
    <r>
      <t>*#QA</t>
    </r>
    <r>
      <rPr>
        <sz val="8"/>
        <color theme="1"/>
        <rFont val="ＭＳ ゴシック"/>
        <family val="3"/>
        <charset val="128"/>
      </rPr>
      <t>*</t>
    </r>
    <phoneticPr fontId="1"/>
  </si>
  <si>
    <t>作業</t>
    <rPh sb="0" eb="2">
      <t>サギョウ</t>
    </rPh>
    <phoneticPr fontId="9"/>
  </si>
  <si>
    <t>AAA</t>
    <phoneticPr fontId="9"/>
  </si>
  <si>
    <t>BBB</t>
    <phoneticPr fontId="9"/>
  </si>
  <si>
    <t>見積</t>
    <rPh sb="0" eb="2">
      <t>ミツモリ</t>
    </rPh>
    <phoneticPr fontId="9"/>
  </si>
  <si>
    <t>実績</t>
    <rPh sb="0" eb="2">
      <t>ジッセキ</t>
    </rPh>
    <phoneticPr fontId="9"/>
  </si>
  <si>
    <t>CCC</t>
    <phoneticPr fontId="9"/>
  </si>
  <si>
    <t>DDD</t>
    <phoneticPr fontId="9"/>
  </si>
  <si>
    <t>進捗[%]</t>
    <rPh sb="0" eb="2">
      <t>シンチョク</t>
    </rPh>
    <phoneticPr fontId="9"/>
  </si>
  <si>
    <t>進捗率[%]</t>
    <rPh sb="0" eb="2">
      <t>シンチョク</t>
    </rPh>
    <rPh sb="2" eb="3">
      <t>リツ</t>
    </rPh>
    <phoneticPr fontId="9"/>
  </si>
  <si>
    <t>-</t>
    <phoneticPr fontId="9"/>
  </si>
  <si>
    <t>割合[%]</t>
    <rPh sb="0" eb="2">
      <t>ワリアイ</t>
    </rPh>
    <phoneticPr fontId="9"/>
  </si>
  <si>
    <t>合計</t>
    <rPh sb="0" eb="2">
      <t>ゴウケイ</t>
    </rPh>
    <phoneticPr fontId="9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</si>
  <si>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</si>
  <si>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</si>
  <si>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StoryPoint[pt]</t>
    <phoneticPr fontId="9"/>
  </si>
  <si>
    <t>見積[日]</t>
    <rPh sb="0" eb="2">
      <t>ミツモリ</t>
    </rPh>
    <rPh sb="3" eb="4">
      <t>ニチ</t>
    </rPh>
    <phoneticPr fontId="9"/>
  </si>
  <si>
    <t>〇</t>
    <phoneticPr fontId="9"/>
  </si>
  <si>
    <t>日付</t>
    <rPh sb="0" eb="2">
      <t>ヒヅケ</t>
    </rPh>
    <phoneticPr fontId="9"/>
  </si>
  <si>
    <t>実績[%]</t>
    <rPh sb="0" eb="2">
      <t>ジッセキ</t>
    </rPh>
    <phoneticPr fontId="9"/>
  </si>
  <si>
    <t>予実差分</t>
    <rPh sb="0" eb="2">
      <t>ヨジツ</t>
    </rPh>
    <rPh sb="2" eb="4">
      <t>サブン</t>
    </rPh>
    <phoneticPr fontId="9"/>
  </si>
  <si>
    <t>割合[%]</t>
    <rPh sb="0" eb="2">
      <t>ワリアイ</t>
    </rPh>
    <phoneticPr fontId="9"/>
  </si>
  <si>
    <t>予定[%]</t>
    <rPh sb="0" eb="2">
      <t>ヨテイ</t>
    </rPh>
    <phoneticPr fontId="9"/>
  </si>
  <si>
    <t>工数[日]</t>
    <rPh sb="0" eb="2">
      <t>コウスウ</t>
    </rPh>
    <rPh sb="3" eb="4">
      <t>ニチ</t>
    </rPh>
    <phoneticPr fontId="9"/>
  </si>
  <si>
    <t>出勤日</t>
    <rPh sb="0" eb="2">
      <t>シュッキン</t>
    </rPh>
    <rPh sb="2" eb="3">
      <t>ビ</t>
    </rPh>
    <phoneticPr fontId="9"/>
  </si>
  <si>
    <t>×</t>
    <phoneticPr fontId="9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</si>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</sst>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2" x14ac:knownFonts="1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2" xfId="0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10" fillId="2" borderId="3" xfId="1" applyFont="1" applyFill="1" applyBorder="1">
      <alignment vertical="top"/>
    </xf>
    <xf numFmtId="0" fontId="10" fillId="2" borderId="4" xfId="1" applyFont="1" applyFill="1" applyBorder="1">
      <alignment vertical="top"/>
    </xf>
    <xf numFmtId="3" fontId="0" fillId="0" borderId="2" xfId="0" applyNumberFormat="1" applyFont="1" applyBorder="1" applyAlignment="1">
      <alignment horizontal="center" vertical="top" wrapText="1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180" fontId="0" fillId="0" borderId="2" xfId="0" applyNumberFormat="1" applyBorder="1">
      <alignment vertical="top"/>
    </xf>
    <xf numFmtId="0" fontId="0" fillId="0" borderId="2" xfId="0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2" fillId="0" borderId="0" xfId="1" applyFill="1">
      <alignment vertical="top"/>
    </xf>
    <xf numFmtId="0" fontId="0" fillId="4" borderId="2" xfId="0" applyFill="1" applyBorder="1">
      <alignment vertical="top"/>
    </xf>
    <xf numFmtId="0" fontId="0" fillId="0" borderId="6" xfId="0" applyBorder="1">
      <alignment vertical="top"/>
    </xf>
    <xf numFmtId="180" fontId="0" fillId="4" borderId="7" xfId="0" applyNumberFormat="1" applyFill="1" applyBorder="1">
      <alignment vertical="top"/>
    </xf>
    <xf numFmtId="0" fontId="0" fillId="0" borderId="2" xfId="0" applyBorder="1" applyAlignment="1">
      <alignment horizontal="center" vertical="top"/>
    </xf>
    <xf numFmtId="180" fontId="0" fillId="0" borderId="2" xfId="0" applyNumberFormat="1" applyBorder="1" applyAlignment="1">
      <alignment horizontal="right" vertical="top"/>
    </xf>
    <xf numFmtId="177" fontId="0" fillId="0" borderId="2" xfId="0" applyNumberFormat="1" applyFont="1" applyBorder="1">
      <alignment vertical="top"/>
    </xf>
    <xf numFmtId="181" fontId="0" fillId="0" borderId="2" xfId="0" applyNumberFormat="1" applyBorder="1">
      <alignment vertical="top"/>
    </xf>
    <xf numFmtId="179" fontId="0" fillId="4" borderId="8" xfId="0" applyNumberFormat="1" applyFill="1" applyBorder="1">
      <alignment vertical="top"/>
    </xf>
    <xf numFmtId="179" fontId="0" fillId="4" borderId="9" xfId="0" applyNumberFormat="1" applyFill="1" applyBorder="1">
      <alignment vertical="top"/>
    </xf>
    <xf numFmtId="179" fontId="11" fillId="0" borderId="2" xfId="0" applyNumberFormat="1" applyFont="1" applyBorder="1">
      <alignment vertical="top"/>
    </xf>
    <xf numFmtId="180" fontId="11" fillId="0" borderId="2" xfId="0" applyNumberFormat="1" applyFont="1" applyBorder="1">
      <alignment vertical="top"/>
    </xf>
    <xf numFmtId="179" fontId="11" fillId="0" borderId="8" xfId="0" applyNumberFormat="1" applyFont="1" applyBorder="1">
      <alignment vertical="top"/>
    </xf>
    <xf numFmtId="179" fontId="11" fillId="0" borderId="9" xfId="0" applyNumberFormat="1" applyFont="1" applyBorder="1">
      <alignment vertical="top"/>
    </xf>
    <xf numFmtId="181" fontId="0" fillId="4" borderId="2" xfId="0" applyNumberFormat="1" applyFill="1" applyBorder="1">
      <alignment vertical="top"/>
    </xf>
    <xf numFmtId="177" fontId="0" fillId="4" borderId="2" xfId="0" applyNumberFormat="1" applyFont="1" applyFill="1" applyBorder="1">
      <alignment vertical="top"/>
    </xf>
    <xf numFmtId="0" fontId="0" fillId="4" borderId="0" xfId="0" applyFill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</cellXfs>
  <cellStyles count="2">
    <cellStyle name="標準" xfId="0" builtinId="0" customBuiltin="1"/>
    <cellStyle name="標準 2" xfId="1" xr:uid="{35ABB0CB-344E-4DEC-8669-9E136E673071}"/>
  </cellStyles>
  <dxfs count="95"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9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color theme="9" tint="-0.24994659260841701"/>
      </font>
    </dxf>
    <dxf>
      <font>
        <color rgb="FFFF0000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94"/>
      <tableStyleElement type="headerRow" dxfId="93"/>
    </tableStyle>
    <tableStyle name="テーブル スタイル 3" pivot="0" count="3" xr9:uid="{00000000-0011-0000-FFFF-FFFF01000000}">
      <tableStyleElement type="wholeTable" dxfId="92"/>
      <tableStyleElement type="headerRow" dxfId="91"/>
      <tableStyleElement type="secondRowStripe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541020</xdr:rowOff>
        </xdr:from>
        <xdr:to>
          <xdr:col>1</xdr:col>
          <xdr:colOff>579120</xdr:colOff>
          <xdr:row>10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297180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3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3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10</xdr:row>
          <xdr:rowOff>175260</xdr:rowOff>
        </xdr:from>
        <xdr:to>
          <xdr:col>0</xdr:col>
          <xdr:colOff>228600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182880</xdr:rowOff>
        </xdr:from>
        <xdr:to>
          <xdr:col>3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175260</xdr:rowOff>
        </xdr:from>
        <xdr:to>
          <xdr:col>2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3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358140</xdr:rowOff>
        </xdr:from>
        <xdr:to>
          <xdr:col>2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3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518160</xdr:rowOff>
        </xdr:from>
        <xdr:to>
          <xdr:col>2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3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678180</xdr:rowOff>
        </xdr:from>
        <xdr:to>
          <xdr:col>2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3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548640</xdr:rowOff>
        </xdr:from>
        <xdr:to>
          <xdr:col>3</xdr:col>
          <xdr:colOff>662940</xdr:colOff>
          <xdr:row>10</xdr:row>
          <xdr:rowOff>723900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2</xdr:row>
          <xdr:rowOff>15240</xdr:rowOff>
        </xdr:from>
        <xdr:to>
          <xdr:col>3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3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15240</xdr:rowOff>
        </xdr:from>
        <xdr:to>
          <xdr:col>3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3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15240</xdr:rowOff>
        </xdr:from>
        <xdr:to>
          <xdr:col>3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3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15240</xdr:rowOff>
        </xdr:from>
        <xdr:to>
          <xdr:col>3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3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15240</xdr:rowOff>
        </xdr:from>
        <xdr:to>
          <xdr:col>3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3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15240</xdr:rowOff>
        </xdr:from>
        <xdr:to>
          <xdr:col>3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3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15240</xdr:rowOff>
        </xdr:from>
        <xdr:to>
          <xdr:col>3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3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15240</xdr:rowOff>
        </xdr:from>
        <xdr:to>
          <xdr:col>3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3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3</xdr:row>
          <xdr:rowOff>0</xdr:rowOff>
        </xdr:from>
        <xdr:to>
          <xdr:col>2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3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―――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4</xdr:row>
          <xdr:rowOff>0</xdr:rowOff>
        </xdr:from>
        <xdr:to>
          <xdr:col>2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3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5</xdr:row>
          <xdr:rowOff>0</xdr:rowOff>
        </xdr:from>
        <xdr:to>
          <xdr:col>2</xdr:col>
          <xdr:colOff>449580</xdr:colOff>
          <xdr:row>6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3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6</xdr:row>
          <xdr:rowOff>0</xdr:rowOff>
        </xdr:from>
        <xdr:to>
          <xdr:col>2</xdr:col>
          <xdr:colOff>449580</xdr:colOff>
          <xdr:row>7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3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7</xdr:row>
          <xdr:rowOff>0</xdr:rowOff>
        </xdr:from>
        <xdr:to>
          <xdr:col>2</xdr:col>
          <xdr:colOff>449580</xdr:colOff>
          <xdr:row>8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3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8</xdr:row>
          <xdr:rowOff>0</xdr:rowOff>
        </xdr:from>
        <xdr:to>
          <xdr:col>2</xdr:col>
          <xdr:colOff>449580</xdr:colOff>
          <xdr:row>9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3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9</xdr:row>
          <xdr:rowOff>0</xdr:rowOff>
        </xdr:from>
        <xdr:to>
          <xdr:col>2</xdr:col>
          <xdr:colOff>449580</xdr:colOff>
          <xdr:row>10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3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5</xdr:row>
          <xdr:rowOff>0</xdr:rowOff>
        </xdr:from>
        <xdr:to>
          <xdr:col>1</xdr:col>
          <xdr:colOff>464820</xdr:colOff>
          <xdr:row>6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3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6</xdr:row>
          <xdr:rowOff>0</xdr:rowOff>
        </xdr:from>
        <xdr:to>
          <xdr:col>1</xdr:col>
          <xdr:colOff>464820</xdr:colOff>
          <xdr:row>7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3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7</xdr:row>
          <xdr:rowOff>0</xdr:rowOff>
        </xdr:from>
        <xdr:to>
          <xdr:col>1</xdr:col>
          <xdr:colOff>464820</xdr:colOff>
          <xdr:row>8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3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0</xdr:rowOff>
        </xdr:from>
        <xdr:to>
          <xdr:col>1</xdr:col>
          <xdr:colOff>464820</xdr:colOff>
          <xdr:row>9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3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9</xdr:row>
          <xdr:rowOff>0</xdr:rowOff>
        </xdr:from>
        <xdr:to>
          <xdr:col>1</xdr:col>
          <xdr:colOff>464820</xdr:colOff>
          <xdr:row>10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3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24" totalsRowShown="0" headerRowDxfId="89" dataDxfId="88">
  <autoFilter ref="A1:C24" xr:uid="{00000000-0009-0000-0100-000003000000}"/>
  <tableColumns count="3">
    <tableColumn id="1" xr3:uid="{00000000-0010-0000-0100-000001000000}" name="版数" dataDxfId="87"/>
    <tableColumn id="2" xr3:uid="{00000000-0010-0000-0100-000002000000}" name="日付" dataDxfId="86"/>
    <tableColumn id="3" xr3:uid="{00000000-0010-0000-0100-000003000000}" name="内容" dataDxfId="85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84" dataDxfId="83" totalsRowDxfId="82">
  <autoFilter ref="A11:V511" xr:uid="{12A196EA-7F46-4A95-9879-026A480646AB}"/>
  <sortState ref="A12:V511">
    <sortCondition ref="A11:A511"/>
  </sortState>
  <tableColumns count="22">
    <tableColumn id="1" xr3:uid="{00000000-0010-0000-0000-000001000000}" name="No_x000a__x000a__x000a__x000a__x000a__x000a__x000a__x000a_" totalsRowLabel="集計" dataDxfId="81" totalsRowDxfId="80"/>
    <tableColumn id="2" xr3:uid="{00000000-0010-0000-0000-000002000000}" name="カテゴリ" totalsRowFunction="min" dataDxfId="56"/>
    <tableColumn id="9" xr3:uid="{00000000-0010-0000-0000-000009000000}" name="優先度" dataDxfId="57"/>
    <tableColumn id="7" xr3:uid="{00000000-0010-0000-0000-000007000000}" name="ジャンル" dataDxfId="79" totalsRowDxfId="78"/>
    <tableColumn id="4" xr3:uid="{00000000-0010-0000-0000-000004000000}" name="対象" dataDxfId="77" totalsRowDxfId="76"/>
    <tableColumn id="5" xr3:uid="{00000000-0010-0000-0000-000005000000}" name="内容1" dataDxfId="75"/>
    <tableColumn id="6" xr3:uid="{00000000-0010-0000-0000-000006000000}" name="内容2" dataDxfId="74"/>
    <tableColumn id="3" xr3:uid="{D8BF8DEE-5B82-4642-8275-871B138A17F2}" name="制御仕様" dataDxfId="73"/>
    <tableColumn id="18" xr3:uid="{39C01570-2533-4FE0-AC30-5BBEE09C21CE}" name="変更設計" dataDxfId="72"/>
    <tableColumn id="22" xr3:uid="{7E6DD80A-F288-4CD9-A3DC-3C814F5D4E66}" name="基本設計" dataDxfId="71"/>
    <tableColumn id="24" xr3:uid="{F953792B-02F8-4B5C-90BB-B972CF9EA892}" name="詳細設計" dataDxfId="70"/>
    <tableColumn id="21" xr3:uid="{7CFFA444-42FE-4250-B226-A4FF187EBAA5}" name="実装" dataDxfId="69"/>
    <tableColumn id="20" xr3:uid="{6FDC90A9-03A5-461D-A4D3-3B2DBF1D8EB9}" name="単体試験" dataDxfId="68"/>
    <tableColumn id="19" xr3:uid="{A7A66065-6893-4459-99BF-C7E8225C575E}" name="結合試験" dataDxfId="67"/>
    <tableColumn id="23" xr3:uid="{9E227755-3935-45C8-8817-320B6E20EA5D}" name="SW試験" dataDxfId="66"/>
    <tableColumn id="11" xr3:uid="{00000000-0010-0000-0000-00000B000000}" name="引用元" dataDxfId="14" totalsRowDxfId="17"/>
    <tableColumn id="14" xr3:uid="{00000000-0010-0000-0000-00000E000000}" name="出典" dataDxfId="13" totalsRowDxfId="16"/>
    <tableColumn id="13" xr3:uid="{00000000-0010-0000-0000-00000D000000}" name="転記元" dataDxfId="12" totalsRowDxfId="15"/>
    <tableColumn id="16" xr3:uid="{8544C34A-4524-4384-949C-238FA1CC1876}" name="期限" dataDxfId="65" totalsRowDxfId="64"/>
    <tableColumn id="8" xr3:uid="{00000000-0010-0000-0000-000008000000}" name="追加日" dataDxfId="63" totalsRowDxfId="62"/>
    <tableColumn id="10" xr3:uid="{00000000-0010-0000-0000-00000A000000}" name="工数[h]" dataDxfId="61" totalsRowDxfId="60"/>
    <tableColumn id="12" xr3:uid="{00000000-0010-0000-0000-00000C000000}" name="備考" totalsRowFunction="count" dataDxfId="59" totalsRowDxfId="58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24"/>
  <sheetViews>
    <sheetView showGridLines="0" tabSelected="1" workbookViewId="0">
      <selection activeCell="A23" sqref="A23"/>
    </sheetView>
  </sheetViews>
  <sheetFormatPr defaultColWidth="0" defaultRowHeight="10.8" x14ac:dyDescent="0.15"/>
  <cols>
    <col min="1" max="1" width="9.140625" style="1" customWidth="1"/>
    <col min="2" max="2" width="12.28515625" style="1" customWidth="1"/>
    <col min="3" max="3" width="46.140625" style="1" customWidth="1"/>
    <col min="4" max="16384" width="9.140625" style="1" hidden="1"/>
  </cols>
  <sheetData>
    <row r="1" spans="1:3" x14ac:dyDescent="0.15">
      <c r="A1" s="8" t="s">
        <v>3</v>
      </c>
      <c r="B1" s="8" t="s">
        <v>0</v>
      </c>
      <c r="C1" s="8" t="s">
        <v>6</v>
      </c>
    </row>
    <row r="2" spans="1:3" x14ac:dyDescent="0.15">
      <c r="A2" s="4" t="s">
        <v>4</v>
      </c>
      <c r="B2" s="26">
        <v>42991</v>
      </c>
      <c r="C2" s="9" t="s">
        <v>5</v>
      </c>
    </row>
    <row r="3" spans="1:3" ht="28.8" x14ac:dyDescent="0.15">
      <c r="A3" s="4" t="s">
        <v>8</v>
      </c>
      <c r="B3" s="26">
        <v>43059</v>
      </c>
      <c r="C3" s="9" t="s">
        <v>9</v>
      </c>
    </row>
    <row r="4" spans="1:3" x14ac:dyDescent="0.15">
      <c r="A4" s="4" t="s">
        <v>11</v>
      </c>
      <c r="B4" s="26">
        <v>43060</v>
      </c>
      <c r="C4" s="9" t="s">
        <v>10</v>
      </c>
    </row>
    <row r="5" spans="1:3" ht="19.2" x14ac:dyDescent="0.15">
      <c r="A5" s="4" t="s">
        <v>12</v>
      </c>
      <c r="B5" s="26">
        <v>43087</v>
      </c>
      <c r="C5" s="9" t="s">
        <v>15</v>
      </c>
    </row>
    <row r="6" spans="1:3" x14ac:dyDescent="0.15">
      <c r="A6" s="4" t="s">
        <v>18</v>
      </c>
      <c r="B6" s="26">
        <v>43088</v>
      </c>
      <c r="C6" s="9" t="s">
        <v>19</v>
      </c>
    </row>
    <row r="7" spans="1:3" x14ac:dyDescent="0.15">
      <c r="A7" s="4" t="s">
        <v>20</v>
      </c>
      <c r="B7" s="26">
        <v>43219</v>
      </c>
      <c r="C7" s="9" t="s">
        <v>21</v>
      </c>
    </row>
    <row r="8" spans="1:3" ht="38.4" x14ac:dyDescent="0.15">
      <c r="A8" s="4" t="s">
        <v>31</v>
      </c>
      <c r="B8" s="26">
        <v>43585</v>
      </c>
      <c r="C8" s="9" t="s">
        <v>32</v>
      </c>
    </row>
    <row r="9" spans="1:3" ht="28.8" x14ac:dyDescent="0.15">
      <c r="A9" s="4" t="s">
        <v>34</v>
      </c>
      <c r="B9" s="26">
        <v>43603</v>
      </c>
      <c r="C9" s="9" t="s">
        <v>40</v>
      </c>
    </row>
    <row r="10" spans="1:3" x14ac:dyDescent="0.15">
      <c r="A10" s="4" t="s">
        <v>41</v>
      </c>
      <c r="B10" s="26">
        <v>43623</v>
      </c>
      <c r="C10" s="9" t="s">
        <v>42</v>
      </c>
    </row>
    <row r="11" spans="1:3" x14ac:dyDescent="0.15">
      <c r="A11" s="24" t="s">
        <v>47</v>
      </c>
      <c r="B11" s="26">
        <v>43631</v>
      </c>
      <c r="C11" s="25" t="s">
        <v>48</v>
      </c>
    </row>
    <row r="12" spans="1:3" ht="48" x14ac:dyDescent="0.15">
      <c r="A12" s="24" t="s">
        <v>53</v>
      </c>
      <c r="B12" s="26">
        <v>43636</v>
      </c>
      <c r="C12" s="9" t="s">
        <v>54</v>
      </c>
    </row>
    <row r="13" spans="1:3" ht="48" x14ac:dyDescent="0.15">
      <c r="A13" s="4" t="s">
        <v>60</v>
      </c>
      <c r="B13" s="26">
        <v>43639</v>
      </c>
      <c r="C13" s="9" t="s">
        <v>61</v>
      </c>
    </row>
    <row r="14" spans="1:3" ht="19.2" x14ac:dyDescent="0.15">
      <c r="A14" s="24" t="s">
        <v>66</v>
      </c>
      <c r="B14" s="26">
        <v>43706</v>
      </c>
      <c r="C14" s="9" t="s">
        <v>67</v>
      </c>
    </row>
    <row r="15" spans="1:3" x14ac:dyDescent="0.15">
      <c r="A15" s="24" t="s">
        <v>82</v>
      </c>
      <c r="B15" s="26">
        <v>43766</v>
      </c>
      <c r="C15" s="25" t="s">
        <v>83</v>
      </c>
    </row>
    <row r="16" spans="1:3" x14ac:dyDescent="0.15">
      <c r="A16" s="4" t="s">
        <v>95</v>
      </c>
      <c r="B16" s="26">
        <v>43787</v>
      </c>
      <c r="C16" s="9" t="s">
        <v>96</v>
      </c>
    </row>
    <row r="17" spans="1:3" ht="28.8" x14ac:dyDescent="0.15">
      <c r="A17" s="4" t="s">
        <v>99</v>
      </c>
      <c r="B17" s="26">
        <v>43890</v>
      </c>
      <c r="C17" s="9" t="s">
        <v>100</v>
      </c>
    </row>
    <row r="18" spans="1:3" x14ac:dyDescent="0.15">
      <c r="A18" s="4"/>
      <c r="B18" s="26"/>
      <c r="C18" s="9"/>
    </row>
    <row r="19" spans="1:3" x14ac:dyDescent="0.15">
      <c r="A19" s="4"/>
      <c r="B19" s="26"/>
      <c r="C19" s="9"/>
    </row>
    <row r="20" spans="1:3" x14ac:dyDescent="0.15">
      <c r="A20" s="4"/>
      <c r="B20" s="26"/>
      <c r="C20" s="9"/>
    </row>
    <row r="21" spans="1:3" x14ac:dyDescent="0.15">
      <c r="A21" s="4"/>
      <c r="B21" s="26"/>
      <c r="C21" s="9"/>
    </row>
    <row r="22" spans="1:3" x14ac:dyDescent="0.15">
      <c r="A22" s="4"/>
      <c r="B22" s="26"/>
      <c r="C22" s="9"/>
    </row>
    <row r="23" spans="1:3" x14ac:dyDescent="0.15">
      <c r="A23" s="4"/>
      <c r="B23" s="26"/>
      <c r="C23" s="9"/>
    </row>
    <row r="24" spans="1:3" x14ac:dyDescent="0.15">
      <c r="A24" s="4"/>
      <c r="B24" s="26"/>
      <c r="C24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D202"/>
  <sheetViews>
    <sheetView showGridLines="0" workbookViewId="0">
      <pane ySplit="9" topLeftCell="A10" activePane="bottomLeft" state="frozen"/>
      <selection pane="bottomLeft" activeCell="A10" sqref="A10"/>
    </sheetView>
  </sheetViews>
  <sheetFormatPr defaultColWidth="0" defaultRowHeight="10.8" zeroHeight="1" x14ac:dyDescent="0.15"/>
  <cols>
    <col min="1" max="1" width="21" style="29" bestFit="1" customWidth="1"/>
    <col min="2" max="4" width="57.140625" style="29" customWidth="1"/>
    <col min="5" max="16384" width="9.140625" style="29" hidden="1"/>
  </cols>
  <sheetData>
    <row r="1" spans="1:4" s="49" customFormat="1" x14ac:dyDescent="0.15"/>
    <row r="2" spans="1:4" s="49" customFormat="1" x14ac:dyDescent="0.15"/>
    <row r="3" spans="1:4" ht="25.8" customHeight="1" x14ac:dyDescent="0.15"/>
    <row r="4" spans="1:4" ht="3.6" customHeight="1" x14ac:dyDescent="0.15"/>
    <row r="5" spans="1:4" x14ac:dyDescent="0.15">
      <c r="A5" s="33" t="s">
        <v>65</v>
      </c>
      <c r="B5" s="30"/>
      <c r="C5" s="30"/>
      <c r="D5" s="30"/>
    </row>
    <row r="6" spans="1:4" s="51" customFormat="1" ht="3.6" customHeight="1" x14ac:dyDescent="0.15"/>
    <row r="7" spans="1:4" x14ac:dyDescent="0.15">
      <c r="A7" s="33" t="s">
        <v>62</v>
      </c>
      <c r="B7" s="48"/>
      <c r="C7" s="48"/>
      <c r="D7" s="48"/>
    </row>
    <row r="8" spans="1:4" x14ac:dyDescent="0.15">
      <c r="A8" s="33" t="s">
        <v>63</v>
      </c>
      <c r="B8" s="48"/>
      <c r="C8" s="48"/>
      <c r="D8" s="48"/>
    </row>
    <row r="9" spans="1:4" s="51" customFormat="1" ht="3.6" customHeight="1" x14ac:dyDescent="0.15"/>
    <row r="10" spans="1:4" x14ac:dyDescent="0.15">
      <c r="A10" s="34" t="s">
        <v>64</v>
      </c>
      <c r="B10" s="50"/>
      <c r="C10" s="50"/>
      <c r="D10" s="50"/>
    </row>
    <row r="11" spans="1:4" x14ac:dyDescent="0.15">
      <c r="A11" s="31"/>
      <c r="B11" s="50"/>
      <c r="C11" s="50"/>
      <c r="D11" s="50"/>
    </row>
    <row r="12" spans="1:4" x14ac:dyDescent="0.15">
      <c r="A12" s="31"/>
      <c r="B12" s="50"/>
      <c r="C12" s="50"/>
      <c r="D12" s="50"/>
    </row>
    <row r="13" spans="1:4" x14ac:dyDescent="0.15">
      <c r="A13" s="31"/>
      <c r="B13" s="50"/>
      <c r="C13" s="50"/>
      <c r="D13" s="50"/>
    </row>
    <row r="14" spans="1:4" x14ac:dyDescent="0.15">
      <c r="A14" s="31"/>
      <c r="B14" s="50"/>
      <c r="C14" s="50"/>
      <c r="D14" s="50"/>
    </row>
    <row r="15" spans="1:4" x14ac:dyDescent="0.15">
      <c r="A15" s="31"/>
      <c r="B15" s="50"/>
      <c r="C15" s="50"/>
      <c r="D15" s="50"/>
    </row>
    <row r="16" spans="1:4" x14ac:dyDescent="0.15">
      <c r="A16" s="31"/>
      <c r="B16" s="50"/>
      <c r="C16" s="50"/>
      <c r="D16" s="50"/>
    </row>
    <row r="17" spans="1:4" x14ac:dyDescent="0.15">
      <c r="A17" s="31"/>
      <c r="B17" s="50"/>
      <c r="C17" s="50"/>
      <c r="D17" s="50"/>
    </row>
    <row r="18" spans="1:4" x14ac:dyDescent="0.15">
      <c r="A18" s="31"/>
      <c r="B18" s="50"/>
      <c r="C18" s="50"/>
      <c r="D18" s="50"/>
    </row>
    <row r="19" spans="1:4" x14ac:dyDescent="0.15">
      <c r="A19" s="31"/>
      <c r="B19" s="50"/>
      <c r="C19" s="50"/>
      <c r="D19" s="50"/>
    </row>
    <row r="20" spans="1:4" x14ac:dyDescent="0.15">
      <c r="A20" s="31"/>
      <c r="B20" s="50"/>
      <c r="C20" s="50"/>
      <c r="D20" s="50"/>
    </row>
    <row r="21" spans="1:4" x14ac:dyDescent="0.15">
      <c r="A21" s="31"/>
      <c r="B21" s="50"/>
      <c r="C21" s="50"/>
      <c r="D21" s="50"/>
    </row>
    <row r="22" spans="1:4" x14ac:dyDescent="0.15">
      <c r="A22" s="31"/>
      <c r="B22" s="50"/>
      <c r="C22" s="50"/>
      <c r="D22" s="50"/>
    </row>
    <row r="23" spans="1:4" x14ac:dyDescent="0.15">
      <c r="A23" s="31"/>
      <c r="B23" s="50"/>
      <c r="C23" s="50"/>
      <c r="D23" s="50"/>
    </row>
    <row r="24" spans="1:4" x14ac:dyDescent="0.15">
      <c r="A24" s="31"/>
      <c r="B24" s="50"/>
      <c r="C24" s="50"/>
      <c r="D24" s="50"/>
    </row>
    <row r="25" spans="1:4" x14ac:dyDescent="0.15">
      <c r="A25" s="31"/>
      <c r="B25" s="50"/>
      <c r="C25" s="50"/>
      <c r="D25" s="50"/>
    </row>
    <row r="26" spans="1:4" x14ac:dyDescent="0.15">
      <c r="A26" s="31"/>
      <c r="B26" s="50"/>
      <c r="C26" s="50"/>
      <c r="D26" s="50"/>
    </row>
    <row r="27" spans="1:4" x14ac:dyDescent="0.15">
      <c r="A27" s="31"/>
      <c r="B27" s="50"/>
      <c r="C27" s="50"/>
      <c r="D27" s="50"/>
    </row>
    <row r="28" spans="1:4" x14ac:dyDescent="0.15">
      <c r="A28" s="31"/>
      <c r="B28" s="50"/>
      <c r="C28" s="50"/>
      <c r="D28" s="50"/>
    </row>
    <row r="29" spans="1:4" x14ac:dyDescent="0.15">
      <c r="A29" s="31"/>
      <c r="B29" s="50"/>
      <c r="C29" s="50"/>
      <c r="D29" s="50"/>
    </row>
    <row r="30" spans="1:4" x14ac:dyDescent="0.15">
      <c r="A30" s="31"/>
      <c r="B30" s="50"/>
      <c r="C30" s="50"/>
      <c r="D30" s="50"/>
    </row>
    <row r="31" spans="1:4" x14ac:dyDescent="0.15">
      <c r="A31" s="31"/>
      <c r="B31" s="50"/>
      <c r="C31" s="50"/>
      <c r="D31" s="50"/>
    </row>
    <row r="32" spans="1:4" x14ac:dyDescent="0.15">
      <c r="A32" s="31"/>
      <c r="B32" s="50"/>
      <c r="C32" s="50"/>
      <c r="D32" s="50"/>
    </row>
    <row r="33" spans="1:4" x14ac:dyDescent="0.15">
      <c r="A33" s="31"/>
      <c r="B33" s="50"/>
      <c r="C33" s="50"/>
      <c r="D33" s="50"/>
    </row>
    <row r="34" spans="1:4" x14ac:dyDescent="0.15">
      <c r="A34" s="31"/>
      <c r="B34" s="50"/>
      <c r="C34" s="50"/>
      <c r="D34" s="50"/>
    </row>
    <row r="35" spans="1:4" x14ac:dyDescent="0.15">
      <c r="A35" s="31"/>
      <c r="B35" s="50"/>
      <c r="C35" s="50"/>
      <c r="D35" s="50"/>
    </row>
    <row r="36" spans="1:4" x14ac:dyDescent="0.15">
      <c r="A36" s="31"/>
      <c r="B36" s="50"/>
      <c r="C36" s="50"/>
      <c r="D36" s="50"/>
    </row>
    <row r="37" spans="1:4" x14ac:dyDescent="0.15">
      <c r="A37" s="31"/>
      <c r="B37" s="50"/>
      <c r="C37" s="50"/>
      <c r="D37" s="50"/>
    </row>
    <row r="38" spans="1:4" x14ac:dyDescent="0.15">
      <c r="A38" s="31"/>
      <c r="B38" s="50"/>
      <c r="C38" s="50"/>
      <c r="D38" s="50"/>
    </row>
    <row r="39" spans="1:4" x14ac:dyDescent="0.15">
      <c r="A39" s="31"/>
      <c r="B39" s="50"/>
      <c r="C39" s="50"/>
      <c r="D39" s="50"/>
    </row>
    <row r="40" spans="1:4" x14ac:dyDescent="0.15">
      <c r="A40" s="31"/>
      <c r="B40" s="50"/>
      <c r="C40" s="50"/>
      <c r="D40" s="50"/>
    </row>
    <row r="41" spans="1:4" x14ac:dyDescent="0.15">
      <c r="A41" s="31"/>
      <c r="B41" s="50"/>
      <c r="C41" s="50"/>
      <c r="D41" s="50"/>
    </row>
    <row r="42" spans="1:4" x14ac:dyDescent="0.15">
      <c r="A42" s="31"/>
      <c r="B42" s="50"/>
      <c r="C42" s="50"/>
      <c r="D42" s="50"/>
    </row>
    <row r="43" spans="1:4" x14ac:dyDescent="0.15">
      <c r="A43" s="31"/>
      <c r="B43" s="50"/>
      <c r="C43" s="50"/>
      <c r="D43" s="50"/>
    </row>
    <row r="44" spans="1:4" x14ac:dyDescent="0.15">
      <c r="A44" s="31"/>
      <c r="B44" s="50"/>
      <c r="C44" s="50"/>
      <c r="D44" s="50"/>
    </row>
    <row r="45" spans="1:4" x14ac:dyDescent="0.15">
      <c r="A45" s="31"/>
      <c r="B45" s="50"/>
      <c r="C45" s="50"/>
      <c r="D45" s="50"/>
    </row>
    <row r="46" spans="1:4" x14ac:dyDescent="0.15">
      <c r="A46" s="31"/>
      <c r="B46" s="50"/>
      <c r="C46" s="50"/>
      <c r="D46" s="50"/>
    </row>
    <row r="47" spans="1:4" x14ac:dyDescent="0.15">
      <c r="A47" s="31"/>
      <c r="B47" s="50"/>
      <c r="C47" s="50"/>
      <c r="D47" s="50"/>
    </row>
    <row r="48" spans="1:4" x14ac:dyDescent="0.15">
      <c r="A48" s="31"/>
      <c r="B48" s="50"/>
      <c r="C48" s="50"/>
      <c r="D48" s="50"/>
    </row>
    <row r="49" spans="1:4" x14ac:dyDescent="0.15">
      <c r="A49" s="31"/>
      <c r="B49" s="50"/>
      <c r="C49" s="50"/>
      <c r="D49" s="50"/>
    </row>
    <row r="50" spans="1:4" x14ac:dyDescent="0.15">
      <c r="A50" s="31"/>
      <c r="B50" s="50"/>
      <c r="C50" s="50"/>
      <c r="D50" s="50"/>
    </row>
    <row r="51" spans="1:4" x14ac:dyDescent="0.15">
      <c r="A51" s="31"/>
      <c r="B51" s="50"/>
      <c r="C51" s="50"/>
      <c r="D51" s="50"/>
    </row>
    <row r="52" spans="1:4" x14ac:dyDescent="0.15">
      <c r="A52" s="31"/>
      <c r="B52" s="50"/>
      <c r="C52" s="50"/>
      <c r="D52" s="50"/>
    </row>
    <row r="53" spans="1:4" x14ac:dyDescent="0.15">
      <c r="A53" s="31"/>
      <c r="B53" s="50"/>
      <c r="C53" s="50"/>
      <c r="D53" s="50"/>
    </row>
    <row r="54" spans="1:4" x14ac:dyDescent="0.15">
      <c r="A54" s="31"/>
      <c r="B54" s="50"/>
      <c r="C54" s="50"/>
      <c r="D54" s="50"/>
    </row>
    <row r="55" spans="1:4" x14ac:dyDescent="0.15">
      <c r="A55" s="31"/>
      <c r="B55" s="50"/>
      <c r="C55" s="50"/>
      <c r="D55" s="50"/>
    </row>
    <row r="56" spans="1:4" x14ac:dyDescent="0.15">
      <c r="A56" s="31"/>
      <c r="B56" s="50"/>
      <c r="C56" s="50"/>
      <c r="D56" s="50"/>
    </row>
    <row r="57" spans="1:4" x14ac:dyDescent="0.15">
      <c r="A57" s="31"/>
      <c r="B57" s="50"/>
      <c r="C57" s="50"/>
      <c r="D57" s="50"/>
    </row>
    <row r="58" spans="1:4" x14ac:dyDescent="0.15">
      <c r="A58" s="31"/>
      <c r="B58" s="50"/>
      <c r="C58" s="50"/>
      <c r="D58" s="50"/>
    </row>
    <row r="59" spans="1:4" x14ac:dyDescent="0.15">
      <c r="A59" s="31"/>
      <c r="B59" s="50"/>
      <c r="C59" s="50"/>
      <c r="D59" s="50"/>
    </row>
    <row r="60" spans="1:4" x14ac:dyDescent="0.15">
      <c r="A60" s="31"/>
      <c r="B60" s="50"/>
      <c r="C60" s="50"/>
      <c r="D60" s="50"/>
    </row>
    <row r="61" spans="1:4" x14ac:dyDescent="0.15">
      <c r="A61" s="31"/>
      <c r="B61" s="50"/>
      <c r="C61" s="50"/>
      <c r="D61" s="50"/>
    </row>
    <row r="62" spans="1:4" x14ac:dyDescent="0.15">
      <c r="A62" s="31"/>
      <c r="B62" s="50"/>
      <c r="C62" s="50"/>
      <c r="D62" s="50"/>
    </row>
    <row r="63" spans="1:4" x14ac:dyDescent="0.15">
      <c r="A63" s="31"/>
      <c r="B63" s="50"/>
      <c r="C63" s="50"/>
      <c r="D63" s="50"/>
    </row>
    <row r="64" spans="1:4" x14ac:dyDescent="0.15">
      <c r="A64" s="31"/>
      <c r="B64" s="50"/>
      <c r="C64" s="50"/>
      <c r="D64" s="50"/>
    </row>
    <row r="65" spans="1:4" x14ac:dyDescent="0.15">
      <c r="A65" s="31"/>
      <c r="B65" s="50"/>
      <c r="C65" s="50"/>
      <c r="D65" s="50"/>
    </row>
    <row r="66" spans="1:4" x14ac:dyDescent="0.15">
      <c r="A66" s="31"/>
      <c r="B66" s="50"/>
      <c r="C66" s="50"/>
      <c r="D66" s="50"/>
    </row>
    <row r="67" spans="1:4" x14ac:dyDescent="0.15">
      <c r="A67" s="31"/>
      <c r="B67" s="50"/>
      <c r="C67" s="50"/>
      <c r="D67" s="50"/>
    </row>
    <row r="68" spans="1:4" x14ac:dyDescent="0.15">
      <c r="A68" s="31"/>
      <c r="B68" s="50"/>
      <c r="C68" s="50"/>
      <c r="D68" s="50"/>
    </row>
    <row r="69" spans="1:4" x14ac:dyDescent="0.15">
      <c r="A69" s="31"/>
      <c r="B69" s="50"/>
      <c r="C69" s="50"/>
      <c r="D69" s="50"/>
    </row>
    <row r="70" spans="1:4" x14ac:dyDescent="0.15">
      <c r="A70" s="31"/>
      <c r="B70" s="50"/>
      <c r="C70" s="50"/>
      <c r="D70" s="50"/>
    </row>
    <row r="71" spans="1:4" x14ac:dyDescent="0.15">
      <c r="A71" s="31"/>
      <c r="B71" s="50"/>
      <c r="C71" s="50"/>
      <c r="D71" s="50"/>
    </row>
    <row r="72" spans="1:4" x14ac:dyDescent="0.15">
      <c r="A72" s="31"/>
      <c r="B72" s="50"/>
      <c r="C72" s="50"/>
      <c r="D72" s="50"/>
    </row>
    <row r="73" spans="1:4" x14ac:dyDescent="0.15">
      <c r="A73" s="31"/>
      <c r="B73" s="50"/>
      <c r="C73" s="50"/>
      <c r="D73" s="50"/>
    </row>
    <row r="74" spans="1:4" x14ac:dyDescent="0.15">
      <c r="A74" s="31"/>
      <c r="B74" s="50"/>
      <c r="C74" s="50"/>
      <c r="D74" s="50"/>
    </row>
    <row r="75" spans="1:4" x14ac:dyDescent="0.15">
      <c r="A75" s="31"/>
      <c r="B75" s="50"/>
      <c r="C75" s="50"/>
      <c r="D75" s="50"/>
    </row>
    <row r="76" spans="1:4" x14ac:dyDescent="0.15">
      <c r="A76" s="31"/>
      <c r="B76" s="50"/>
      <c r="C76" s="50"/>
      <c r="D76" s="50"/>
    </row>
    <row r="77" spans="1:4" x14ac:dyDescent="0.15">
      <c r="A77" s="31"/>
      <c r="B77" s="50"/>
      <c r="C77" s="50"/>
      <c r="D77" s="50"/>
    </row>
    <row r="78" spans="1:4" x14ac:dyDescent="0.15">
      <c r="A78" s="31"/>
      <c r="B78" s="50"/>
      <c r="C78" s="50"/>
      <c r="D78" s="50"/>
    </row>
    <row r="79" spans="1:4" x14ac:dyDescent="0.15">
      <c r="A79" s="31"/>
      <c r="B79" s="50"/>
      <c r="C79" s="50"/>
      <c r="D79" s="50"/>
    </row>
    <row r="80" spans="1:4" x14ac:dyDescent="0.15">
      <c r="A80" s="31"/>
      <c r="B80" s="50"/>
      <c r="C80" s="50"/>
      <c r="D80" s="50"/>
    </row>
    <row r="81" spans="1:4" x14ac:dyDescent="0.15">
      <c r="A81" s="31"/>
      <c r="B81" s="50"/>
      <c r="C81" s="50"/>
      <c r="D81" s="50"/>
    </row>
    <row r="82" spans="1:4" x14ac:dyDescent="0.15">
      <c r="A82" s="31"/>
      <c r="B82" s="50"/>
      <c r="C82" s="50"/>
      <c r="D82" s="50"/>
    </row>
    <row r="83" spans="1:4" x14ac:dyDescent="0.15">
      <c r="A83" s="31"/>
      <c r="B83" s="50"/>
      <c r="C83" s="50"/>
      <c r="D83" s="50"/>
    </row>
    <row r="84" spans="1:4" x14ac:dyDescent="0.15">
      <c r="A84" s="31"/>
      <c r="B84" s="50"/>
      <c r="C84" s="50"/>
      <c r="D84" s="50"/>
    </row>
    <row r="85" spans="1:4" x14ac:dyDescent="0.15">
      <c r="A85" s="31"/>
      <c r="B85" s="50"/>
      <c r="C85" s="50"/>
      <c r="D85" s="50"/>
    </row>
    <row r="86" spans="1:4" x14ac:dyDescent="0.15">
      <c r="A86" s="31"/>
      <c r="B86" s="50"/>
      <c r="C86" s="50"/>
      <c r="D86" s="50"/>
    </row>
    <row r="87" spans="1:4" x14ac:dyDescent="0.15">
      <c r="A87" s="31"/>
      <c r="B87" s="50"/>
      <c r="C87" s="50"/>
      <c r="D87" s="50"/>
    </row>
    <row r="88" spans="1:4" x14ac:dyDescent="0.15">
      <c r="A88" s="31"/>
      <c r="B88" s="50"/>
      <c r="C88" s="50"/>
      <c r="D88" s="50"/>
    </row>
    <row r="89" spans="1:4" x14ac:dyDescent="0.15">
      <c r="A89" s="31"/>
      <c r="B89" s="50"/>
      <c r="C89" s="50"/>
      <c r="D89" s="50"/>
    </row>
    <row r="90" spans="1:4" x14ac:dyDescent="0.15">
      <c r="A90" s="31"/>
      <c r="B90" s="50"/>
      <c r="C90" s="50"/>
      <c r="D90" s="50"/>
    </row>
    <row r="91" spans="1:4" x14ac:dyDescent="0.15">
      <c r="A91" s="31"/>
      <c r="B91" s="50"/>
      <c r="C91" s="50"/>
      <c r="D91" s="50"/>
    </row>
    <row r="92" spans="1:4" x14ac:dyDescent="0.15">
      <c r="A92" s="31"/>
      <c r="B92" s="50"/>
      <c r="C92" s="50"/>
      <c r="D92" s="50"/>
    </row>
    <row r="93" spans="1:4" x14ac:dyDescent="0.15">
      <c r="A93" s="31"/>
      <c r="B93" s="50"/>
      <c r="C93" s="50"/>
      <c r="D93" s="50"/>
    </row>
    <row r="94" spans="1:4" x14ac:dyDescent="0.15">
      <c r="A94" s="31"/>
      <c r="B94" s="50"/>
      <c r="C94" s="50"/>
      <c r="D94" s="50"/>
    </row>
    <row r="95" spans="1:4" x14ac:dyDescent="0.15">
      <c r="A95" s="31"/>
      <c r="B95" s="50"/>
      <c r="C95" s="50"/>
      <c r="D95" s="50"/>
    </row>
    <row r="96" spans="1:4" x14ac:dyDescent="0.15">
      <c r="A96" s="31"/>
      <c r="B96" s="50"/>
      <c r="C96" s="50"/>
      <c r="D96" s="50"/>
    </row>
    <row r="97" spans="1:4" x14ac:dyDescent="0.15">
      <c r="A97" s="31"/>
      <c r="B97" s="50"/>
      <c r="C97" s="50"/>
      <c r="D97" s="50"/>
    </row>
    <row r="98" spans="1:4" x14ac:dyDescent="0.15">
      <c r="A98" s="31"/>
      <c r="B98" s="50"/>
      <c r="C98" s="50"/>
      <c r="D98" s="50"/>
    </row>
    <row r="99" spans="1:4" x14ac:dyDescent="0.15">
      <c r="A99" s="31"/>
      <c r="B99" s="50"/>
      <c r="C99" s="50"/>
      <c r="D99" s="50"/>
    </row>
    <row r="100" spans="1:4" x14ac:dyDescent="0.15">
      <c r="A100" s="31"/>
      <c r="B100" s="50"/>
      <c r="C100" s="50"/>
      <c r="D100" s="50"/>
    </row>
    <row r="101" spans="1:4" x14ac:dyDescent="0.15">
      <c r="A101" s="31"/>
      <c r="B101" s="50"/>
      <c r="C101" s="50"/>
      <c r="D101" s="50"/>
    </row>
    <row r="102" spans="1:4" x14ac:dyDescent="0.15">
      <c r="A102" s="31"/>
      <c r="B102" s="50"/>
      <c r="C102" s="50"/>
      <c r="D102" s="50"/>
    </row>
    <row r="103" spans="1:4" x14ac:dyDescent="0.15">
      <c r="A103" s="31"/>
      <c r="B103" s="50"/>
      <c r="C103" s="50"/>
      <c r="D103" s="50"/>
    </row>
    <row r="104" spans="1:4" x14ac:dyDescent="0.15">
      <c r="A104" s="31"/>
      <c r="B104" s="50"/>
      <c r="C104" s="50"/>
      <c r="D104" s="50"/>
    </row>
    <row r="105" spans="1:4" x14ac:dyDescent="0.15">
      <c r="A105" s="31"/>
      <c r="B105" s="50"/>
      <c r="C105" s="50"/>
      <c r="D105" s="50"/>
    </row>
    <row r="106" spans="1:4" x14ac:dyDescent="0.15">
      <c r="A106" s="31"/>
      <c r="B106" s="50"/>
      <c r="C106" s="50"/>
      <c r="D106" s="50"/>
    </row>
    <row r="107" spans="1:4" x14ac:dyDescent="0.15">
      <c r="A107" s="31"/>
      <c r="B107" s="50"/>
      <c r="C107" s="50"/>
      <c r="D107" s="50"/>
    </row>
    <row r="108" spans="1:4" x14ac:dyDescent="0.15">
      <c r="A108" s="31"/>
      <c r="B108" s="50"/>
      <c r="C108" s="50"/>
      <c r="D108" s="50"/>
    </row>
    <row r="109" spans="1:4" x14ac:dyDescent="0.15">
      <c r="A109" s="31"/>
      <c r="B109" s="50"/>
      <c r="C109" s="50"/>
      <c r="D109" s="50"/>
    </row>
    <row r="110" spans="1:4" x14ac:dyDescent="0.15">
      <c r="A110" s="31"/>
      <c r="B110" s="50"/>
      <c r="C110" s="50"/>
      <c r="D110" s="50"/>
    </row>
    <row r="111" spans="1:4" x14ac:dyDescent="0.15">
      <c r="A111" s="31"/>
      <c r="B111" s="50"/>
      <c r="C111" s="50"/>
      <c r="D111" s="50"/>
    </row>
    <row r="112" spans="1:4" x14ac:dyDescent="0.15">
      <c r="A112" s="31"/>
      <c r="B112" s="50"/>
      <c r="C112" s="50"/>
      <c r="D112" s="50"/>
    </row>
    <row r="113" spans="1:4" x14ac:dyDescent="0.15">
      <c r="A113" s="31"/>
      <c r="B113" s="50"/>
      <c r="C113" s="50"/>
      <c r="D113" s="50"/>
    </row>
    <row r="114" spans="1:4" x14ac:dyDescent="0.15">
      <c r="A114" s="31"/>
      <c r="B114" s="50"/>
      <c r="C114" s="50"/>
      <c r="D114" s="50"/>
    </row>
    <row r="115" spans="1:4" x14ac:dyDescent="0.15">
      <c r="A115" s="31"/>
      <c r="B115" s="50"/>
      <c r="C115" s="50"/>
      <c r="D115" s="50"/>
    </row>
    <row r="116" spans="1:4" x14ac:dyDescent="0.15">
      <c r="A116" s="31"/>
      <c r="B116" s="50"/>
      <c r="C116" s="50"/>
      <c r="D116" s="50"/>
    </row>
    <row r="117" spans="1:4" x14ac:dyDescent="0.15">
      <c r="A117" s="31"/>
      <c r="B117" s="50"/>
      <c r="C117" s="50"/>
      <c r="D117" s="50"/>
    </row>
    <row r="118" spans="1:4" x14ac:dyDescent="0.15">
      <c r="A118" s="31"/>
      <c r="B118" s="50"/>
      <c r="C118" s="50"/>
      <c r="D118" s="50"/>
    </row>
    <row r="119" spans="1:4" x14ac:dyDescent="0.15">
      <c r="A119" s="31"/>
      <c r="B119" s="50"/>
      <c r="C119" s="50"/>
      <c r="D119" s="50"/>
    </row>
    <row r="120" spans="1:4" x14ac:dyDescent="0.15">
      <c r="A120" s="31"/>
      <c r="B120" s="50"/>
      <c r="C120" s="50"/>
      <c r="D120" s="50"/>
    </row>
    <row r="121" spans="1:4" x14ac:dyDescent="0.15">
      <c r="A121" s="31"/>
      <c r="B121" s="50"/>
      <c r="C121" s="50"/>
      <c r="D121" s="50"/>
    </row>
    <row r="122" spans="1:4" x14ac:dyDescent="0.15">
      <c r="A122" s="31"/>
      <c r="B122" s="50"/>
      <c r="C122" s="50"/>
      <c r="D122" s="50"/>
    </row>
    <row r="123" spans="1:4" x14ac:dyDescent="0.15">
      <c r="A123" s="31"/>
      <c r="B123" s="50"/>
      <c r="C123" s="50"/>
      <c r="D123" s="50"/>
    </row>
    <row r="124" spans="1:4" x14ac:dyDescent="0.15">
      <c r="A124" s="31"/>
      <c r="B124" s="50"/>
      <c r="C124" s="50"/>
      <c r="D124" s="50"/>
    </row>
    <row r="125" spans="1:4" x14ac:dyDescent="0.15">
      <c r="A125" s="31"/>
      <c r="B125" s="50"/>
      <c r="C125" s="50"/>
      <c r="D125" s="50"/>
    </row>
    <row r="126" spans="1:4" x14ac:dyDescent="0.15">
      <c r="A126" s="31"/>
      <c r="B126" s="50"/>
      <c r="C126" s="50"/>
      <c r="D126" s="50"/>
    </row>
    <row r="127" spans="1:4" x14ac:dyDescent="0.15">
      <c r="A127" s="31"/>
      <c r="B127" s="50"/>
      <c r="C127" s="50"/>
      <c r="D127" s="50"/>
    </row>
    <row r="128" spans="1:4" x14ac:dyDescent="0.15">
      <c r="A128" s="31"/>
      <c r="B128" s="50"/>
      <c r="C128" s="50"/>
      <c r="D128" s="50"/>
    </row>
    <row r="129" spans="1:4" x14ac:dyDescent="0.15">
      <c r="A129" s="31"/>
      <c r="B129" s="50"/>
      <c r="C129" s="50"/>
      <c r="D129" s="50"/>
    </row>
    <row r="130" spans="1:4" x14ac:dyDescent="0.15">
      <c r="A130" s="31"/>
      <c r="B130" s="50"/>
      <c r="C130" s="50"/>
      <c r="D130" s="50"/>
    </row>
    <row r="131" spans="1:4" x14ac:dyDescent="0.15">
      <c r="A131" s="31"/>
      <c r="B131" s="50"/>
      <c r="C131" s="50"/>
      <c r="D131" s="50"/>
    </row>
    <row r="132" spans="1:4" x14ac:dyDescent="0.15">
      <c r="A132" s="31"/>
      <c r="B132" s="50"/>
      <c r="C132" s="50"/>
      <c r="D132" s="50"/>
    </row>
    <row r="133" spans="1:4" x14ac:dyDescent="0.15">
      <c r="A133" s="31"/>
      <c r="B133" s="50"/>
      <c r="C133" s="50"/>
      <c r="D133" s="50"/>
    </row>
    <row r="134" spans="1:4" x14ac:dyDescent="0.15">
      <c r="A134" s="31"/>
      <c r="B134" s="50"/>
      <c r="C134" s="50"/>
      <c r="D134" s="50"/>
    </row>
    <row r="135" spans="1:4" x14ac:dyDescent="0.15">
      <c r="A135" s="31"/>
      <c r="B135" s="50"/>
      <c r="C135" s="50"/>
      <c r="D135" s="50"/>
    </row>
    <row r="136" spans="1:4" x14ac:dyDescent="0.15">
      <c r="A136" s="31"/>
      <c r="B136" s="50"/>
      <c r="C136" s="50"/>
      <c r="D136" s="50"/>
    </row>
    <row r="137" spans="1:4" x14ac:dyDescent="0.15">
      <c r="A137" s="31"/>
      <c r="B137" s="50"/>
      <c r="C137" s="50"/>
      <c r="D137" s="50"/>
    </row>
    <row r="138" spans="1:4" x14ac:dyDescent="0.15">
      <c r="A138" s="31"/>
      <c r="B138" s="50"/>
      <c r="C138" s="50"/>
      <c r="D138" s="50"/>
    </row>
    <row r="139" spans="1:4" x14ac:dyDescent="0.15">
      <c r="A139" s="31"/>
      <c r="B139" s="50"/>
      <c r="C139" s="50"/>
      <c r="D139" s="50"/>
    </row>
    <row r="140" spans="1:4" x14ac:dyDescent="0.15">
      <c r="A140" s="31"/>
      <c r="B140" s="50"/>
      <c r="C140" s="50"/>
      <c r="D140" s="50"/>
    </row>
    <row r="141" spans="1:4" x14ac:dyDescent="0.15">
      <c r="A141" s="31"/>
      <c r="B141" s="50"/>
      <c r="C141" s="50"/>
      <c r="D141" s="50"/>
    </row>
    <row r="142" spans="1:4" x14ac:dyDescent="0.15">
      <c r="A142" s="31"/>
      <c r="B142" s="50"/>
      <c r="C142" s="50"/>
      <c r="D142" s="50"/>
    </row>
    <row r="143" spans="1:4" x14ac:dyDescent="0.15">
      <c r="A143" s="31"/>
      <c r="B143" s="50"/>
      <c r="C143" s="50"/>
      <c r="D143" s="50"/>
    </row>
    <row r="144" spans="1:4" x14ac:dyDescent="0.15">
      <c r="A144" s="31"/>
      <c r="B144" s="50"/>
      <c r="C144" s="50"/>
      <c r="D144" s="50"/>
    </row>
    <row r="145" spans="1:4" x14ac:dyDescent="0.15">
      <c r="A145" s="31"/>
      <c r="B145" s="50"/>
      <c r="C145" s="50"/>
      <c r="D145" s="50"/>
    </row>
    <row r="146" spans="1:4" x14ac:dyDescent="0.15">
      <c r="A146" s="31"/>
      <c r="B146" s="50"/>
      <c r="C146" s="50"/>
      <c r="D146" s="50"/>
    </row>
    <row r="147" spans="1:4" x14ac:dyDescent="0.15">
      <c r="A147" s="31"/>
      <c r="B147" s="50"/>
      <c r="C147" s="50"/>
      <c r="D147" s="50"/>
    </row>
    <row r="148" spans="1:4" x14ac:dyDescent="0.15">
      <c r="A148" s="31"/>
      <c r="B148" s="50"/>
      <c r="C148" s="50"/>
      <c r="D148" s="50"/>
    </row>
    <row r="149" spans="1:4" x14ac:dyDescent="0.15">
      <c r="A149" s="31"/>
      <c r="B149" s="50"/>
      <c r="C149" s="50"/>
      <c r="D149" s="50"/>
    </row>
    <row r="150" spans="1:4" x14ac:dyDescent="0.15">
      <c r="A150" s="31"/>
      <c r="B150" s="50"/>
      <c r="C150" s="50"/>
      <c r="D150" s="50"/>
    </row>
    <row r="151" spans="1:4" x14ac:dyDescent="0.15">
      <c r="A151" s="31"/>
      <c r="B151" s="50"/>
      <c r="C151" s="50"/>
      <c r="D151" s="50"/>
    </row>
    <row r="152" spans="1:4" x14ac:dyDescent="0.15">
      <c r="A152" s="31"/>
      <c r="B152" s="50"/>
      <c r="C152" s="50"/>
      <c r="D152" s="50"/>
    </row>
    <row r="153" spans="1:4" x14ac:dyDescent="0.15">
      <c r="A153" s="31"/>
      <c r="B153" s="50"/>
      <c r="C153" s="50"/>
      <c r="D153" s="50"/>
    </row>
    <row r="154" spans="1:4" x14ac:dyDescent="0.15">
      <c r="A154" s="31"/>
      <c r="B154" s="50"/>
      <c r="C154" s="50"/>
      <c r="D154" s="50"/>
    </row>
    <row r="155" spans="1:4" x14ac:dyDescent="0.15">
      <c r="A155" s="31"/>
      <c r="B155" s="50"/>
      <c r="C155" s="50"/>
      <c r="D155" s="50"/>
    </row>
    <row r="156" spans="1:4" x14ac:dyDescent="0.15">
      <c r="A156" s="31"/>
      <c r="B156" s="50"/>
      <c r="C156" s="50"/>
      <c r="D156" s="50"/>
    </row>
    <row r="157" spans="1:4" x14ac:dyDescent="0.15">
      <c r="A157" s="31"/>
      <c r="B157" s="50"/>
      <c r="C157" s="50"/>
      <c r="D157" s="50"/>
    </row>
    <row r="158" spans="1:4" x14ac:dyDescent="0.15">
      <c r="A158" s="31"/>
      <c r="B158" s="50"/>
      <c r="C158" s="50"/>
      <c r="D158" s="50"/>
    </row>
    <row r="159" spans="1:4" x14ac:dyDescent="0.15">
      <c r="A159" s="31"/>
      <c r="B159" s="50"/>
      <c r="C159" s="50"/>
      <c r="D159" s="50"/>
    </row>
    <row r="160" spans="1:4" x14ac:dyDescent="0.15">
      <c r="A160" s="31"/>
      <c r="B160" s="50"/>
      <c r="C160" s="50"/>
      <c r="D160" s="50"/>
    </row>
    <row r="161" spans="1:4" x14ac:dyDescent="0.15">
      <c r="A161" s="31"/>
      <c r="B161" s="50"/>
      <c r="C161" s="50"/>
      <c r="D161" s="50"/>
    </row>
    <row r="162" spans="1:4" x14ac:dyDescent="0.15">
      <c r="A162" s="31"/>
      <c r="B162" s="50"/>
      <c r="C162" s="50"/>
      <c r="D162" s="50"/>
    </row>
    <row r="163" spans="1:4" x14ac:dyDescent="0.15">
      <c r="A163" s="31"/>
      <c r="B163" s="50"/>
      <c r="C163" s="50"/>
      <c r="D163" s="50"/>
    </row>
    <row r="164" spans="1:4" x14ac:dyDescent="0.15">
      <c r="A164" s="31"/>
      <c r="B164" s="50"/>
      <c r="C164" s="50"/>
      <c r="D164" s="50"/>
    </row>
    <row r="165" spans="1:4" x14ac:dyDescent="0.15">
      <c r="A165" s="31"/>
      <c r="B165" s="50"/>
      <c r="C165" s="50"/>
      <c r="D165" s="50"/>
    </row>
    <row r="166" spans="1:4" x14ac:dyDescent="0.15">
      <c r="A166" s="31"/>
      <c r="B166" s="50"/>
      <c r="C166" s="50"/>
      <c r="D166" s="50"/>
    </row>
    <row r="167" spans="1:4" x14ac:dyDescent="0.15">
      <c r="A167" s="31"/>
      <c r="B167" s="50"/>
      <c r="C167" s="50"/>
      <c r="D167" s="50"/>
    </row>
    <row r="168" spans="1:4" x14ac:dyDescent="0.15">
      <c r="A168" s="31"/>
      <c r="B168" s="50"/>
      <c r="C168" s="50"/>
      <c r="D168" s="50"/>
    </row>
    <row r="169" spans="1:4" x14ac:dyDescent="0.15">
      <c r="A169" s="31"/>
      <c r="B169" s="50"/>
      <c r="C169" s="50"/>
      <c r="D169" s="50"/>
    </row>
    <row r="170" spans="1:4" x14ac:dyDescent="0.15">
      <c r="A170" s="31"/>
      <c r="B170" s="50"/>
      <c r="C170" s="50"/>
      <c r="D170" s="50"/>
    </row>
    <row r="171" spans="1:4" x14ac:dyDescent="0.15">
      <c r="A171" s="31"/>
      <c r="B171" s="50"/>
      <c r="C171" s="50"/>
      <c r="D171" s="50"/>
    </row>
    <row r="172" spans="1:4" x14ac:dyDescent="0.15">
      <c r="A172" s="31"/>
      <c r="B172" s="50"/>
      <c r="C172" s="50"/>
      <c r="D172" s="50"/>
    </row>
    <row r="173" spans="1:4" x14ac:dyDescent="0.15">
      <c r="A173" s="31"/>
      <c r="B173" s="50"/>
      <c r="C173" s="50"/>
      <c r="D173" s="50"/>
    </row>
    <row r="174" spans="1:4" x14ac:dyDescent="0.15">
      <c r="A174" s="31"/>
      <c r="B174" s="50"/>
      <c r="C174" s="50"/>
      <c r="D174" s="50"/>
    </row>
    <row r="175" spans="1:4" x14ac:dyDescent="0.15">
      <c r="A175" s="31"/>
      <c r="B175" s="50"/>
      <c r="C175" s="50"/>
      <c r="D175" s="50"/>
    </row>
    <row r="176" spans="1:4" x14ac:dyDescent="0.15">
      <c r="A176" s="31"/>
      <c r="B176" s="50"/>
      <c r="C176" s="50"/>
      <c r="D176" s="50"/>
    </row>
    <row r="177" spans="1:4" x14ac:dyDescent="0.15">
      <c r="A177" s="31"/>
      <c r="B177" s="50"/>
      <c r="C177" s="50"/>
      <c r="D177" s="50"/>
    </row>
    <row r="178" spans="1:4" x14ac:dyDescent="0.15">
      <c r="A178" s="31"/>
      <c r="B178" s="50"/>
      <c r="C178" s="50"/>
      <c r="D178" s="50"/>
    </row>
    <row r="179" spans="1:4" x14ac:dyDescent="0.15">
      <c r="A179" s="31"/>
      <c r="B179" s="50"/>
      <c r="C179" s="50"/>
      <c r="D179" s="50"/>
    </row>
    <row r="180" spans="1:4" x14ac:dyDescent="0.15">
      <c r="A180" s="31"/>
      <c r="B180" s="50"/>
      <c r="C180" s="50"/>
      <c r="D180" s="50"/>
    </row>
    <row r="181" spans="1:4" x14ac:dyDescent="0.15">
      <c r="A181" s="31"/>
      <c r="B181" s="50"/>
      <c r="C181" s="50"/>
      <c r="D181" s="50"/>
    </row>
    <row r="182" spans="1:4" x14ac:dyDescent="0.15">
      <c r="A182" s="31"/>
      <c r="B182" s="50"/>
      <c r="C182" s="50"/>
      <c r="D182" s="50"/>
    </row>
    <row r="183" spans="1:4" x14ac:dyDescent="0.15">
      <c r="A183" s="31"/>
      <c r="B183" s="50"/>
      <c r="C183" s="50"/>
      <c r="D183" s="50"/>
    </row>
    <row r="184" spans="1:4" x14ac:dyDescent="0.15">
      <c r="A184" s="31"/>
      <c r="B184" s="50"/>
      <c r="C184" s="50"/>
      <c r="D184" s="50"/>
    </row>
    <row r="185" spans="1:4" x14ac:dyDescent="0.15">
      <c r="A185" s="31"/>
      <c r="B185" s="50"/>
      <c r="C185" s="50"/>
      <c r="D185" s="50"/>
    </row>
    <row r="186" spans="1:4" x14ac:dyDescent="0.15">
      <c r="A186" s="31"/>
      <c r="B186" s="50"/>
      <c r="C186" s="50"/>
      <c r="D186" s="50"/>
    </row>
    <row r="187" spans="1:4" x14ac:dyDescent="0.15">
      <c r="A187" s="31"/>
      <c r="B187" s="50"/>
      <c r="C187" s="50"/>
      <c r="D187" s="50"/>
    </row>
    <row r="188" spans="1:4" x14ac:dyDescent="0.15">
      <c r="A188" s="31"/>
      <c r="B188" s="50"/>
      <c r="C188" s="50"/>
      <c r="D188" s="50"/>
    </row>
    <row r="189" spans="1:4" x14ac:dyDescent="0.15">
      <c r="A189" s="31"/>
      <c r="B189" s="50"/>
      <c r="C189" s="50"/>
      <c r="D189" s="50"/>
    </row>
    <row r="190" spans="1:4" x14ac:dyDescent="0.15">
      <c r="A190" s="31"/>
      <c r="B190" s="50"/>
      <c r="C190" s="50"/>
      <c r="D190" s="50"/>
    </row>
    <row r="191" spans="1:4" x14ac:dyDescent="0.15">
      <c r="A191" s="31"/>
      <c r="B191" s="50"/>
      <c r="C191" s="50"/>
      <c r="D191" s="50"/>
    </row>
    <row r="192" spans="1:4" x14ac:dyDescent="0.15">
      <c r="A192" s="31"/>
      <c r="B192" s="50"/>
      <c r="C192" s="50"/>
      <c r="D192" s="50"/>
    </row>
    <row r="193" spans="1:4" x14ac:dyDescent="0.15">
      <c r="A193" s="31"/>
      <c r="B193" s="50"/>
      <c r="C193" s="50"/>
      <c r="D193" s="50"/>
    </row>
    <row r="194" spans="1:4" x14ac:dyDescent="0.15">
      <c r="A194" s="31"/>
      <c r="B194" s="50"/>
      <c r="C194" s="50"/>
      <c r="D194" s="50"/>
    </row>
    <row r="195" spans="1:4" x14ac:dyDescent="0.15">
      <c r="A195" s="31"/>
      <c r="B195" s="50"/>
      <c r="C195" s="50"/>
      <c r="D195" s="50"/>
    </row>
    <row r="196" spans="1:4" x14ac:dyDescent="0.15">
      <c r="A196" s="31"/>
      <c r="B196" s="50"/>
      <c r="C196" s="50"/>
      <c r="D196" s="50"/>
    </row>
    <row r="197" spans="1:4" x14ac:dyDescent="0.15">
      <c r="A197" s="31"/>
      <c r="B197" s="50"/>
      <c r="C197" s="50"/>
      <c r="D197" s="50"/>
    </row>
    <row r="198" spans="1:4" x14ac:dyDescent="0.15">
      <c r="A198" s="31"/>
      <c r="B198" s="50"/>
      <c r="C198" s="50"/>
      <c r="D198" s="50"/>
    </row>
    <row r="199" spans="1:4" x14ac:dyDescent="0.15">
      <c r="A199" s="31"/>
      <c r="B199" s="50"/>
      <c r="C199" s="50"/>
      <c r="D199" s="50"/>
    </row>
    <row r="200" spans="1:4" x14ac:dyDescent="0.15">
      <c r="A200" s="31"/>
      <c r="B200" s="50"/>
      <c r="C200" s="50"/>
      <c r="D200" s="50"/>
    </row>
    <row r="201" spans="1:4" x14ac:dyDescent="0.15">
      <c r="A201" s="31"/>
      <c r="B201" s="50"/>
      <c r="C201" s="50"/>
      <c r="D201" s="50"/>
    </row>
    <row r="202" spans="1:4" x14ac:dyDescent="0.15">
      <c r="A202" s="32"/>
      <c r="B202" s="50"/>
      <c r="C202" s="50"/>
      <c r="D202" s="50"/>
    </row>
  </sheetData>
  <phoneticPr fontId="9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15240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15240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G33"/>
  <sheetViews>
    <sheetView showGridLines="0" zoomScaleNormal="100" zoomScaleSheetLayoutView="130" workbookViewId="0">
      <selection activeCell="A32" sqref="A32"/>
    </sheetView>
  </sheetViews>
  <sheetFormatPr defaultColWidth="0" defaultRowHeight="9.6" zeroHeight="1" x14ac:dyDescent="0.15"/>
  <cols>
    <col min="1" max="1" width="25.7109375" customWidth="1"/>
    <col min="2" max="2" width="16" customWidth="1"/>
    <col min="3" max="5" width="12.5703125" customWidth="1"/>
    <col min="6" max="6" width="12.5703125" style="36" customWidth="1"/>
    <col min="7" max="7" width="0" hidden="1" customWidth="1"/>
    <col min="8" max="16384" width="9.140625" hidden="1"/>
  </cols>
  <sheetData>
    <row r="1" spans="1:6" x14ac:dyDescent="0.15">
      <c r="B1" s="43" t="s">
        <v>73</v>
      </c>
      <c r="C1" s="43"/>
      <c r="D1" s="43"/>
      <c r="E1" s="43" t="s">
        <v>74</v>
      </c>
      <c r="F1" s="44"/>
    </row>
    <row r="2" spans="1:6" x14ac:dyDescent="0.15">
      <c r="A2" s="41" t="s">
        <v>70</v>
      </c>
      <c r="B2" s="68" t="s">
        <v>84</v>
      </c>
      <c r="C2" s="41" t="s">
        <v>85</v>
      </c>
      <c r="D2" s="41" t="s">
        <v>80</v>
      </c>
      <c r="E2" s="41" t="s">
        <v>77</v>
      </c>
      <c r="F2" s="42" t="s">
        <v>78</v>
      </c>
    </row>
    <row r="3" spans="1:6" ht="3" customHeight="1" x14ac:dyDescent="0.15">
      <c r="A3" s="37"/>
      <c r="B3" s="37"/>
      <c r="C3" s="37"/>
      <c r="D3" s="38"/>
      <c r="E3" s="38"/>
      <c r="F3" s="38"/>
    </row>
    <row r="4" spans="1:6" x14ac:dyDescent="0.15">
      <c r="A4" s="40" t="s">
        <v>71</v>
      </c>
      <c r="B4" s="61">
        <v>12</v>
      </c>
      <c r="C4" s="46">
        <f>$C$6/$B$6*$B4</f>
        <v>2.88</v>
      </c>
      <c r="D4" s="45">
        <f t="shared" ref="D4:D9" si="0">C4/SUM($C$3:$C$10)</f>
        <v>0.37499999999999994</v>
      </c>
      <c r="E4" s="62">
        <v>0</v>
      </c>
      <c r="F4" s="45">
        <f t="shared" ref="F4" si="1">D4*E4</f>
        <v>0</v>
      </c>
    </row>
    <row r="5" spans="1:6" x14ac:dyDescent="0.15">
      <c r="A5" s="40" t="s">
        <v>72</v>
      </c>
      <c r="B5" s="63">
        <v>9</v>
      </c>
      <c r="C5" s="59">
        <f>$C$6/$B$6*$B5</f>
        <v>2.16</v>
      </c>
      <c r="D5" s="45">
        <f t="shared" si="0"/>
        <v>0.28125</v>
      </c>
      <c r="E5" s="62">
        <v>0</v>
      </c>
      <c r="F5" s="45">
        <f>D5*E5</f>
        <v>0</v>
      </c>
    </row>
    <row r="6" spans="1:6" x14ac:dyDescent="0.15">
      <c r="A6" s="53" t="s">
        <v>75</v>
      </c>
      <c r="B6" s="61">
        <v>5</v>
      </c>
      <c r="C6" s="61">
        <v>1.2</v>
      </c>
      <c r="D6" s="54">
        <f t="shared" si="0"/>
        <v>0.15624999999999997</v>
      </c>
      <c r="E6" s="62">
        <v>0.85</v>
      </c>
      <c r="F6" s="45">
        <f t="shared" ref="F6:F9" si="2">D6*E6</f>
        <v>0.13281249999999997</v>
      </c>
    </row>
    <row r="7" spans="1:6" x14ac:dyDescent="0.15">
      <c r="A7" s="40" t="s">
        <v>71</v>
      </c>
      <c r="B7" s="64">
        <v>3</v>
      </c>
      <c r="C7" s="60">
        <f t="shared" ref="C7:C9" si="3">$C$6/$B$6*$B7</f>
        <v>0.72</v>
      </c>
      <c r="D7" s="45">
        <f t="shared" si="0"/>
        <v>9.3749999999999986E-2</v>
      </c>
      <c r="E7" s="62">
        <v>0</v>
      </c>
      <c r="F7" s="45">
        <f t="shared" si="2"/>
        <v>0</v>
      </c>
    </row>
    <row r="8" spans="1:6" x14ac:dyDescent="0.15">
      <c r="A8" s="40" t="s">
        <v>71</v>
      </c>
      <c r="B8" s="61">
        <v>1.5</v>
      </c>
      <c r="C8" s="46">
        <f t="shared" si="3"/>
        <v>0.36</v>
      </c>
      <c r="D8" s="45">
        <f t="shared" si="0"/>
        <v>4.6874999999999993E-2</v>
      </c>
      <c r="E8" s="62">
        <v>0</v>
      </c>
      <c r="F8" s="45">
        <f t="shared" si="2"/>
        <v>0</v>
      </c>
    </row>
    <row r="9" spans="1:6" x14ac:dyDescent="0.15">
      <c r="A9" s="40" t="s">
        <v>76</v>
      </c>
      <c r="B9" s="61">
        <v>1.5</v>
      </c>
      <c r="C9" s="46">
        <f t="shared" si="3"/>
        <v>0.36</v>
      </c>
      <c r="D9" s="45">
        <f t="shared" si="0"/>
        <v>4.6874999999999993E-2</v>
      </c>
      <c r="E9" s="62">
        <v>0</v>
      </c>
      <c r="F9" s="45">
        <f t="shared" si="2"/>
        <v>0</v>
      </c>
    </row>
    <row r="10" spans="1:6" ht="3" customHeight="1" x14ac:dyDescent="0.15">
      <c r="A10" s="37"/>
      <c r="B10" s="37"/>
      <c r="C10" s="37"/>
      <c r="D10" s="38"/>
      <c r="E10" s="38"/>
      <c r="F10" s="38"/>
    </row>
    <row r="11" spans="1:6" x14ac:dyDescent="0.15">
      <c r="A11" s="52" t="s">
        <v>81</v>
      </c>
      <c r="B11" s="52"/>
      <c r="C11" s="46">
        <f>SUM(C3:C10)</f>
        <v>7.6800000000000006</v>
      </c>
      <c r="D11" s="45">
        <f>SUM(D3:D10)</f>
        <v>1</v>
      </c>
      <c r="E11" s="47" t="s">
        <v>79</v>
      </c>
      <c r="F11" s="45">
        <f>SUM(F3:F10)</f>
        <v>0.13281249999999997</v>
      </c>
    </row>
    <row r="12" spans="1:6" x14ac:dyDescent="0.15"/>
    <row r="13" spans="1:6" x14ac:dyDescent="0.15">
      <c r="E13" s="43" t="s">
        <v>89</v>
      </c>
      <c r="F13" s="44"/>
    </row>
    <row r="14" spans="1:6" x14ac:dyDescent="0.15">
      <c r="A14" s="41" t="s">
        <v>87</v>
      </c>
      <c r="B14" s="41" t="s">
        <v>93</v>
      </c>
      <c r="C14" s="41" t="s">
        <v>91</v>
      </c>
      <c r="D14" s="41" t="s">
        <v>88</v>
      </c>
      <c r="E14" s="41" t="s">
        <v>90</v>
      </c>
      <c r="F14" s="41" t="s">
        <v>92</v>
      </c>
    </row>
    <row r="15" spans="1:6" ht="3" customHeight="1" x14ac:dyDescent="0.15">
      <c r="A15" s="37"/>
      <c r="B15" s="69"/>
      <c r="C15" s="37"/>
      <c r="D15" s="38"/>
      <c r="E15" s="38"/>
      <c r="F15" s="38"/>
    </row>
    <row r="16" spans="1:6" x14ac:dyDescent="0.15">
      <c r="A16" s="58">
        <v>43766</v>
      </c>
      <c r="B16" s="55" t="s">
        <v>86</v>
      </c>
      <c r="C16" s="56">
        <f>IF(B16="〇",COUNTIF($B$15:$B16,"〇")/COUNTIF($B$15:$B33,"〇"),"-")</f>
        <v>0.1</v>
      </c>
      <c r="D16" s="39">
        <v>0.141666666666667</v>
      </c>
      <c r="E16" s="39">
        <f>IF(D16="","",D16-C16)</f>
        <v>4.166666666666699E-2</v>
      </c>
      <c r="F16" s="57">
        <f>IF(E16="","",COUNTIF($B$15:$B33,"〇")*E16)</f>
        <v>0.4166666666666699</v>
      </c>
    </row>
    <row r="17" spans="1:6" x14ac:dyDescent="0.15">
      <c r="A17" s="58">
        <f>A16+1</f>
        <v>43767</v>
      </c>
      <c r="B17" s="55" t="s">
        <v>86</v>
      </c>
      <c r="C17" s="56">
        <f>IF(B17="〇",COUNTIF($B$15:$B17,"〇")/COUNTIF($B$15:$B33,"〇"),"-")</f>
        <v>0.2</v>
      </c>
      <c r="D17" s="39"/>
      <c r="E17" s="39" t="str">
        <f t="shared" ref="E17:E32" si="4">IF(D17="","",D17-C17)</f>
        <v/>
      </c>
      <c r="F17" s="57" t="str">
        <f>IF(E17="","",COUNTIF($B$15:$B33,"〇")*E17)</f>
        <v/>
      </c>
    </row>
    <row r="18" spans="1:6" x14ac:dyDescent="0.15">
      <c r="A18" s="58">
        <f t="shared" ref="A18:A32" si="5">A17+1</f>
        <v>43768</v>
      </c>
      <c r="B18" s="55" t="s">
        <v>86</v>
      </c>
      <c r="C18" s="56">
        <f>IF(B18="〇",COUNTIF($B$15:$B18,"〇")/COUNTIF($B$15:$B34,"〇"),"-")</f>
        <v>0.3</v>
      </c>
      <c r="D18" s="39"/>
      <c r="E18" s="39" t="str">
        <f t="shared" si="4"/>
        <v/>
      </c>
      <c r="F18" s="57" t="str">
        <f>IF(E18="","",COUNTIF($B$15:$B34,"〇")*E18)</f>
        <v/>
      </c>
    </row>
    <row r="19" spans="1:6" x14ac:dyDescent="0.15">
      <c r="A19" s="58">
        <f t="shared" si="5"/>
        <v>43769</v>
      </c>
      <c r="B19" s="55" t="s">
        <v>86</v>
      </c>
      <c r="C19" s="56">
        <f>IF(B19="〇",COUNTIF($B$15:$B19,"〇")/COUNTIF($B$15:$B35,"〇"),"-")</f>
        <v>0.4</v>
      </c>
      <c r="D19" s="39"/>
      <c r="E19" s="39" t="str">
        <f t="shared" si="4"/>
        <v/>
      </c>
      <c r="F19" s="57" t="str">
        <f>IF(E19="","",COUNTIF($B$15:$B35,"〇")*E19)</f>
        <v/>
      </c>
    </row>
    <row r="20" spans="1:6" x14ac:dyDescent="0.15">
      <c r="A20" s="58">
        <f t="shared" si="5"/>
        <v>43770</v>
      </c>
      <c r="B20" s="55" t="s">
        <v>86</v>
      </c>
      <c r="C20" s="56">
        <f>IF(B20="〇",COUNTIF($B$15:$B20,"〇")/COUNTIF($B$15:$B36,"〇"),"-")</f>
        <v>0.5</v>
      </c>
      <c r="D20" s="39"/>
      <c r="E20" s="39" t="str">
        <f t="shared" si="4"/>
        <v/>
      </c>
      <c r="F20" s="57" t="str">
        <f>IF(E20="","",COUNTIF($B$15:$B36,"〇")*E20)</f>
        <v/>
      </c>
    </row>
    <row r="21" spans="1:6" x14ac:dyDescent="0.15">
      <c r="A21" s="65">
        <f t="shared" si="5"/>
        <v>43771</v>
      </c>
      <c r="B21" s="70" t="s">
        <v>94</v>
      </c>
      <c r="C21" s="47" t="str">
        <f>IF(B21="〇",COUNTIF($B$15:$B21,"〇")/COUNTIF($B$15:$B37,"〇"),"-")</f>
        <v>-</v>
      </c>
      <c r="D21" s="45"/>
      <c r="E21" s="45" t="str">
        <f t="shared" si="4"/>
        <v/>
      </c>
      <c r="F21" s="66" t="str">
        <f>IF(E21="","",COUNTIF($B$15:$B37,"〇")*E21)</f>
        <v/>
      </c>
    </row>
    <row r="22" spans="1:6" x14ac:dyDescent="0.15">
      <c r="A22" s="65">
        <f t="shared" si="5"/>
        <v>43772</v>
      </c>
      <c r="B22" s="70" t="s">
        <v>94</v>
      </c>
      <c r="C22" s="47" t="str">
        <f>IF(B22="〇",COUNTIF($B$15:$B22,"〇")/COUNTIF($B$15:$B38,"〇"),"-")</f>
        <v>-</v>
      </c>
      <c r="D22" s="45"/>
      <c r="E22" s="45" t="str">
        <f t="shared" si="4"/>
        <v/>
      </c>
      <c r="F22" s="66" t="str">
        <f>IF(E22="","",COUNTIF($B$15:$B38,"〇")*E22)</f>
        <v/>
      </c>
    </row>
    <row r="23" spans="1:6" s="67" customFormat="1" x14ac:dyDescent="0.15">
      <c r="A23" s="65">
        <f t="shared" si="5"/>
        <v>43773</v>
      </c>
      <c r="B23" s="70" t="s">
        <v>94</v>
      </c>
      <c r="C23" s="47" t="str">
        <f>IF(B23="〇",COUNTIF($B$15:$B23,"〇")/COUNTIF($B$15:$B39,"〇"),"-")</f>
        <v>-</v>
      </c>
      <c r="D23" s="45"/>
      <c r="E23" s="45" t="str">
        <f t="shared" si="4"/>
        <v/>
      </c>
      <c r="F23" s="66" t="str">
        <f>IF(E23="","",COUNTIF($B$15:$B39,"〇")*E23)</f>
        <v/>
      </c>
    </row>
    <row r="24" spans="1:6" x14ac:dyDescent="0.15">
      <c r="A24" s="58">
        <f t="shared" si="5"/>
        <v>43774</v>
      </c>
      <c r="B24" s="55" t="s">
        <v>86</v>
      </c>
      <c r="C24" s="56">
        <f>IF(B24="〇",COUNTIF($B$15:$B24,"〇")/COUNTIF($B$15:$B40,"〇"),"-")</f>
        <v>0.6</v>
      </c>
      <c r="D24" s="39"/>
      <c r="E24" s="39" t="str">
        <f t="shared" si="4"/>
        <v/>
      </c>
      <c r="F24" s="57" t="str">
        <f>IF(E24="","",COUNTIF($B$15:$B40,"〇")*E24)</f>
        <v/>
      </c>
    </row>
    <row r="25" spans="1:6" x14ac:dyDescent="0.15">
      <c r="A25" s="58">
        <f t="shared" si="5"/>
        <v>43775</v>
      </c>
      <c r="B25" s="55" t="s">
        <v>86</v>
      </c>
      <c r="C25" s="56">
        <f>IF(B25="〇",COUNTIF($B$15:$B25,"〇")/COUNTIF($B$15:$B41,"〇"),"-")</f>
        <v>0.7</v>
      </c>
      <c r="D25" s="39"/>
      <c r="E25" s="39" t="str">
        <f t="shared" si="4"/>
        <v/>
      </c>
      <c r="F25" s="57" t="str">
        <f>IF(E25="","",COUNTIF($B$15:$B41,"〇")*E25)</f>
        <v/>
      </c>
    </row>
    <row r="26" spans="1:6" x14ac:dyDescent="0.15">
      <c r="A26" s="58">
        <f t="shared" si="5"/>
        <v>43776</v>
      </c>
      <c r="B26" s="55" t="s">
        <v>86</v>
      </c>
      <c r="C26" s="56">
        <f>IF(B26="〇",COUNTIF($B$15:$B26,"〇")/COUNTIF($B$15:$B42,"〇"),"-")</f>
        <v>0.8</v>
      </c>
      <c r="D26" s="39"/>
      <c r="E26" s="39" t="str">
        <f t="shared" si="4"/>
        <v/>
      </c>
      <c r="F26" s="57" t="str">
        <f>IF(E26="","",COUNTIF($B$15:$B42,"〇")*E26)</f>
        <v/>
      </c>
    </row>
    <row r="27" spans="1:6" x14ac:dyDescent="0.15">
      <c r="A27" s="58">
        <f t="shared" si="5"/>
        <v>43777</v>
      </c>
      <c r="B27" s="55" t="s">
        <v>86</v>
      </c>
      <c r="C27" s="56">
        <f>IF(B27="〇",COUNTIF($B$15:$B27,"〇")/COUNTIF($B$15:$B43,"〇"),"-")</f>
        <v>0.9</v>
      </c>
      <c r="D27" s="39"/>
      <c r="E27" s="39" t="str">
        <f t="shared" si="4"/>
        <v/>
      </c>
      <c r="F27" s="57" t="str">
        <f>IF(E27="","",COUNTIF($B$15:$B43,"〇")*E27)</f>
        <v/>
      </c>
    </row>
    <row r="28" spans="1:6" x14ac:dyDescent="0.15">
      <c r="A28" s="65">
        <f t="shared" si="5"/>
        <v>43778</v>
      </c>
      <c r="B28" s="70" t="s">
        <v>94</v>
      </c>
      <c r="C28" s="47" t="str">
        <f>IF(B28="〇",COUNTIF($B$15:$B28,"〇")/COUNTIF($B$15:$B44,"〇"),"-")</f>
        <v>-</v>
      </c>
      <c r="D28" s="45"/>
      <c r="E28" s="45" t="str">
        <f t="shared" si="4"/>
        <v/>
      </c>
      <c r="F28" s="66" t="str">
        <f>IF(E28="","",COUNTIF($B$15:$B44,"〇")*E28)</f>
        <v/>
      </c>
    </row>
    <row r="29" spans="1:6" x14ac:dyDescent="0.15">
      <c r="A29" s="65">
        <f t="shared" si="5"/>
        <v>43779</v>
      </c>
      <c r="B29" s="70" t="s">
        <v>94</v>
      </c>
      <c r="C29" s="47" t="str">
        <f>IF(B29="〇",COUNTIF($B$15:$B29,"〇")/COUNTIF($B$15:$B45,"〇"),"-")</f>
        <v>-</v>
      </c>
      <c r="D29" s="45"/>
      <c r="E29" s="45" t="str">
        <f t="shared" si="4"/>
        <v/>
      </c>
      <c r="F29" s="66" t="str">
        <f>IF(E29="","",COUNTIF($B$15:$B45,"〇")*E29)</f>
        <v/>
      </c>
    </row>
    <row r="30" spans="1:6" x14ac:dyDescent="0.15">
      <c r="A30" s="58">
        <f t="shared" si="5"/>
        <v>43780</v>
      </c>
      <c r="B30" s="55" t="s">
        <v>86</v>
      </c>
      <c r="C30" s="56">
        <f>IF(B30="〇",COUNTIF($B$15:$B30,"〇")/COUNTIF($B$15:$B46,"〇"),"-")</f>
        <v>1</v>
      </c>
      <c r="D30" s="39"/>
      <c r="E30" s="39" t="str">
        <f t="shared" si="4"/>
        <v/>
      </c>
      <c r="F30" s="57" t="str">
        <f>IF(E30="","",COUNTIF($B$15:$B46,"〇")*E30)</f>
        <v/>
      </c>
    </row>
    <row r="31" spans="1:6" x14ac:dyDescent="0.15">
      <c r="A31" s="65">
        <f t="shared" si="5"/>
        <v>43781</v>
      </c>
      <c r="B31" s="70" t="s">
        <v>94</v>
      </c>
      <c r="C31" s="47" t="str">
        <f>IF(B31="〇",COUNTIF($B$15:$B31,"〇")/COUNTIF($B$15:$B47,"〇"),"-")</f>
        <v>-</v>
      </c>
      <c r="D31" s="45"/>
      <c r="E31" s="45" t="str">
        <f t="shared" si="4"/>
        <v/>
      </c>
      <c r="F31" s="66" t="str">
        <f>IF(E31="","",COUNTIF($B$15:$B47,"〇")*E31)</f>
        <v/>
      </c>
    </row>
    <row r="32" spans="1:6" x14ac:dyDescent="0.15">
      <c r="A32" s="65">
        <f t="shared" si="5"/>
        <v>43782</v>
      </c>
      <c r="B32" s="70" t="s">
        <v>94</v>
      </c>
      <c r="C32" s="47" t="str">
        <f>IF(B32="〇",COUNTIF($B$15:$B32,"〇")/COUNTIF($B$15:$B48,"〇"),"-")</f>
        <v>-</v>
      </c>
      <c r="D32" s="45"/>
      <c r="E32" s="45" t="str">
        <f t="shared" si="4"/>
        <v/>
      </c>
      <c r="F32" s="66" t="str">
        <f>IF(E32="","",COUNTIF($B$15:$B48,"〇")*E32)</f>
        <v/>
      </c>
    </row>
    <row r="33" spans="1:6" ht="3" customHeight="1" x14ac:dyDescent="0.15">
      <c r="A33" s="37"/>
      <c r="B33" s="69"/>
      <c r="C33" s="37"/>
      <c r="D33" s="38"/>
      <c r="E33" s="38"/>
      <c r="F33" s="38"/>
    </row>
  </sheetData>
  <phoneticPr fontId="9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Y512"/>
  <sheetViews>
    <sheetView showGridLines="0" zoomScaleNormal="100" workbookViewId="0">
      <pane xSplit="1" ySplit="11" topLeftCell="B12" activePane="bottomRight" state="frozen"/>
      <selection activeCell="A11" sqref="A11"/>
      <selection pane="topRight" activeCell="B11" sqref="B11"/>
      <selection pane="bottomLeft" activeCell="A12" sqref="A12"/>
      <selection pane="bottomRight" activeCell="B12" sqref="B12"/>
    </sheetView>
  </sheetViews>
  <sheetFormatPr defaultColWidth="0" defaultRowHeight="9.6" x14ac:dyDescent="0.15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6" width="47.28515625" style="6" customWidth="1"/>
    <col min="7" max="7" width="21.5703125" style="6" customWidth="1"/>
    <col min="8" max="8" width="3.28515625" style="6" customWidth="1"/>
    <col min="9" max="15" width="3.28515625" style="7" customWidth="1"/>
    <col min="16" max="17" width="8.5703125" style="7" customWidth="1"/>
    <col min="18" max="18" width="8.5703125" style="6" customWidth="1"/>
    <col min="19" max="19" width="9.7109375" style="6" customWidth="1"/>
    <col min="20" max="20" width="9.7109375" customWidth="1"/>
    <col min="21" max="22" width="9.140625" customWidth="1"/>
    <col min="23" max="24" width="9.140625" hidden="1" customWidth="1"/>
    <col min="25" max="25" width="8" style="6" hidden="1" customWidth="1"/>
    <col min="26" max="16384" width="9.140625" style="6" hidden="1"/>
  </cols>
  <sheetData>
    <row r="1" spans="1:22" s="15" customFormat="1" hidden="1" x14ac:dyDescent="0.15">
      <c r="A1" s="18"/>
      <c r="B1" s="28" t="s">
        <v>50</v>
      </c>
      <c r="C1" s="18" t="s">
        <v>43</v>
      </c>
      <c r="D1" s="35" t="s">
        <v>68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9"/>
      <c r="U1" s="19"/>
      <c r="V1" s="18"/>
    </row>
    <row r="2" spans="1:22" s="15" customFormat="1" hidden="1" x14ac:dyDescent="0.15">
      <c r="A2" s="18"/>
      <c r="B2" s="28" t="s">
        <v>57</v>
      </c>
      <c r="C2" s="18" t="s">
        <v>44</v>
      </c>
      <c r="D2" s="28" t="s">
        <v>69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9"/>
      <c r="U2" s="19"/>
      <c r="V2" s="18"/>
    </row>
    <row r="3" spans="1:22" s="15" customFormat="1" hidden="1" x14ac:dyDescent="0.15">
      <c r="A3" s="18"/>
      <c r="B3" s="28" t="s">
        <v>58</v>
      </c>
      <c r="C3" s="18" t="s">
        <v>45</v>
      </c>
      <c r="D3" s="23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9"/>
      <c r="U3" s="19"/>
      <c r="V3" s="18"/>
    </row>
    <row r="4" spans="1:22" s="15" customFormat="1" ht="19.2" hidden="1" x14ac:dyDescent="0.15">
      <c r="A4" s="18"/>
      <c r="B4" s="28" t="s">
        <v>56</v>
      </c>
      <c r="C4" s="18" t="s">
        <v>97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9"/>
      <c r="U4" s="19"/>
      <c r="V4" s="18"/>
    </row>
    <row r="5" spans="1:22" s="15" customFormat="1" hidden="1" x14ac:dyDescent="0.15">
      <c r="A5" s="18"/>
      <c r="B5" s="28" t="s">
        <v>59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9"/>
      <c r="U5" s="19"/>
      <c r="V5" s="18"/>
    </row>
    <row r="6" spans="1:22" s="15" customFormat="1" hidden="1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9"/>
      <c r="U6" s="19"/>
      <c r="V6" s="18"/>
    </row>
    <row r="7" spans="1:22" s="15" customFormat="1" hidden="1" x14ac:dyDescent="0.1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9"/>
      <c r="U7" s="19"/>
      <c r="V7" s="18"/>
    </row>
    <row r="8" spans="1:22" s="15" customFormat="1" hidden="1" x14ac:dyDescent="0.1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9"/>
      <c r="U8" s="19"/>
      <c r="V8" s="18"/>
    </row>
    <row r="9" spans="1:22" s="15" customFormat="1" hidden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9"/>
      <c r="U9" s="19"/>
      <c r="V9" s="18"/>
    </row>
    <row r="10" spans="1:22" s="15" customFormat="1" hidden="1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9"/>
      <c r="U10" s="19"/>
      <c r="V10" s="18"/>
    </row>
    <row r="11" spans="1:22" s="5" customFormat="1" ht="86.4" x14ac:dyDescent="0.15">
      <c r="A11" s="3" t="s">
        <v>33</v>
      </c>
      <c r="B11" s="2" t="s">
        <v>14</v>
      </c>
      <c r="C11" s="2" t="s">
        <v>1</v>
      </c>
      <c r="D11" s="2" t="s">
        <v>13</v>
      </c>
      <c r="E11" s="2" t="s">
        <v>55</v>
      </c>
      <c r="F11" s="3" t="s">
        <v>39</v>
      </c>
      <c r="G11" s="2" t="s">
        <v>38</v>
      </c>
      <c r="H11" s="14" t="s">
        <v>51</v>
      </c>
      <c r="I11" s="14" t="s">
        <v>52</v>
      </c>
      <c r="J11" s="14" t="s">
        <v>25</v>
      </c>
      <c r="K11" s="14" t="s">
        <v>29</v>
      </c>
      <c r="L11" s="14" t="s">
        <v>24</v>
      </c>
      <c r="M11" s="14" t="s">
        <v>26</v>
      </c>
      <c r="N11" s="14" t="s">
        <v>27</v>
      </c>
      <c r="O11" s="14" t="s">
        <v>28</v>
      </c>
      <c r="P11" s="2" t="s">
        <v>16</v>
      </c>
      <c r="Q11" s="2" t="s">
        <v>17</v>
      </c>
      <c r="R11" s="2" t="s">
        <v>7</v>
      </c>
      <c r="S11" s="2" t="s">
        <v>22</v>
      </c>
      <c r="T11" s="2" t="s">
        <v>23</v>
      </c>
      <c r="U11" s="2" t="s">
        <v>37</v>
      </c>
      <c r="V11" s="2" t="s">
        <v>2</v>
      </c>
    </row>
    <row r="12" spans="1:22" s="5" customFormat="1" x14ac:dyDescent="0.15">
      <c r="A12" s="10">
        <v>1</v>
      </c>
      <c r="B12" s="12" t="s">
        <v>49</v>
      </c>
      <c r="C12" s="11" t="s">
        <v>98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3" t="s">
        <v>35</v>
      </c>
      <c r="Q12" s="13" t="s">
        <v>35</v>
      </c>
      <c r="R12" s="13" t="s">
        <v>35</v>
      </c>
      <c r="S12" s="16" t="s">
        <v>36</v>
      </c>
      <c r="T12" s="16" t="s">
        <v>46</v>
      </c>
      <c r="U12" s="17">
        <v>0</v>
      </c>
      <c r="V12" s="13" t="s">
        <v>35</v>
      </c>
    </row>
    <row r="13" spans="1:22" s="5" customFormat="1" x14ac:dyDescent="0.15">
      <c r="A13" s="10">
        <v>2</v>
      </c>
      <c r="B13" s="12" t="s">
        <v>49</v>
      </c>
      <c r="C13" s="11" t="s">
        <v>98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3" t="s">
        <v>35</v>
      </c>
      <c r="Q13" s="13" t="s">
        <v>35</v>
      </c>
      <c r="R13" s="13" t="s">
        <v>35</v>
      </c>
      <c r="S13" s="16" t="s">
        <v>36</v>
      </c>
      <c r="T13" s="16" t="s">
        <v>36</v>
      </c>
      <c r="U13" s="17">
        <v>0</v>
      </c>
      <c r="V13" s="13" t="s">
        <v>35</v>
      </c>
    </row>
    <row r="14" spans="1:22" s="5" customFormat="1" x14ac:dyDescent="0.15">
      <c r="A14" s="10">
        <v>3</v>
      </c>
      <c r="B14" s="12" t="s">
        <v>49</v>
      </c>
      <c r="C14" s="11" t="s">
        <v>98</v>
      </c>
      <c r="D14" s="27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3" t="s">
        <v>35</v>
      </c>
      <c r="Q14" s="13" t="s">
        <v>35</v>
      </c>
      <c r="R14" s="13" t="s">
        <v>35</v>
      </c>
      <c r="S14" s="16" t="s">
        <v>36</v>
      </c>
      <c r="T14" s="16" t="s">
        <v>36</v>
      </c>
      <c r="U14" s="17">
        <v>0</v>
      </c>
      <c r="V14" s="13" t="s">
        <v>35</v>
      </c>
    </row>
    <row r="15" spans="1:22" s="5" customFormat="1" x14ac:dyDescent="0.15">
      <c r="A15" s="10">
        <v>4</v>
      </c>
      <c r="B15" s="12" t="s">
        <v>49</v>
      </c>
      <c r="C15" s="11" t="s">
        <v>98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3" t="s">
        <v>35</v>
      </c>
      <c r="Q15" s="13" t="s">
        <v>35</v>
      </c>
      <c r="R15" s="13" t="s">
        <v>35</v>
      </c>
      <c r="S15" s="16" t="s">
        <v>36</v>
      </c>
      <c r="T15" s="16" t="s">
        <v>36</v>
      </c>
      <c r="U15" s="17">
        <v>0</v>
      </c>
      <c r="V15" s="13" t="s">
        <v>35</v>
      </c>
    </row>
    <row r="16" spans="1:22" s="5" customFormat="1" x14ac:dyDescent="0.15">
      <c r="A16" s="10">
        <v>5</v>
      </c>
      <c r="B16" s="12" t="s">
        <v>49</v>
      </c>
      <c r="C16" s="11" t="s">
        <v>98</v>
      </c>
      <c r="D16" s="11"/>
      <c r="E16" s="10"/>
      <c r="F16" s="10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3" t="s">
        <v>35</v>
      </c>
      <c r="Q16" s="13" t="s">
        <v>35</v>
      </c>
      <c r="R16" s="13" t="s">
        <v>35</v>
      </c>
      <c r="S16" s="16" t="s">
        <v>36</v>
      </c>
      <c r="T16" s="16" t="s">
        <v>36</v>
      </c>
      <c r="U16" s="17">
        <v>0</v>
      </c>
      <c r="V16" s="13" t="s">
        <v>35</v>
      </c>
    </row>
    <row r="17" spans="1:22" s="5" customFormat="1" x14ac:dyDescent="0.15">
      <c r="A17" s="10">
        <v>6</v>
      </c>
      <c r="B17" s="12" t="s">
        <v>49</v>
      </c>
      <c r="C17" s="11" t="s">
        <v>98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3" t="s">
        <v>35</v>
      </c>
      <c r="Q17" s="13" t="s">
        <v>35</v>
      </c>
      <c r="R17" s="13" t="s">
        <v>35</v>
      </c>
      <c r="S17" s="16" t="s">
        <v>36</v>
      </c>
      <c r="T17" s="16" t="s">
        <v>36</v>
      </c>
      <c r="U17" s="17">
        <v>0</v>
      </c>
      <c r="V17" s="13" t="s">
        <v>35</v>
      </c>
    </row>
    <row r="18" spans="1:22" s="5" customFormat="1" x14ac:dyDescent="0.15">
      <c r="A18" s="10">
        <v>7</v>
      </c>
      <c r="B18" s="12" t="s">
        <v>49</v>
      </c>
      <c r="C18" s="11" t="s">
        <v>98</v>
      </c>
      <c r="D18" s="20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3" t="s">
        <v>35</v>
      </c>
      <c r="Q18" s="13" t="s">
        <v>35</v>
      </c>
      <c r="R18" s="13" t="s">
        <v>35</v>
      </c>
      <c r="S18" s="16" t="s">
        <v>36</v>
      </c>
      <c r="T18" s="16" t="s">
        <v>36</v>
      </c>
      <c r="U18" s="17">
        <v>0</v>
      </c>
      <c r="V18" s="13" t="s">
        <v>35</v>
      </c>
    </row>
    <row r="19" spans="1:22" s="5" customFormat="1" x14ac:dyDescent="0.15">
      <c r="A19" s="10">
        <v>8</v>
      </c>
      <c r="B19" s="12" t="s">
        <v>49</v>
      </c>
      <c r="C19" s="11" t="s">
        <v>98</v>
      </c>
      <c r="D19" s="21"/>
      <c r="E19" s="10"/>
      <c r="F19" s="22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3" t="s">
        <v>35</v>
      </c>
      <c r="Q19" s="13" t="s">
        <v>35</v>
      </c>
      <c r="R19" s="13" t="s">
        <v>35</v>
      </c>
      <c r="S19" s="16" t="s">
        <v>36</v>
      </c>
      <c r="T19" s="16" t="s">
        <v>36</v>
      </c>
      <c r="U19" s="17">
        <v>0</v>
      </c>
      <c r="V19" s="13" t="s">
        <v>35</v>
      </c>
    </row>
    <row r="20" spans="1:22" s="5" customFormat="1" x14ac:dyDescent="0.15">
      <c r="A20" s="10">
        <v>9</v>
      </c>
      <c r="B20" s="12" t="s">
        <v>49</v>
      </c>
      <c r="C20" s="11" t="s">
        <v>98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3" t="s">
        <v>35</v>
      </c>
      <c r="Q20" s="13" t="s">
        <v>35</v>
      </c>
      <c r="R20" s="13" t="s">
        <v>35</v>
      </c>
      <c r="S20" s="16" t="s">
        <v>36</v>
      </c>
      <c r="T20" s="16" t="s">
        <v>36</v>
      </c>
      <c r="U20" s="17">
        <v>0</v>
      </c>
      <c r="V20" s="13" t="s">
        <v>35</v>
      </c>
    </row>
    <row r="21" spans="1:22" s="5" customFormat="1" x14ac:dyDescent="0.15">
      <c r="A21" s="10">
        <v>10</v>
      </c>
      <c r="B21" s="12" t="s">
        <v>49</v>
      </c>
      <c r="C21" s="11" t="s">
        <v>98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3" t="s">
        <v>35</v>
      </c>
      <c r="Q21" s="13" t="s">
        <v>35</v>
      </c>
      <c r="R21" s="13" t="s">
        <v>35</v>
      </c>
      <c r="S21" s="16" t="s">
        <v>36</v>
      </c>
      <c r="T21" s="16" t="s">
        <v>36</v>
      </c>
      <c r="U21" s="17">
        <v>0</v>
      </c>
      <c r="V21" s="13" t="s">
        <v>35</v>
      </c>
    </row>
    <row r="22" spans="1:22" s="5" customFormat="1" x14ac:dyDescent="0.15">
      <c r="A22" s="10">
        <v>11</v>
      </c>
      <c r="B22" s="12" t="s">
        <v>49</v>
      </c>
      <c r="C22" s="11" t="s">
        <v>98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3" t="s">
        <v>35</v>
      </c>
      <c r="Q22" s="13" t="s">
        <v>35</v>
      </c>
      <c r="R22" s="13" t="s">
        <v>35</v>
      </c>
      <c r="S22" s="16" t="s">
        <v>36</v>
      </c>
      <c r="T22" s="16" t="s">
        <v>36</v>
      </c>
      <c r="U22" s="17">
        <v>0</v>
      </c>
      <c r="V22" s="13" t="s">
        <v>35</v>
      </c>
    </row>
    <row r="23" spans="1:22" s="5" customFormat="1" x14ac:dyDescent="0.15">
      <c r="A23" s="10">
        <v>12</v>
      </c>
      <c r="B23" s="12" t="s">
        <v>49</v>
      </c>
      <c r="C23" s="11" t="s">
        <v>98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3" t="s">
        <v>35</v>
      </c>
      <c r="Q23" s="13" t="s">
        <v>35</v>
      </c>
      <c r="R23" s="13" t="s">
        <v>35</v>
      </c>
      <c r="S23" s="16" t="s">
        <v>36</v>
      </c>
      <c r="T23" s="16" t="s">
        <v>36</v>
      </c>
      <c r="U23" s="17">
        <v>0</v>
      </c>
      <c r="V23" s="13" t="s">
        <v>35</v>
      </c>
    </row>
    <row r="24" spans="1:22" s="5" customFormat="1" x14ac:dyDescent="0.15">
      <c r="A24" s="10">
        <v>13</v>
      </c>
      <c r="B24" s="12" t="s">
        <v>49</v>
      </c>
      <c r="C24" s="11" t="s">
        <v>98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3" t="s">
        <v>35</v>
      </c>
      <c r="Q24" s="13" t="s">
        <v>35</v>
      </c>
      <c r="R24" s="13" t="s">
        <v>35</v>
      </c>
      <c r="S24" s="16" t="s">
        <v>36</v>
      </c>
      <c r="T24" s="16" t="s">
        <v>36</v>
      </c>
      <c r="U24" s="17">
        <v>0</v>
      </c>
      <c r="V24" s="13" t="s">
        <v>35</v>
      </c>
    </row>
    <row r="25" spans="1:22" s="5" customFormat="1" x14ac:dyDescent="0.15">
      <c r="A25" s="10">
        <v>14</v>
      </c>
      <c r="B25" s="12" t="s">
        <v>49</v>
      </c>
      <c r="C25" s="11" t="s">
        <v>98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3" t="s">
        <v>35</v>
      </c>
      <c r="Q25" s="13" t="s">
        <v>35</v>
      </c>
      <c r="R25" s="13" t="s">
        <v>35</v>
      </c>
      <c r="S25" s="16" t="s">
        <v>36</v>
      </c>
      <c r="T25" s="16" t="s">
        <v>36</v>
      </c>
      <c r="U25" s="17">
        <v>0</v>
      </c>
      <c r="V25" s="13" t="s">
        <v>35</v>
      </c>
    </row>
    <row r="26" spans="1:22" s="5" customFormat="1" x14ac:dyDescent="0.15">
      <c r="A26" s="10">
        <v>15</v>
      </c>
      <c r="B26" s="12" t="s">
        <v>49</v>
      </c>
      <c r="C26" s="11" t="s">
        <v>98</v>
      </c>
      <c r="D26" s="11"/>
      <c r="E26" s="10"/>
      <c r="F26" s="21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3" t="s">
        <v>35</v>
      </c>
      <c r="Q26" s="13" t="s">
        <v>35</v>
      </c>
      <c r="R26" s="13" t="s">
        <v>35</v>
      </c>
      <c r="S26" s="16" t="s">
        <v>36</v>
      </c>
      <c r="T26" s="16" t="s">
        <v>36</v>
      </c>
      <c r="U26" s="17">
        <v>0</v>
      </c>
      <c r="V26" s="13" t="s">
        <v>35</v>
      </c>
    </row>
    <row r="27" spans="1:22" s="5" customFormat="1" x14ac:dyDescent="0.15">
      <c r="A27" s="10">
        <v>16</v>
      </c>
      <c r="B27" s="12" t="s">
        <v>49</v>
      </c>
      <c r="C27" s="11" t="s">
        <v>97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3" t="s">
        <v>35</v>
      </c>
      <c r="Q27" s="13" t="s">
        <v>35</v>
      </c>
      <c r="R27" s="13" t="s">
        <v>35</v>
      </c>
      <c r="S27" s="16" t="s">
        <v>36</v>
      </c>
      <c r="T27" s="16" t="s">
        <v>36</v>
      </c>
      <c r="U27" s="17">
        <v>0</v>
      </c>
      <c r="V27" s="13" t="s">
        <v>35</v>
      </c>
    </row>
    <row r="28" spans="1:22" s="5" customFormat="1" x14ac:dyDescent="0.15">
      <c r="A28" s="10">
        <v>17</v>
      </c>
      <c r="B28" s="12" t="s">
        <v>49</v>
      </c>
      <c r="C28" s="11" t="s">
        <v>97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3" t="s">
        <v>35</v>
      </c>
      <c r="Q28" s="13" t="s">
        <v>35</v>
      </c>
      <c r="R28" s="13" t="s">
        <v>35</v>
      </c>
      <c r="S28" s="16" t="s">
        <v>36</v>
      </c>
      <c r="T28" s="16" t="s">
        <v>36</v>
      </c>
      <c r="U28" s="17">
        <v>0</v>
      </c>
      <c r="V28" s="13" t="s">
        <v>35</v>
      </c>
    </row>
    <row r="29" spans="1:22" s="5" customFormat="1" x14ac:dyDescent="0.15">
      <c r="A29" s="10">
        <v>18</v>
      </c>
      <c r="B29" s="12" t="s">
        <v>49</v>
      </c>
      <c r="C29" s="11" t="s">
        <v>97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3" t="s">
        <v>35</v>
      </c>
      <c r="Q29" s="13" t="s">
        <v>35</v>
      </c>
      <c r="R29" s="13" t="s">
        <v>35</v>
      </c>
      <c r="S29" s="16" t="s">
        <v>36</v>
      </c>
      <c r="T29" s="16" t="s">
        <v>36</v>
      </c>
      <c r="U29" s="17">
        <v>0</v>
      </c>
      <c r="V29" s="13" t="s">
        <v>35</v>
      </c>
    </row>
    <row r="30" spans="1:22" s="5" customFormat="1" x14ac:dyDescent="0.15">
      <c r="A30" s="10">
        <v>19</v>
      </c>
      <c r="B30" s="12" t="s">
        <v>49</v>
      </c>
      <c r="C30" s="11" t="s">
        <v>97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3" t="s">
        <v>35</v>
      </c>
      <c r="Q30" s="13" t="s">
        <v>35</v>
      </c>
      <c r="R30" s="13" t="s">
        <v>35</v>
      </c>
      <c r="S30" s="16" t="s">
        <v>36</v>
      </c>
      <c r="T30" s="16" t="s">
        <v>36</v>
      </c>
      <c r="U30" s="17">
        <v>0</v>
      </c>
      <c r="V30" s="13" t="s">
        <v>35</v>
      </c>
    </row>
    <row r="31" spans="1:22" s="5" customFormat="1" x14ac:dyDescent="0.15">
      <c r="A31" s="10">
        <v>20</v>
      </c>
      <c r="B31" s="12" t="s">
        <v>49</v>
      </c>
      <c r="C31" s="11" t="s">
        <v>97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3" t="s">
        <v>35</v>
      </c>
      <c r="Q31" s="13" t="s">
        <v>35</v>
      </c>
      <c r="R31" s="13" t="s">
        <v>35</v>
      </c>
      <c r="S31" s="16" t="s">
        <v>36</v>
      </c>
      <c r="T31" s="16" t="s">
        <v>36</v>
      </c>
      <c r="U31" s="17">
        <v>0</v>
      </c>
      <c r="V31" s="13" t="s">
        <v>35</v>
      </c>
    </row>
    <row r="32" spans="1:22" s="5" customFormat="1" x14ac:dyDescent="0.15">
      <c r="A32" s="10">
        <v>21</v>
      </c>
      <c r="B32" s="12" t="s">
        <v>49</v>
      </c>
      <c r="C32" s="11" t="s">
        <v>97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3" t="s">
        <v>35</v>
      </c>
      <c r="Q32" s="13" t="s">
        <v>35</v>
      </c>
      <c r="R32" s="13" t="s">
        <v>35</v>
      </c>
      <c r="S32" s="16" t="s">
        <v>36</v>
      </c>
      <c r="T32" s="16" t="s">
        <v>36</v>
      </c>
      <c r="U32" s="17">
        <v>0</v>
      </c>
      <c r="V32" s="13" t="s">
        <v>35</v>
      </c>
    </row>
    <row r="33" spans="1:22" s="5" customFormat="1" x14ac:dyDescent="0.15">
      <c r="A33" s="10">
        <v>22</v>
      </c>
      <c r="B33" s="12" t="s">
        <v>49</v>
      </c>
      <c r="C33" s="11" t="s">
        <v>97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3" t="s">
        <v>35</v>
      </c>
      <c r="Q33" s="13" t="s">
        <v>35</v>
      </c>
      <c r="R33" s="13" t="s">
        <v>35</v>
      </c>
      <c r="S33" s="16" t="s">
        <v>36</v>
      </c>
      <c r="T33" s="16" t="s">
        <v>36</v>
      </c>
      <c r="U33" s="17">
        <v>0</v>
      </c>
      <c r="V33" s="13" t="s">
        <v>35</v>
      </c>
    </row>
    <row r="34" spans="1:22" s="5" customFormat="1" x14ac:dyDescent="0.15">
      <c r="A34" s="10">
        <v>23</v>
      </c>
      <c r="B34" s="12" t="s">
        <v>49</v>
      </c>
      <c r="C34" s="11" t="s">
        <v>97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3" t="s">
        <v>35</v>
      </c>
      <c r="Q34" s="13" t="s">
        <v>35</v>
      </c>
      <c r="R34" s="13" t="s">
        <v>35</v>
      </c>
      <c r="S34" s="16" t="s">
        <v>36</v>
      </c>
      <c r="T34" s="16" t="s">
        <v>36</v>
      </c>
      <c r="U34" s="17">
        <v>0</v>
      </c>
      <c r="V34" s="13" t="s">
        <v>35</v>
      </c>
    </row>
    <row r="35" spans="1:22" s="5" customFormat="1" x14ac:dyDescent="0.15">
      <c r="A35" s="10">
        <v>24</v>
      </c>
      <c r="B35" s="12" t="s">
        <v>49</v>
      </c>
      <c r="C35" s="11" t="s">
        <v>97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3" t="s">
        <v>35</v>
      </c>
      <c r="Q35" s="13" t="s">
        <v>35</v>
      </c>
      <c r="R35" s="13" t="s">
        <v>35</v>
      </c>
      <c r="S35" s="16" t="s">
        <v>36</v>
      </c>
      <c r="T35" s="16" t="s">
        <v>36</v>
      </c>
      <c r="U35" s="17">
        <v>0</v>
      </c>
      <c r="V35" s="13" t="s">
        <v>35</v>
      </c>
    </row>
    <row r="36" spans="1:22" s="5" customFormat="1" x14ac:dyDescent="0.15">
      <c r="A36" s="10">
        <v>25</v>
      </c>
      <c r="B36" s="12" t="s">
        <v>49</v>
      </c>
      <c r="C36" s="11" t="s">
        <v>97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3" t="s">
        <v>35</v>
      </c>
      <c r="Q36" s="13" t="s">
        <v>35</v>
      </c>
      <c r="R36" s="13" t="s">
        <v>35</v>
      </c>
      <c r="S36" s="16" t="s">
        <v>36</v>
      </c>
      <c r="T36" s="16" t="s">
        <v>36</v>
      </c>
      <c r="U36" s="17">
        <v>0</v>
      </c>
      <c r="V36" s="13" t="s">
        <v>35</v>
      </c>
    </row>
    <row r="37" spans="1:22" s="5" customFormat="1" x14ac:dyDescent="0.15">
      <c r="A37" s="10">
        <v>26</v>
      </c>
      <c r="B37" s="12" t="s">
        <v>49</v>
      </c>
      <c r="C37" s="11" t="s">
        <v>97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3" t="s">
        <v>35</v>
      </c>
      <c r="Q37" s="13" t="s">
        <v>35</v>
      </c>
      <c r="R37" s="13" t="s">
        <v>35</v>
      </c>
      <c r="S37" s="16" t="s">
        <v>36</v>
      </c>
      <c r="T37" s="16" t="s">
        <v>36</v>
      </c>
      <c r="U37" s="17">
        <v>0</v>
      </c>
      <c r="V37" s="13" t="s">
        <v>35</v>
      </c>
    </row>
    <row r="38" spans="1:22" s="5" customFormat="1" x14ac:dyDescent="0.15">
      <c r="A38" s="10">
        <v>27</v>
      </c>
      <c r="B38" s="12" t="s">
        <v>49</v>
      </c>
      <c r="C38" s="11" t="s">
        <v>97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3" t="s">
        <v>35</v>
      </c>
      <c r="Q38" s="13" t="s">
        <v>35</v>
      </c>
      <c r="R38" s="13" t="s">
        <v>35</v>
      </c>
      <c r="S38" s="16" t="s">
        <v>36</v>
      </c>
      <c r="T38" s="16" t="s">
        <v>36</v>
      </c>
      <c r="U38" s="17">
        <v>0</v>
      </c>
      <c r="V38" s="13" t="s">
        <v>35</v>
      </c>
    </row>
    <row r="39" spans="1:22" s="5" customFormat="1" x14ac:dyDescent="0.15">
      <c r="A39" s="10">
        <v>28</v>
      </c>
      <c r="B39" s="12" t="s">
        <v>49</v>
      </c>
      <c r="C39" s="11" t="s">
        <v>97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3" t="s">
        <v>35</v>
      </c>
      <c r="Q39" s="13" t="s">
        <v>35</v>
      </c>
      <c r="R39" s="13" t="s">
        <v>35</v>
      </c>
      <c r="S39" s="16" t="s">
        <v>36</v>
      </c>
      <c r="T39" s="16" t="s">
        <v>36</v>
      </c>
      <c r="U39" s="17">
        <v>0</v>
      </c>
      <c r="V39" s="13" t="s">
        <v>35</v>
      </c>
    </row>
    <row r="40" spans="1:22" s="5" customFormat="1" x14ac:dyDescent="0.15">
      <c r="A40" s="10">
        <v>29</v>
      </c>
      <c r="B40" s="12" t="s">
        <v>49</v>
      </c>
      <c r="C40" s="11" t="s">
        <v>97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3" t="s">
        <v>35</v>
      </c>
      <c r="Q40" s="13" t="s">
        <v>35</v>
      </c>
      <c r="R40" s="13" t="s">
        <v>35</v>
      </c>
      <c r="S40" s="16" t="s">
        <v>36</v>
      </c>
      <c r="T40" s="16" t="s">
        <v>36</v>
      </c>
      <c r="U40" s="17">
        <v>0</v>
      </c>
      <c r="V40" s="13" t="s">
        <v>35</v>
      </c>
    </row>
    <row r="41" spans="1:22" s="5" customFormat="1" x14ac:dyDescent="0.15">
      <c r="A41" s="10">
        <v>30</v>
      </c>
      <c r="B41" s="12" t="s">
        <v>49</v>
      </c>
      <c r="C41" s="11" t="s">
        <v>97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3" t="s">
        <v>35</v>
      </c>
      <c r="Q41" s="13" t="s">
        <v>35</v>
      </c>
      <c r="R41" s="13" t="s">
        <v>35</v>
      </c>
      <c r="S41" s="16" t="s">
        <v>36</v>
      </c>
      <c r="T41" s="16" t="s">
        <v>36</v>
      </c>
      <c r="U41" s="17">
        <v>0</v>
      </c>
      <c r="V41" s="13" t="s">
        <v>35</v>
      </c>
    </row>
    <row r="42" spans="1:22" s="5" customFormat="1" x14ac:dyDescent="0.15">
      <c r="A42" s="10">
        <v>31</v>
      </c>
      <c r="B42" s="12" t="s">
        <v>49</v>
      </c>
      <c r="C42" s="11" t="s">
        <v>97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3" t="s">
        <v>35</v>
      </c>
      <c r="Q42" s="13" t="s">
        <v>35</v>
      </c>
      <c r="R42" s="13" t="s">
        <v>35</v>
      </c>
      <c r="S42" s="16" t="s">
        <v>36</v>
      </c>
      <c r="T42" s="16" t="s">
        <v>36</v>
      </c>
      <c r="U42" s="17">
        <v>0</v>
      </c>
      <c r="V42" s="13" t="s">
        <v>35</v>
      </c>
    </row>
    <row r="43" spans="1:22" s="5" customFormat="1" x14ac:dyDescent="0.15">
      <c r="A43" s="10">
        <v>32</v>
      </c>
      <c r="B43" s="12" t="s">
        <v>49</v>
      </c>
      <c r="C43" s="11" t="s">
        <v>97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3" t="s">
        <v>35</v>
      </c>
      <c r="Q43" s="13" t="s">
        <v>35</v>
      </c>
      <c r="R43" s="13" t="s">
        <v>35</v>
      </c>
      <c r="S43" s="16" t="s">
        <v>36</v>
      </c>
      <c r="T43" s="16" t="s">
        <v>36</v>
      </c>
      <c r="U43" s="17">
        <v>0</v>
      </c>
      <c r="V43" s="13" t="s">
        <v>35</v>
      </c>
    </row>
    <row r="44" spans="1:22" s="5" customFormat="1" x14ac:dyDescent="0.15">
      <c r="A44" s="10">
        <v>33</v>
      </c>
      <c r="B44" s="12" t="s">
        <v>49</v>
      </c>
      <c r="C44" s="11" t="s">
        <v>97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3" t="s">
        <v>35</v>
      </c>
      <c r="Q44" s="13" t="s">
        <v>35</v>
      </c>
      <c r="R44" s="13" t="s">
        <v>35</v>
      </c>
      <c r="S44" s="16" t="s">
        <v>36</v>
      </c>
      <c r="T44" s="16" t="s">
        <v>36</v>
      </c>
      <c r="U44" s="17">
        <v>0</v>
      </c>
      <c r="V44" s="13" t="s">
        <v>35</v>
      </c>
    </row>
    <row r="45" spans="1:22" s="5" customFormat="1" x14ac:dyDescent="0.15">
      <c r="A45" s="10">
        <v>34</v>
      </c>
      <c r="B45" s="12" t="s">
        <v>49</v>
      </c>
      <c r="C45" s="11" t="s">
        <v>97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3" t="s">
        <v>35</v>
      </c>
      <c r="Q45" s="13" t="s">
        <v>35</v>
      </c>
      <c r="R45" s="13" t="s">
        <v>35</v>
      </c>
      <c r="S45" s="16" t="s">
        <v>36</v>
      </c>
      <c r="T45" s="16" t="s">
        <v>36</v>
      </c>
      <c r="U45" s="17">
        <v>0</v>
      </c>
      <c r="V45" s="13" t="s">
        <v>35</v>
      </c>
    </row>
    <row r="46" spans="1:22" s="5" customFormat="1" x14ac:dyDescent="0.15">
      <c r="A46" s="10">
        <v>35</v>
      </c>
      <c r="B46" s="12" t="s">
        <v>49</v>
      </c>
      <c r="C46" s="11" t="s">
        <v>97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3" t="s">
        <v>35</v>
      </c>
      <c r="Q46" s="13" t="s">
        <v>35</v>
      </c>
      <c r="R46" s="13" t="s">
        <v>35</v>
      </c>
      <c r="S46" s="16" t="s">
        <v>36</v>
      </c>
      <c r="T46" s="16" t="s">
        <v>36</v>
      </c>
      <c r="U46" s="17">
        <v>0</v>
      </c>
      <c r="V46" s="13" t="s">
        <v>35</v>
      </c>
    </row>
    <row r="47" spans="1:22" s="5" customFormat="1" x14ac:dyDescent="0.15">
      <c r="A47" s="10">
        <v>36</v>
      </c>
      <c r="B47" s="12" t="s">
        <v>49</v>
      </c>
      <c r="C47" s="11" t="s">
        <v>97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3" t="s">
        <v>35</v>
      </c>
      <c r="Q47" s="13" t="s">
        <v>35</v>
      </c>
      <c r="R47" s="13" t="s">
        <v>35</v>
      </c>
      <c r="S47" s="16" t="s">
        <v>36</v>
      </c>
      <c r="T47" s="16" t="s">
        <v>36</v>
      </c>
      <c r="U47" s="17">
        <v>0</v>
      </c>
      <c r="V47" s="13" t="s">
        <v>35</v>
      </c>
    </row>
    <row r="48" spans="1:22" s="5" customFormat="1" x14ac:dyDescent="0.15">
      <c r="A48" s="10">
        <v>37</v>
      </c>
      <c r="B48" s="12" t="s">
        <v>49</v>
      </c>
      <c r="C48" s="11" t="s">
        <v>97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3" t="s">
        <v>35</v>
      </c>
      <c r="Q48" s="13" t="s">
        <v>35</v>
      </c>
      <c r="R48" s="13" t="s">
        <v>35</v>
      </c>
      <c r="S48" s="16" t="s">
        <v>36</v>
      </c>
      <c r="T48" s="16" t="s">
        <v>36</v>
      </c>
      <c r="U48" s="17">
        <v>0</v>
      </c>
      <c r="V48" s="13" t="s">
        <v>35</v>
      </c>
    </row>
    <row r="49" spans="1:22" s="5" customFormat="1" x14ac:dyDescent="0.15">
      <c r="A49" s="10">
        <v>38</v>
      </c>
      <c r="B49" s="12" t="s">
        <v>49</v>
      </c>
      <c r="C49" s="11" t="s">
        <v>97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3" t="s">
        <v>35</v>
      </c>
      <c r="Q49" s="13" t="s">
        <v>35</v>
      </c>
      <c r="R49" s="13" t="s">
        <v>35</v>
      </c>
      <c r="S49" s="16" t="s">
        <v>36</v>
      </c>
      <c r="T49" s="16" t="s">
        <v>36</v>
      </c>
      <c r="U49" s="17">
        <v>0</v>
      </c>
      <c r="V49" s="13" t="s">
        <v>35</v>
      </c>
    </row>
    <row r="50" spans="1:22" s="5" customFormat="1" x14ac:dyDescent="0.15">
      <c r="A50" s="10">
        <v>39</v>
      </c>
      <c r="B50" s="12" t="s">
        <v>49</v>
      </c>
      <c r="C50" s="11" t="s">
        <v>97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3" t="s">
        <v>35</v>
      </c>
      <c r="Q50" s="13" t="s">
        <v>35</v>
      </c>
      <c r="R50" s="13" t="s">
        <v>35</v>
      </c>
      <c r="S50" s="16" t="s">
        <v>36</v>
      </c>
      <c r="T50" s="16" t="s">
        <v>36</v>
      </c>
      <c r="U50" s="17">
        <v>0</v>
      </c>
      <c r="V50" s="13" t="s">
        <v>35</v>
      </c>
    </row>
    <row r="51" spans="1:22" s="5" customFormat="1" x14ac:dyDescent="0.15">
      <c r="A51" s="10">
        <v>40</v>
      </c>
      <c r="B51" s="12" t="s">
        <v>49</v>
      </c>
      <c r="C51" s="11" t="s">
        <v>97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3" t="s">
        <v>35</v>
      </c>
      <c r="Q51" s="13" t="s">
        <v>35</v>
      </c>
      <c r="R51" s="13" t="s">
        <v>35</v>
      </c>
      <c r="S51" s="16" t="s">
        <v>36</v>
      </c>
      <c r="T51" s="16" t="s">
        <v>36</v>
      </c>
      <c r="U51" s="17">
        <v>0</v>
      </c>
      <c r="V51" s="13" t="s">
        <v>35</v>
      </c>
    </row>
    <row r="52" spans="1:22" s="5" customFormat="1" x14ac:dyDescent="0.15">
      <c r="A52" s="10">
        <v>41</v>
      </c>
      <c r="B52" s="12" t="s">
        <v>49</v>
      </c>
      <c r="C52" s="11" t="s">
        <v>97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3" t="s">
        <v>35</v>
      </c>
      <c r="Q52" s="13" t="s">
        <v>35</v>
      </c>
      <c r="R52" s="13" t="s">
        <v>35</v>
      </c>
      <c r="S52" s="16" t="s">
        <v>36</v>
      </c>
      <c r="T52" s="16" t="s">
        <v>36</v>
      </c>
      <c r="U52" s="17">
        <v>0</v>
      </c>
      <c r="V52" s="13" t="s">
        <v>35</v>
      </c>
    </row>
    <row r="53" spans="1:22" s="5" customFormat="1" x14ac:dyDescent="0.15">
      <c r="A53" s="10">
        <v>42</v>
      </c>
      <c r="B53" s="12" t="s">
        <v>49</v>
      </c>
      <c r="C53" s="11" t="s">
        <v>97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3" t="s">
        <v>35</v>
      </c>
      <c r="Q53" s="13" t="s">
        <v>35</v>
      </c>
      <c r="R53" s="13" t="s">
        <v>35</v>
      </c>
      <c r="S53" s="16" t="s">
        <v>36</v>
      </c>
      <c r="T53" s="16" t="s">
        <v>36</v>
      </c>
      <c r="U53" s="17">
        <v>0</v>
      </c>
      <c r="V53" s="13" t="s">
        <v>35</v>
      </c>
    </row>
    <row r="54" spans="1:22" s="5" customFormat="1" x14ac:dyDescent="0.15">
      <c r="A54" s="10">
        <v>43</v>
      </c>
      <c r="B54" s="12" t="s">
        <v>49</v>
      </c>
      <c r="C54" s="11" t="s">
        <v>97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3" t="s">
        <v>35</v>
      </c>
      <c r="Q54" s="13" t="s">
        <v>35</v>
      </c>
      <c r="R54" s="13" t="s">
        <v>35</v>
      </c>
      <c r="S54" s="16" t="s">
        <v>36</v>
      </c>
      <c r="T54" s="16" t="s">
        <v>36</v>
      </c>
      <c r="U54" s="17">
        <v>0</v>
      </c>
      <c r="V54" s="13" t="s">
        <v>35</v>
      </c>
    </row>
    <row r="55" spans="1:22" s="5" customFormat="1" x14ac:dyDescent="0.15">
      <c r="A55" s="10">
        <v>44</v>
      </c>
      <c r="B55" s="12" t="s">
        <v>49</v>
      </c>
      <c r="C55" s="11" t="s">
        <v>97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3" t="s">
        <v>35</v>
      </c>
      <c r="Q55" s="13" t="s">
        <v>35</v>
      </c>
      <c r="R55" s="13" t="s">
        <v>35</v>
      </c>
      <c r="S55" s="16" t="s">
        <v>36</v>
      </c>
      <c r="T55" s="16" t="s">
        <v>36</v>
      </c>
      <c r="U55" s="17">
        <v>0</v>
      </c>
      <c r="V55" s="13" t="s">
        <v>35</v>
      </c>
    </row>
    <row r="56" spans="1:22" s="5" customFormat="1" x14ac:dyDescent="0.15">
      <c r="A56" s="10">
        <v>45</v>
      </c>
      <c r="B56" s="12" t="s">
        <v>49</v>
      </c>
      <c r="C56" s="11" t="s">
        <v>97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3" t="s">
        <v>35</v>
      </c>
      <c r="Q56" s="13" t="s">
        <v>35</v>
      </c>
      <c r="R56" s="13" t="s">
        <v>35</v>
      </c>
      <c r="S56" s="16" t="s">
        <v>36</v>
      </c>
      <c r="T56" s="16" t="s">
        <v>36</v>
      </c>
      <c r="U56" s="17">
        <v>0</v>
      </c>
      <c r="V56" s="13" t="s">
        <v>35</v>
      </c>
    </row>
    <row r="57" spans="1:22" s="5" customFormat="1" x14ac:dyDescent="0.15">
      <c r="A57" s="10">
        <v>46</v>
      </c>
      <c r="B57" s="12" t="s">
        <v>49</v>
      </c>
      <c r="C57" s="11" t="s">
        <v>97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3" t="s">
        <v>35</v>
      </c>
      <c r="Q57" s="13" t="s">
        <v>35</v>
      </c>
      <c r="R57" s="13" t="s">
        <v>35</v>
      </c>
      <c r="S57" s="16" t="s">
        <v>36</v>
      </c>
      <c r="T57" s="16" t="s">
        <v>36</v>
      </c>
      <c r="U57" s="17">
        <v>0</v>
      </c>
      <c r="V57" s="13" t="s">
        <v>35</v>
      </c>
    </row>
    <row r="58" spans="1:22" s="5" customFormat="1" x14ac:dyDescent="0.15">
      <c r="A58" s="10">
        <v>47</v>
      </c>
      <c r="B58" s="12" t="s">
        <v>49</v>
      </c>
      <c r="C58" s="11" t="s">
        <v>97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3" t="s">
        <v>35</v>
      </c>
      <c r="Q58" s="13" t="s">
        <v>35</v>
      </c>
      <c r="R58" s="13" t="s">
        <v>35</v>
      </c>
      <c r="S58" s="16" t="s">
        <v>36</v>
      </c>
      <c r="T58" s="16" t="s">
        <v>36</v>
      </c>
      <c r="U58" s="17">
        <v>0</v>
      </c>
      <c r="V58" s="13" t="s">
        <v>35</v>
      </c>
    </row>
    <row r="59" spans="1:22" s="5" customFormat="1" x14ac:dyDescent="0.15">
      <c r="A59" s="10">
        <v>48</v>
      </c>
      <c r="B59" s="12" t="s">
        <v>49</v>
      </c>
      <c r="C59" s="11" t="s">
        <v>97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3" t="s">
        <v>35</v>
      </c>
      <c r="Q59" s="13" t="s">
        <v>35</v>
      </c>
      <c r="R59" s="13" t="s">
        <v>35</v>
      </c>
      <c r="S59" s="16" t="s">
        <v>36</v>
      </c>
      <c r="T59" s="16" t="s">
        <v>36</v>
      </c>
      <c r="U59" s="17">
        <v>0</v>
      </c>
      <c r="V59" s="13" t="s">
        <v>35</v>
      </c>
    </row>
    <row r="60" spans="1:22" s="5" customFormat="1" x14ac:dyDescent="0.15">
      <c r="A60" s="10">
        <v>49</v>
      </c>
      <c r="B60" s="12" t="s">
        <v>49</v>
      </c>
      <c r="C60" s="11" t="s">
        <v>97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3" t="s">
        <v>35</v>
      </c>
      <c r="Q60" s="13" t="s">
        <v>35</v>
      </c>
      <c r="R60" s="13" t="s">
        <v>35</v>
      </c>
      <c r="S60" s="16" t="s">
        <v>36</v>
      </c>
      <c r="T60" s="16" t="s">
        <v>36</v>
      </c>
      <c r="U60" s="17">
        <v>0</v>
      </c>
      <c r="V60" s="13" t="s">
        <v>35</v>
      </c>
    </row>
    <row r="61" spans="1:22" s="5" customFormat="1" x14ac:dyDescent="0.15">
      <c r="A61" s="10">
        <v>50</v>
      </c>
      <c r="B61" s="12" t="s">
        <v>49</v>
      </c>
      <c r="C61" s="11" t="s">
        <v>97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3" t="s">
        <v>35</v>
      </c>
      <c r="Q61" s="13" t="s">
        <v>35</v>
      </c>
      <c r="R61" s="13" t="s">
        <v>35</v>
      </c>
      <c r="S61" s="16" t="s">
        <v>36</v>
      </c>
      <c r="T61" s="16" t="s">
        <v>36</v>
      </c>
      <c r="U61" s="17">
        <v>0</v>
      </c>
      <c r="V61" s="13" t="s">
        <v>35</v>
      </c>
    </row>
    <row r="62" spans="1:22" s="5" customFormat="1" x14ac:dyDescent="0.15">
      <c r="A62" s="10">
        <v>51</v>
      </c>
      <c r="B62" s="12" t="s">
        <v>49</v>
      </c>
      <c r="C62" s="11" t="s">
        <v>97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3" t="s">
        <v>35</v>
      </c>
      <c r="Q62" s="13" t="s">
        <v>35</v>
      </c>
      <c r="R62" s="13" t="s">
        <v>35</v>
      </c>
      <c r="S62" s="16" t="s">
        <v>36</v>
      </c>
      <c r="T62" s="16" t="s">
        <v>36</v>
      </c>
      <c r="U62" s="17">
        <v>0</v>
      </c>
      <c r="V62" s="13" t="s">
        <v>35</v>
      </c>
    </row>
    <row r="63" spans="1:22" s="5" customFormat="1" x14ac:dyDescent="0.15">
      <c r="A63" s="10">
        <v>52</v>
      </c>
      <c r="B63" s="12" t="s">
        <v>49</v>
      </c>
      <c r="C63" s="11" t="s">
        <v>97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3" t="s">
        <v>35</v>
      </c>
      <c r="Q63" s="13" t="s">
        <v>35</v>
      </c>
      <c r="R63" s="13" t="s">
        <v>35</v>
      </c>
      <c r="S63" s="16" t="s">
        <v>36</v>
      </c>
      <c r="T63" s="16" t="s">
        <v>36</v>
      </c>
      <c r="U63" s="17">
        <v>0</v>
      </c>
      <c r="V63" s="13" t="s">
        <v>35</v>
      </c>
    </row>
    <row r="64" spans="1:22" s="5" customFormat="1" x14ac:dyDescent="0.15">
      <c r="A64" s="10">
        <v>53</v>
      </c>
      <c r="B64" s="12" t="s">
        <v>49</v>
      </c>
      <c r="C64" s="11" t="s">
        <v>97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3" t="s">
        <v>35</v>
      </c>
      <c r="Q64" s="13" t="s">
        <v>35</v>
      </c>
      <c r="R64" s="13" t="s">
        <v>35</v>
      </c>
      <c r="S64" s="16" t="s">
        <v>36</v>
      </c>
      <c r="T64" s="16" t="s">
        <v>36</v>
      </c>
      <c r="U64" s="17">
        <v>0</v>
      </c>
      <c r="V64" s="13" t="s">
        <v>35</v>
      </c>
    </row>
    <row r="65" spans="1:22" s="5" customFormat="1" x14ac:dyDescent="0.15">
      <c r="A65" s="10">
        <v>54</v>
      </c>
      <c r="B65" s="12" t="s">
        <v>49</v>
      </c>
      <c r="C65" s="11" t="s">
        <v>97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3" t="s">
        <v>35</v>
      </c>
      <c r="Q65" s="13" t="s">
        <v>35</v>
      </c>
      <c r="R65" s="13" t="s">
        <v>35</v>
      </c>
      <c r="S65" s="16" t="s">
        <v>36</v>
      </c>
      <c r="T65" s="16" t="s">
        <v>36</v>
      </c>
      <c r="U65" s="17">
        <v>0</v>
      </c>
      <c r="V65" s="13" t="s">
        <v>35</v>
      </c>
    </row>
    <row r="66" spans="1:22" s="5" customFormat="1" x14ac:dyDescent="0.15">
      <c r="A66" s="10">
        <v>55</v>
      </c>
      <c r="B66" s="12" t="s">
        <v>49</v>
      </c>
      <c r="C66" s="11" t="s">
        <v>97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3" t="s">
        <v>35</v>
      </c>
      <c r="Q66" s="13" t="s">
        <v>35</v>
      </c>
      <c r="R66" s="13" t="s">
        <v>35</v>
      </c>
      <c r="S66" s="16" t="s">
        <v>36</v>
      </c>
      <c r="T66" s="16" t="s">
        <v>36</v>
      </c>
      <c r="U66" s="17">
        <v>0</v>
      </c>
      <c r="V66" s="13" t="s">
        <v>35</v>
      </c>
    </row>
    <row r="67" spans="1:22" s="5" customFormat="1" x14ac:dyDescent="0.15">
      <c r="A67" s="10">
        <v>56</v>
      </c>
      <c r="B67" s="12" t="s">
        <v>49</v>
      </c>
      <c r="C67" s="11" t="s">
        <v>97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3" t="s">
        <v>35</v>
      </c>
      <c r="Q67" s="13" t="s">
        <v>35</v>
      </c>
      <c r="R67" s="13" t="s">
        <v>35</v>
      </c>
      <c r="S67" s="16" t="s">
        <v>36</v>
      </c>
      <c r="T67" s="16" t="s">
        <v>36</v>
      </c>
      <c r="U67" s="17">
        <v>0</v>
      </c>
      <c r="V67" s="13" t="s">
        <v>35</v>
      </c>
    </row>
    <row r="68" spans="1:22" s="5" customFormat="1" x14ac:dyDescent="0.15">
      <c r="A68" s="10">
        <v>57</v>
      </c>
      <c r="B68" s="12" t="s">
        <v>49</v>
      </c>
      <c r="C68" s="11" t="s">
        <v>97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3" t="s">
        <v>35</v>
      </c>
      <c r="Q68" s="13" t="s">
        <v>35</v>
      </c>
      <c r="R68" s="13" t="s">
        <v>35</v>
      </c>
      <c r="S68" s="16" t="s">
        <v>36</v>
      </c>
      <c r="T68" s="16" t="s">
        <v>36</v>
      </c>
      <c r="U68" s="17">
        <v>0</v>
      </c>
      <c r="V68" s="13" t="s">
        <v>35</v>
      </c>
    </row>
    <row r="69" spans="1:22" s="5" customFormat="1" x14ac:dyDescent="0.15">
      <c r="A69" s="10">
        <v>58</v>
      </c>
      <c r="B69" s="12" t="s">
        <v>49</v>
      </c>
      <c r="C69" s="11" t="s">
        <v>97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3" t="s">
        <v>35</v>
      </c>
      <c r="Q69" s="13" t="s">
        <v>35</v>
      </c>
      <c r="R69" s="13" t="s">
        <v>35</v>
      </c>
      <c r="S69" s="16" t="s">
        <v>36</v>
      </c>
      <c r="T69" s="16" t="s">
        <v>36</v>
      </c>
      <c r="U69" s="17">
        <v>0</v>
      </c>
      <c r="V69" s="13" t="s">
        <v>35</v>
      </c>
    </row>
    <row r="70" spans="1:22" s="5" customFormat="1" x14ac:dyDescent="0.15">
      <c r="A70" s="10">
        <v>59</v>
      </c>
      <c r="B70" s="12" t="s">
        <v>49</v>
      </c>
      <c r="C70" s="11" t="s">
        <v>97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3" t="s">
        <v>35</v>
      </c>
      <c r="Q70" s="13" t="s">
        <v>35</v>
      </c>
      <c r="R70" s="13" t="s">
        <v>35</v>
      </c>
      <c r="S70" s="16" t="s">
        <v>36</v>
      </c>
      <c r="T70" s="16" t="s">
        <v>36</v>
      </c>
      <c r="U70" s="17">
        <v>0</v>
      </c>
      <c r="V70" s="13" t="s">
        <v>35</v>
      </c>
    </row>
    <row r="71" spans="1:22" s="5" customFormat="1" x14ac:dyDescent="0.15">
      <c r="A71" s="10">
        <v>60</v>
      </c>
      <c r="B71" s="12" t="s">
        <v>49</v>
      </c>
      <c r="C71" s="11" t="s">
        <v>97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3" t="s">
        <v>35</v>
      </c>
      <c r="Q71" s="13" t="s">
        <v>35</v>
      </c>
      <c r="R71" s="13" t="s">
        <v>35</v>
      </c>
      <c r="S71" s="16" t="s">
        <v>36</v>
      </c>
      <c r="T71" s="16" t="s">
        <v>36</v>
      </c>
      <c r="U71" s="17">
        <v>0</v>
      </c>
      <c r="V71" s="13" t="s">
        <v>35</v>
      </c>
    </row>
    <row r="72" spans="1:22" s="5" customFormat="1" x14ac:dyDescent="0.15">
      <c r="A72" s="10">
        <v>61</v>
      </c>
      <c r="B72" s="12" t="s">
        <v>49</v>
      </c>
      <c r="C72" s="11" t="s">
        <v>97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3" t="s">
        <v>35</v>
      </c>
      <c r="Q72" s="13" t="s">
        <v>35</v>
      </c>
      <c r="R72" s="13" t="s">
        <v>35</v>
      </c>
      <c r="S72" s="16" t="s">
        <v>36</v>
      </c>
      <c r="T72" s="16" t="s">
        <v>36</v>
      </c>
      <c r="U72" s="17">
        <v>0</v>
      </c>
      <c r="V72" s="13" t="s">
        <v>35</v>
      </c>
    </row>
    <row r="73" spans="1:22" s="5" customFormat="1" x14ac:dyDescent="0.15">
      <c r="A73" s="10">
        <v>62</v>
      </c>
      <c r="B73" s="12" t="s">
        <v>49</v>
      </c>
      <c r="C73" s="11" t="s">
        <v>97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3" t="s">
        <v>35</v>
      </c>
      <c r="Q73" s="13" t="s">
        <v>35</v>
      </c>
      <c r="R73" s="13" t="s">
        <v>35</v>
      </c>
      <c r="S73" s="16" t="s">
        <v>36</v>
      </c>
      <c r="T73" s="16" t="s">
        <v>36</v>
      </c>
      <c r="U73" s="17">
        <v>0</v>
      </c>
      <c r="V73" s="13" t="s">
        <v>35</v>
      </c>
    </row>
    <row r="74" spans="1:22" s="5" customFormat="1" x14ac:dyDescent="0.15">
      <c r="A74" s="10">
        <v>63</v>
      </c>
      <c r="B74" s="12" t="s">
        <v>49</v>
      </c>
      <c r="C74" s="11" t="s">
        <v>97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3" t="s">
        <v>35</v>
      </c>
      <c r="Q74" s="13" t="s">
        <v>35</v>
      </c>
      <c r="R74" s="13" t="s">
        <v>35</v>
      </c>
      <c r="S74" s="16" t="s">
        <v>36</v>
      </c>
      <c r="T74" s="16" t="s">
        <v>36</v>
      </c>
      <c r="U74" s="17">
        <v>0</v>
      </c>
      <c r="V74" s="13" t="s">
        <v>35</v>
      </c>
    </row>
    <row r="75" spans="1:22" s="5" customFormat="1" x14ac:dyDescent="0.15">
      <c r="A75" s="10">
        <v>64</v>
      </c>
      <c r="B75" s="12" t="s">
        <v>49</v>
      </c>
      <c r="C75" s="11" t="s">
        <v>97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3" t="s">
        <v>35</v>
      </c>
      <c r="Q75" s="13" t="s">
        <v>35</v>
      </c>
      <c r="R75" s="13" t="s">
        <v>35</v>
      </c>
      <c r="S75" s="16" t="s">
        <v>36</v>
      </c>
      <c r="T75" s="16" t="s">
        <v>36</v>
      </c>
      <c r="U75" s="17">
        <v>0</v>
      </c>
      <c r="V75" s="13" t="s">
        <v>35</v>
      </c>
    </row>
    <row r="76" spans="1:22" s="5" customFormat="1" x14ac:dyDescent="0.15">
      <c r="A76" s="10">
        <v>65</v>
      </c>
      <c r="B76" s="12" t="s">
        <v>49</v>
      </c>
      <c r="C76" s="11" t="s">
        <v>97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3" t="s">
        <v>35</v>
      </c>
      <c r="Q76" s="13" t="s">
        <v>35</v>
      </c>
      <c r="R76" s="13" t="s">
        <v>35</v>
      </c>
      <c r="S76" s="16" t="s">
        <v>36</v>
      </c>
      <c r="T76" s="16" t="s">
        <v>36</v>
      </c>
      <c r="U76" s="17">
        <v>0</v>
      </c>
      <c r="V76" s="13" t="s">
        <v>35</v>
      </c>
    </row>
    <row r="77" spans="1:22" s="5" customFormat="1" x14ac:dyDescent="0.15">
      <c r="A77" s="10">
        <v>66</v>
      </c>
      <c r="B77" s="12" t="s">
        <v>49</v>
      </c>
      <c r="C77" s="11" t="s">
        <v>97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3" t="s">
        <v>35</v>
      </c>
      <c r="Q77" s="13" t="s">
        <v>35</v>
      </c>
      <c r="R77" s="13" t="s">
        <v>35</v>
      </c>
      <c r="S77" s="16" t="s">
        <v>36</v>
      </c>
      <c r="T77" s="16" t="s">
        <v>36</v>
      </c>
      <c r="U77" s="17">
        <v>0</v>
      </c>
      <c r="V77" s="13" t="s">
        <v>35</v>
      </c>
    </row>
    <row r="78" spans="1:22" s="5" customFormat="1" x14ac:dyDescent="0.15">
      <c r="A78" s="10">
        <v>67</v>
      </c>
      <c r="B78" s="12" t="s">
        <v>49</v>
      </c>
      <c r="C78" s="11" t="s">
        <v>97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3" t="s">
        <v>35</v>
      </c>
      <c r="Q78" s="13" t="s">
        <v>35</v>
      </c>
      <c r="R78" s="13" t="s">
        <v>35</v>
      </c>
      <c r="S78" s="16" t="s">
        <v>36</v>
      </c>
      <c r="T78" s="16" t="s">
        <v>36</v>
      </c>
      <c r="U78" s="17">
        <v>0</v>
      </c>
      <c r="V78" s="13" t="s">
        <v>35</v>
      </c>
    </row>
    <row r="79" spans="1:22" s="5" customFormat="1" x14ac:dyDescent="0.15">
      <c r="A79" s="10">
        <v>68</v>
      </c>
      <c r="B79" s="12" t="s">
        <v>49</v>
      </c>
      <c r="C79" s="11" t="s">
        <v>97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3" t="s">
        <v>35</v>
      </c>
      <c r="Q79" s="13" t="s">
        <v>35</v>
      </c>
      <c r="R79" s="13" t="s">
        <v>35</v>
      </c>
      <c r="S79" s="16" t="s">
        <v>36</v>
      </c>
      <c r="T79" s="16" t="s">
        <v>36</v>
      </c>
      <c r="U79" s="17">
        <v>0</v>
      </c>
      <c r="V79" s="13" t="s">
        <v>35</v>
      </c>
    </row>
    <row r="80" spans="1:22" s="5" customFormat="1" x14ac:dyDescent="0.15">
      <c r="A80" s="10">
        <v>69</v>
      </c>
      <c r="B80" s="12" t="s">
        <v>49</v>
      </c>
      <c r="C80" s="11" t="s">
        <v>97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3" t="s">
        <v>35</v>
      </c>
      <c r="Q80" s="13" t="s">
        <v>35</v>
      </c>
      <c r="R80" s="13" t="s">
        <v>35</v>
      </c>
      <c r="S80" s="16" t="s">
        <v>36</v>
      </c>
      <c r="T80" s="16" t="s">
        <v>36</v>
      </c>
      <c r="U80" s="17">
        <v>0</v>
      </c>
      <c r="V80" s="13" t="s">
        <v>35</v>
      </c>
    </row>
    <row r="81" spans="1:22" s="5" customFormat="1" x14ac:dyDescent="0.15">
      <c r="A81" s="10">
        <v>70</v>
      </c>
      <c r="B81" s="12" t="s">
        <v>49</v>
      </c>
      <c r="C81" s="11" t="s">
        <v>97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3" t="s">
        <v>35</v>
      </c>
      <c r="Q81" s="13" t="s">
        <v>35</v>
      </c>
      <c r="R81" s="13" t="s">
        <v>35</v>
      </c>
      <c r="S81" s="16" t="s">
        <v>36</v>
      </c>
      <c r="T81" s="16" t="s">
        <v>36</v>
      </c>
      <c r="U81" s="17">
        <v>0</v>
      </c>
      <c r="V81" s="13" t="s">
        <v>35</v>
      </c>
    </row>
    <row r="82" spans="1:22" s="5" customFormat="1" x14ac:dyDescent="0.15">
      <c r="A82" s="10">
        <v>71</v>
      </c>
      <c r="B82" s="12" t="s">
        <v>49</v>
      </c>
      <c r="C82" s="11" t="s">
        <v>97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3" t="s">
        <v>35</v>
      </c>
      <c r="Q82" s="13" t="s">
        <v>35</v>
      </c>
      <c r="R82" s="13" t="s">
        <v>35</v>
      </c>
      <c r="S82" s="16" t="s">
        <v>36</v>
      </c>
      <c r="T82" s="16" t="s">
        <v>36</v>
      </c>
      <c r="U82" s="17">
        <v>0</v>
      </c>
      <c r="V82" s="13" t="s">
        <v>35</v>
      </c>
    </row>
    <row r="83" spans="1:22" s="5" customFormat="1" x14ac:dyDescent="0.15">
      <c r="A83" s="10">
        <v>72</v>
      </c>
      <c r="B83" s="12" t="s">
        <v>49</v>
      </c>
      <c r="C83" s="11" t="s">
        <v>97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3" t="s">
        <v>35</v>
      </c>
      <c r="Q83" s="13" t="s">
        <v>35</v>
      </c>
      <c r="R83" s="13" t="s">
        <v>35</v>
      </c>
      <c r="S83" s="16" t="s">
        <v>36</v>
      </c>
      <c r="T83" s="16" t="s">
        <v>36</v>
      </c>
      <c r="U83" s="17">
        <v>0</v>
      </c>
      <c r="V83" s="13" t="s">
        <v>35</v>
      </c>
    </row>
    <row r="84" spans="1:22" s="5" customFormat="1" x14ac:dyDescent="0.15">
      <c r="A84" s="10">
        <v>73</v>
      </c>
      <c r="B84" s="12" t="s">
        <v>49</v>
      </c>
      <c r="C84" s="11" t="s">
        <v>97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3" t="s">
        <v>35</v>
      </c>
      <c r="Q84" s="13" t="s">
        <v>35</v>
      </c>
      <c r="R84" s="13" t="s">
        <v>35</v>
      </c>
      <c r="S84" s="16" t="s">
        <v>36</v>
      </c>
      <c r="T84" s="16" t="s">
        <v>36</v>
      </c>
      <c r="U84" s="17">
        <v>0</v>
      </c>
      <c r="V84" s="13" t="s">
        <v>35</v>
      </c>
    </row>
    <row r="85" spans="1:22" s="5" customFormat="1" x14ac:dyDescent="0.15">
      <c r="A85" s="10">
        <v>74</v>
      </c>
      <c r="B85" s="12" t="s">
        <v>49</v>
      </c>
      <c r="C85" s="11" t="s">
        <v>97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3" t="s">
        <v>35</v>
      </c>
      <c r="Q85" s="13" t="s">
        <v>35</v>
      </c>
      <c r="R85" s="13" t="s">
        <v>35</v>
      </c>
      <c r="S85" s="16" t="s">
        <v>36</v>
      </c>
      <c r="T85" s="16" t="s">
        <v>36</v>
      </c>
      <c r="U85" s="17">
        <v>0</v>
      </c>
      <c r="V85" s="13" t="s">
        <v>35</v>
      </c>
    </row>
    <row r="86" spans="1:22" s="5" customFormat="1" x14ac:dyDescent="0.15">
      <c r="A86" s="10">
        <v>75</v>
      </c>
      <c r="B86" s="12" t="s">
        <v>49</v>
      </c>
      <c r="C86" s="11" t="s">
        <v>97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3" t="s">
        <v>35</v>
      </c>
      <c r="Q86" s="13" t="s">
        <v>35</v>
      </c>
      <c r="R86" s="13" t="s">
        <v>35</v>
      </c>
      <c r="S86" s="16" t="s">
        <v>36</v>
      </c>
      <c r="T86" s="16" t="s">
        <v>36</v>
      </c>
      <c r="U86" s="17">
        <v>0</v>
      </c>
      <c r="V86" s="13" t="s">
        <v>35</v>
      </c>
    </row>
    <row r="87" spans="1:22" s="5" customFormat="1" x14ac:dyDescent="0.15">
      <c r="A87" s="10">
        <v>76</v>
      </c>
      <c r="B87" s="12" t="s">
        <v>49</v>
      </c>
      <c r="C87" s="11" t="s">
        <v>97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3" t="s">
        <v>35</v>
      </c>
      <c r="Q87" s="13" t="s">
        <v>35</v>
      </c>
      <c r="R87" s="13" t="s">
        <v>35</v>
      </c>
      <c r="S87" s="16" t="s">
        <v>36</v>
      </c>
      <c r="T87" s="16" t="s">
        <v>36</v>
      </c>
      <c r="U87" s="17">
        <v>0</v>
      </c>
      <c r="V87" s="13" t="s">
        <v>35</v>
      </c>
    </row>
    <row r="88" spans="1:22" s="5" customFormat="1" x14ac:dyDescent="0.15">
      <c r="A88" s="10">
        <v>77</v>
      </c>
      <c r="B88" s="12" t="s">
        <v>49</v>
      </c>
      <c r="C88" s="11" t="s">
        <v>97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3" t="s">
        <v>35</v>
      </c>
      <c r="Q88" s="13" t="s">
        <v>35</v>
      </c>
      <c r="R88" s="13" t="s">
        <v>35</v>
      </c>
      <c r="S88" s="16" t="s">
        <v>36</v>
      </c>
      <c r="T88" s="16" t="s">
        <v>36</v>
      </c>
      <c r="U88" s="17">
        <v>0</v>
      </c>
      <c r="V88" s="13" t="s">
        <v>35</v>
      </c>
    </row>
    <row r="89" spans="1:22" s="5" customFormat="1" x14ac:dyDescent="0.15">
      <c r="A89" s="10">
        <v>78</v>
      </c>
      <c r="B89" s="12" t="s">
        <v>49</v>
      </c>
      <c r="C89" s="11" t="s">
        <v>97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3" t="s">
        <v>35</v>
      </c>
      <c r="Q89" s="13" t="s">
        <v>35</v>
      </c>
      <c r="R89" s="13" t="s">
        <v>35</v>
      </c>
      <c r="S89" s="16" t="s">
        <v>36</v>
      </c>
      <c r="T89" s="16" t="s">
        <v>36</v>
      </c>
      <c r="U89" s="17">
        <v>0</v>
      </c>
      <c r="V89" s="13" t="s">
        <v>35</v>
      </c>
    </row>
    <row r="90" spans="1:22" s="5" customFormat="1" x14ac:dyDescent="0.15">
      <c r="A90" s="10">
        <v>79</v>
      </c>
      <c r="B90" s="12" t="s">
        <v>49</v>
      </c>
      <c r="C90" s="11" t="s">
        <v>97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3" t="s">
        <v>35</v>
      </c>
      <c r="Q90" s="13" t="s">
        <v>35</v>
      </c>
      <c r="R90" s="13" t="s">
        <v>35</v>
      </c>
      <c r="S90" s="16" t="s">
        <v>36</v>
      </c>
      <c r="T90" s="16" t="s">
        <v>36</v>
      </c>
      <c r="U90" s="17">
        <v>0</v>
      </c>
      <c r="V90" s="13" t="s">
        <v>35</v>
      </c>
    </row>
    <row r="91" spans="1:22" s="5" customFormat="1" x14ac:dyDescent="0.15">
      <c r="A91" s="10">
        <v>80</v>
      </c>
      <c r="B91" s="12" t="s">
        <v>49</v>
      </c>
      <c r="C91" s="11" t="s">
        <v>97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3" t="s">
        <v>35</v>
      </c>
      <c r="Q91" s="13" t="s">
        <v>35</v>
      </c>
      <c r="R91" s="13" t="s">
        <v>35</v>
      </c>
      <c r="S91" s="16" t="s">
        <v>36</v>
      </c>
      <c r="T91" s="16" t="s">
        <v>36</v>
      </c>
      <c r="U91" s="17">
        <v>0</v>
      </c>
      <c r="V91" s="13" t="s">
        <v>35</v>
      </c>
    </row>
    <row r="92" spans="1:22" s="5" customFormat="1" x14ac:dyDescent="0.15">
      <c r="A92" s="10">
        <v>81</v>
      </c>
      <c r="B92" s="12" t="s">
        <v>49</v>
      </c>
      <c r="C92" s="11" t="s">
        <v>97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3" t="s">
        <v>35</v>
      </c>
      <c r="Q92" s="13" t="s">
        <v>35</v>
      </c>
      <c r="R92" s="13" t="s">
        <v>35</v>
      </c>
      <c r="S92" s="16" t="s">
        <v>36</v>
      </c>
      <c r="T92" s="16" t="s">
        <v>36</v>
      </c>
      <c r="U92" s="17">
        <v>0</v>
      </c>
      <c r="V92" s="13" t="s">
        <v>35</v>
      </c>
    </row>
    <row r="93" spans="1:22" s="5" customFormat="1" x14ac:dyDescent="0.15">
      <c r="A93" s="10">
        <v>82</v>
      </c>
      <c r="B93" s="12" t="s">
        <v>49</v>
      </c>
      <c r="C93" s="11" t="s">
        <v>97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3" t="s">
        <v>35</v>
      </c>
      <c r="Q93" s="13" t="s">
        <v>35</v>
      </c>
      <c r="R93" s="13" t="s">
        <v>35</v>
      </c>
      <c r="S93" s="16" t="s">
        <v>36</v>
      </c>
      <c r="T93" s="16" t="s">
        <v>36</v>
      </c>
      <c r="U93" s="17">
        <v>0</v>
      </c>
      <c r="V93" s="13" t="s">
        <v>35</v>
      </c>
    </row>
    <row r="94" spans="1:22" s="5" customFormat="1" x14ac:dyDescent="0.15">
      <c r="A94" s="10">
        <v>83</v>
      </c>
      <c r="B94" s="12" t="s">
        <v>49</v>
      </c>
      <c r="C94" s="11" t="s">
        <v>97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3" t="s">
        <v>35</v>
      </c>
      <c r="Q94" s="13" t="s">
        <v>35</v>
      </c>
      <c r="R94" s="13" t="s">
        <v>35</v>
      </c>
      <c r="S94" s="16" t="s">
        <v>36</v>
      </c>
      <c r="T94" s="16" t="s">
        <v>36</v>
      </c>
      <c r="U94" s="17">
        <v>0</v>
      </c>
      <c r="V94" s="13" t="s">
        <v>35</v>
      </c>
    </row>
    <row r="95" spans="1:22" s="5" customFormat="1" x14ac:dyDescent="0.15">
      <c r="A95" s="10">
        <v>84</v>
      </c>
      <c r="B95" s="12" t="s">
        <v>49</v>
      </c>
      <c r="C95" s="11" t="s">
        <v>97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3" t="s">
        <v>35</v>
      </c>
      <c r="Q95" s="13" t="s">
        <v>35</v>
      </c>
      <c r="R95" s="13" t="s">
        <v>35</v>
      </c>
      <c r="S95" s="16" t="s">
        <v>36</v>
      </c>
      <c r="T95" s="16" t="s">
        <v>36</v>
      </c>
      <c r="U95" s="17">
        <v>0</v>
      </c>
      <c r="V95" s="13" t="s">
        <v>35</v>
      </c>
    </row>
    <row r="96" spans="1:22" s="5" customFormat="1" x14ac:dyDescent="0.15">
      <c r="A96" s="10">
        <v>85</v>
      </c>
      <c r="B96" s="12" t="s">
        <v>49</v>
      </c>
      <c r="C96" s="11" t="s">
        <v>97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3" t="s">
        <v>35</v>
      </c>
      <c r="Q96" s="13" t="s">
        <v>35</v>
      </c>
      <c r="R96" s="13" t="s">
        <v>35</v>
      </c>
      <c r="S96" s="16" t="s">
        <v>36</v>
      </c>
      <c r="T96" s="16" t="s">
        <v>36</v>
      </c>
      <c r="U96" s="17">
        <v>0</v>
      </c>
      <c r="V96" s="13" t="s">
        <v>35</v>
      </c>
    </row>
    <row r="97" spans="1:22" s="5" customFormat="1" x14ac:dyDescent="0.15">
      <c r="A97" s="10">
        <v>86</v>
      </c>
      <c r="B97" s="12" t="s">
        <v>49</v>
      </c>
      <c r="C97" s="11" t="s">
        <v>97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3" t="s">
        <v>35</v>
      </c>
      <c r="Q97" s="13" t="s">
        <v>35</v>
      </c>
      <c r="R97" s="13" t="s">
        <v>35</v>
      </c>
      <c r="S97" s="16" t="s">
        <v>36</v>
      </c>
      <c r="T97" s="16" t="s">
        <v>36</v>
      </c>
      <c r="U97" s="17">
        <v>0</v>
      </c>
      <c r="V97" s="13" t="s">
        <v>35</v>
      </c>
    </row>
    <row r="98" spans="1:22" s="5" customFormat="1" x14ac:dyDescent="0.15">
      <c r="A98" s="10">
        <v>87</v>
      </c>
      <c r="B98" s="12" t="s">
        <v>49</v>
      </c>
      <c r="C98" s="11" t="s">
        <v>97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3" t="s">
        <v>35</v>
      </c>
      <c r="Q98" s="13" t="s">
        <v>35</v>
      </c>
      <c r="R98" s="13" t="s">
        <v>35</v>
      </c>
      <c r="S98" s="16" t="s">
        <v>36</v>
      </c>
      <c r="T98" s="16" t="s">
        <v>36</v>
      </c>
      <c r="U98" s="17">
        <v>0</v>
      </c>
      <c r="V98" s="13" t="s">
        <v>35</v>
      </c>
    </row>
    <row r="99" spans="1:22" s="5" customFormat="1" x14ac:dyDescent="0.15">
      <c r="A99" s="10">
        <v>88</v>
      </c>
      <c r="B99" s="12" t="s">
        <v>49</v>
      </c>
      <c r="C99" s="11" t="s">
        <v>97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3" t="s">
        <v>35</v>
      </c>
      <c r="Q99" s="13" t="s">
        <v>35</v>
      </c>
      <c r="R99" s="13" t="s">
        <v>35</v>
      </c>
      <c r="S99" s="16" t="s">
        <v>36</v>
      </c>
      <c r="T99" s="16" t="s">
        <v>36</v>
      </c>
      <c r="U99" s="17">
        <v>0</v>
      </c>
      <c r="V99" s="13" t="s">
        <v>35</v>
      </c>
    </row>
    <row r="100" spans="1:22" s="5" customFormat="1" x14ac:dyDescent="0.15">
      <c r="A100" s="10">
        <v>89</v>
      </c>
      <c r="B100" s="12" t="s">
        <v>49</v>
      </c>
      <c r="C100" s="11" t="s">
        <v>97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3" t="s">
        <v>35</v>
      </c>
      <c r="Q100" s="13" t="s">
        <v>35</v>
      </c>
      <c r="R100" s="13" t="s">
        <v>35</v>
      </c>
      <c r="S100" s="16" t="s">
        <v>36</v>
      </c>
      <c r="T100" s="16" t="s">
        <v>36</v>
      </c>
      <c r="U100" s="17">
        <v>0</v>
      </c>
      <c r="V100" s="13" t="s">
        <v>35</v>
      </c>
    </row>
    <row r="101" spans="1:22" s="5" customFormat="1" x14ac:dyDescent="0.15">
      <c r="A101" s="10">
        <v>90</v>
      </c>
      <c r="B101" s="12" t="s">
        <v>49</v>
      </c>
      <c r="C101" s="11" t="s">
        <v>97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3" t="s">
        <v>35</v>
      </c>
      <c r="Q101" s="13" t="s">
        <v>35</v>
      </c>
      <c r="R101" s="13" t="s">
        <v>35</v>
      </c>
      <c r="S101" s="16" t="s">
        <v>36</v>
      </c>
      <c r="T101" s="16" t="s">
        <v>36</v>
      </c>
      <c r="U101" s="17">
        <v>0</v>
      </c>
      <c r="V101" s="13" t="s">
        <v>35</v>
      </c>
    </row>
    <row r="102" spans="1:22" s="5" customFormat="1" x14ac:dyDescent="0.15">
      <c r="A102" s="10">
        <v>91</v>
      </c>
      <c r="B102" s="12" t="s">
        <v>49</v>
      </c>
      <c r="C102" s="11" t="s">
        <v>97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3" t="s">
        <v>35</v>
      </c>
      <c r="Q102" s="13" t="s">
        <v>35</v>
      </c>
      <c r="R102" s="13" t="s">
        <v>35</v>
      </c>
      <c r="S102" s="16" t="s">
        <v>36</v>
      </c>
      <c r="T102" s="16" t="s">
        <v>36</v>
      </c>
      <c r="U102" s="17">
        <v>0</v>
      </c>
      <c r="V102" s="13" t="s">
        <v>35</v>
      </c>
    </row>
    <row r="103" spans="1:22" s="5" customFormat="1" x14ac:dyDescent="0.15">
      <c r="A103" s="10">
        <v>92</v>
      </c>
      <c r="B103" s="12" t="s">
        <v>49</v>
      </c>
      <c r="C103" s="11" t="s">
        <v>97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3" t="s">
        <v>35</v>
      </c>
      <c r="Q103" s="13" t="s">
        <v>35</v>
      </c>
      <c r="R103" s="13" t="s">
        <v>35</v>
      </c>
      <c r="S103" s="16" t="s">
        <v>36</v>
      </c>
      <c r="T103" s="16" t="s">
        <v>36</v>
      </c>
      <c r="U103" s="17">
        <v>0</v>
      </c>
      <c r="V103" s="13" t="s">
        <v>35</v>
      </c>
    </row>
    <row r="104" spans="1:22" s="5" customFormat="1" x14ac:dyDescent="0.15">
      <c r="A104" s="10">
        <v>93</v>
      </c>
      <c r="B104" s="12" t="s">
        <v>49</v>
      </c>
      <c r="C104" s="11" t="s">
        <v>97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3" t="s">
        <v>35</v>
      </c>
      <c r="Q104" s="13" t="s">
        <v>35</v>
      </c>
      <c r="R104" s="13" t="s">
        <v>35</v>
      </c>
      <c r="S104" s="16" t="s">
        <v>36</v>
      </c>
      <c r="T104" s="16" t="s">
        <v>36</v>
      </c>
      <c r="U104" s="17">
        <v>0</v>
      </c>
      <c r="V104" s="13" t="s">
        <v>35</v>
      </c>
    </row>
    <row r="105" spans="1:22" s="5" customFormat="1" x14ac:dyDescent="0.15">
      <c r="A105" s="10">
        <v>94</v>
      </c>
      <c r="B105" s="12" t="s">
        <v>49</v>
      </c>
      <c r="C105" s="11" t="s">
        <v>97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3" t="s">
        <v>35</v>
      </c>
      <c r="Q105" s="13" t="s">
        <v>35</v>
      </c>
      <c r="R105" s="13" t="s">
        <v>35</v>
      </c>
      <c r="S105" s="16" t="s">
        <v>36</v>
      </c>
      <c r="T105" s="16" t="s">
        <v>36</v>
      </c>
      <c r="U105" s="17">
        <v>0</v>
      </c>
      <c r="V105" s="13" t="s">
        <v>35</v>
      </c>
    </row>
    <row r="106" spans="1:22" s="5" customFormat="1" x14ac:dyDescent="0.15">
      <c r="A106" s="10">
        <v>95</v>
      </c>
      <c r="B106" s="12" t="s">
        <v>49</v>
      </c>
      <c r="C106" s="11" t="s">
        <v>97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3" t="s">
        <v>35</v>
      </c>
      <c r="Q106" s="13" t="s">
        <v>35</v>
      </c>
      <c r="R106" s="13" t="s">
        <v>35</v>
      </c>
      <c r="S106" s="16" t="s">
        <v>36</v>
      </c>
      <c r="T106" s="16" t="s">
        <v>36</v>
      </c>
      <c r="U106" s="17">
        <v>0</v>
      </c>
      <c r="V106" s="13" t="s">
        <v>35</v>
      </c>
    </row>
    <row r="107" spans="1:22" s="5" customFormat="1" x14ac:dyDescent="0.15">
      <c r="A107" s="10">
        <v>96</v>
      </c>
      <c r="B107" s="12" t="s">
        <v>49</v>
      </c>
      <c r="C107" s="11" t="s">
        <v>97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3" t="s">
        <v>35</v>
      </c>
      <c r="Q107" s="13" t="s">
        <v>35</v>
      </c>
      <c r="R107" s="13" t="s">
        <v>35</v>
      </c>
      <c r="S107" s="16" t="s">
        <v>36</v>
      </c>
      <c r="T107" s="16" t="s">
        <v>36</v>
      </c>
      <c r="U107" s="17">
        <v>0</v>
      </c>
      <c r="V107" s="13" t="s">
        <v>35</v>
      </c>
    </row>
    <row r="108" spans="1:22" s="5" customFormat="1" x14ac:dyDescent="0.15">
      <c r="A108" s="10">
        <v>97</v>
      </c>
      <c r="B108" s="12" t="s">
        <v>49</v>
      </c>
      <c r="C108" s="11" t="s">
        <v>97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3" t="s">
        <v>35</v>
      </c>
      <c r="Q108" s="13" t="s">
        <v>35</v>
      </c>
      <c r="R108" s="13" t="s">
        <v>35</v>
      </c>
      <c r="S108" s="16" t="s">
        <v>36</v>
      </c>
      <c r="T108" s="16" t="s">
        <v>36</v>
      </c>
      <c r="U108" s="17">
        <v>0</v>
      </c>
      <c r="V108" s="13" t="s">
        <v>35</v>
      </c>
    </row>
    <row r="109" spans="1:22" s="5" customFormat="1" x14ac:dyDescent="0.15">
      <c r="A109" s="10">
        <v>98</v>
      </c>
      <c r="B109" s="12" t="s">
        <v>49</v>
      </c>
      <c r="C109" s="11" t="s">
        <v>97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3" t="s">
        <v>35</v>
      </c>
      <c r="Q109" s="13" t="s">
        <v>35</v>
      </c>
      <c r="R109" s="13" t="s">
        <v>35</v>
      </c>
      <c r="S109" s="16" t="s">
        <v>36</v>
      </c>
      <c r="T109" s="16" t="s">
        <v>36</v>
      </c>
      <c r="U109" s="17">
        <v>0</v>
      </c>
      <c r="V109" s="13" t="s">
        <v>35</v>
      </c>
    </row>
    <row r="110" spans="1:22" s="5" customFormat="1" x14ac:dyDescent="0.15">
      <c r="A110" s="10">
        <v>99</v>
      </c>
      <c r="B110" s="12" t="s">
        <v>49</v>
      </c>
      <c r="C110" s="11" t="s">
        <v>97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3" t="s">
        <v>35</v>
      </c>
      <c r="Q110" s="13" t="s">
        <v>35</v>
      </c>
      <c r="R110" s="13" t="s">
        <v>35</v>
      </c>
      <c r="S110" s="16" t="s">
        <v>36</v>
      </c>
      <c r="T110" s="16" t="s">
        <v>36</v>
      </c>
      <c r="U110" s="17">
        <v>0</v>
      </c>
      <c r="V110" s="13" t="s">
        <v>35</v>
      </c>
    </row>
    <row r="111" spans="1:22" s="5" customFormat="1" x14ac:dyDescent="0.15">
      <c r="A111" s="10">
        <v>100</v>
      </c>
      <c r="B111" s="12" t="s">
        <v>49</v>
      </c>
      <c r="C111" s="11" t="s">
        <v>97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3" t="s">
        <v>35</v>
      </c>
      <c r="Q111" s="13" t="s">
        <v>35</v>
      </c>
      <c r="R111" s="13" t="s">
        <v>35</v>
      </c>
      <c r="S111" s="16" t="s">
        <v>36</v>
      </c>
      <c r="T111" s="16" t="s">
        <v>36</v>
      </c>
      <c r="U111" s="17">
        <v>0</v>
      </c>
      <c r="V111" s="13" t="s">
        <v>35</v>
      </c>
    </row>
    <row r="112" spans="1:22" s="5" customFormat="1" x14ac:dyDescent="0.15">
      <c r="A112" s="10">
        <v>101</v>
      </c>
      <c r="B112" s="12" t="s">
        <v>49</v>
      </c>
      <c r="C112" s="11" t="s">
        <v>97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3" t="s">
        <v>35</v>
      </c>
      <c r="Q112" s="13" t="s">
        <v>35</v>
      </c>
      <c r="R112" s="13" t="s">
        <v>35</v>
      </c>
      <c r="S112" s="16" t="s">
        <v>36</v>
      </c>
      <c r="T112" s="16" t="s">
        <v>36</v>
      </c>
      <c r="U112" s="17">
        <v>0</v>
      </c>
      <c r="V112" s="13" t="s">
        <v>35</v>
      </c>
    </row>
    <row r="113" spans="1:22" s="5" customFormat="1" x14ac:dyDescent="0.15">
      <c r="A113" s="10">
        <v>102</v>
      </c>
      <c r="B113" s="12" t="s">
        <v>49</v>
      </c>
      <c r="C113" s="11" t="s">
        <v>97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3" t="s">
        <v>35</v>
      </c>
      <c r="Q113" s="13" t="s">
        <v>35</v>
      </c>
      <c r="R113" s="13" t="s">
        <v>35</v>
      </c>
      <c r="S113" s="16" t="s">
        <v>36</v>
      </c>
      <c r="T113" s="16" t="s">
        <v>36</v>
      </c>
      <c r="U113" s="17">
        <v>0</v>
      </c>
      <c r="V113" s="13" t="s">
        <v>35</v>
      </c>
    </row>
    <row r="114" spans="1:22" s="5" customFormat="1" x14ac:dyDescent="0.15">
      <c r="A114" s="10">
        <v>103</v>
      </c>
      <c r="B114" s="12" t="s">
        <v>49</v>
      </c>
      <c r="C114" s="11" t="s">
        <v>97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3" t="s">
        <v>35</v>
      </c>
      <c r="Q114" s="13" t="s">
        <v>35</v>
      </c>
      <c r="R114" s="13" t="s">
        <v>35</v>
      </c>
      <c r="S114" s="16" t="s">
        <v>36</v>
      </c>
      <c r="T114" s="16" t="s">
        <v>36</v>
      </c>
      <c r="U114" s="17">
        <v>0</v>
      </c>
      <c r="V114" s="13" t="s">
        <v>35</v>
      </c>
    </row>
    <row r="115" spans="1:22" s="5" customFormat="1" x14ac:dyDescent="0.15">
      <c r="A115" s="10">
        <v>104</v>
      </c>
      <c r="B115" s="12" t="s">
        <v>49</v>
      </c>
      <c r="C115" s="11" t="s">
        <v>97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3" t="s">
        <v>35</v>
      </c>
      <c r="Q115" s="13" t="s">
        <v>35</v>
      </c>
      <c r="R115" s="13" t="s">
        <v>35</v>
      </c>
      <c r="S115" s="16" t="s">
        <v>36</v>
      </c>
      <c r="T115" s="16" t="s">
        <v>36</v>
      </c>
      <c r="U115" s="17">
        <v>0</v>
      </c>
      <c r="V115" s="13" t="s">
        <v>35</v>
      </c>
    </row>
    <row r="116" spans="1:22" s="5" customFormat="1" x14ac:dyDescent="0.15">
      <c r="A116" s="10">
        <v>105</v>
      </c>
      <c r="B116" s="12" t="s">
        <v>49</v>
      </c>
      <c r="C116" s="11" t="s">
        <v>97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3" t="s">
        <v>35</v>
      </c>
      <c r="Q116" s="13" t="s">
        <v>35</v>
      </c>
      <c r="R116" s="13" t="s">
        <v>35</v>
      </c>
      <c r="S116" s="16" t="s">
        <v>36</v>
      </c>
      <c r="T116" s="16" t="s">
        <v>36</v>
      </c>
      <c r="U116" s="17">
        <v>0</v>
      </c>
      <c r="V116" s="13" t="s">
        <v>35</v>
      </c>
    </row>
    <row r="117" spans="1:22" s="5" customFormat="1" x14ac:dyDescent="0.15">
      <c r="A117" s="10">
        <v>106</v>
      </c>
      <c r="B117" s="12" t="s">
        <v>49</v>
      </c>
      <c r="C117" s="11" t="s">
        <v>97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3" t="s">
        <v>35</v>
      </c>
      <c r="Q117" s="13" t="s">
        <v>35</v>
      </c>
      <c r="R117" s="13" t="s">
        <v>35</v>
      </c>
      <c r="S117" s="16" t="s">
        <v>36</v>
      </c>
      <c r="T117" s="16" t="s">
        <v>36</v>
      </c>
      <c r="U117" s="17">
        <v>0</v>
      </c>
      <c r="V117" s="13" t="s">
        <v>35</v>
      </c>
    </row>
    <row r="118" spans="1:22" s="5" customFormat="1" x14ac:dyDescent="0.15">
      <c r="A118" s="10">
        <v>107</v>
      </c>
      <c r="B118" s="12" t="s">
        <v>49</v>
      </c>
      <c r="C118" s="11" t="s">
        <v>97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3" t="s">
        <v>35</v>
      </c>
      <c r="Q118" s="13" t="s">
        <v>35</v>
      </c>
      <c r="R118" s="13" t="s">
        <v>35</v>
      </c>
      <c r="S118" s="16" t="s">
        <v>36</v>
      </c>
      <c r="T118" s="16" t="s">
        <v>36</v>
      </c>
      <c r="U118" s="17">
        <v>0</v>
      </c>
      <c r="V118" s="13" t="s">
        <v>35</v>
      </c>
    </row>
    <row r="119" spans="1:22" s="5" customFormat="1" x14ac:dyDescent="0.15">
      <c r="A119" s="10">
        <v>108</v>
      </c>
      <c r="B119" s="12" t="s">
        <v>49</v>
      </c>
      <c r="C119" s="11" t="s">
        <v>97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3" t="s">
        <v>35</v>
      </c>
      <c r="Q119" s="13" t="s">
        <v>35</v>
      </c>
      <c r="R119" s="13" t="s">
        <v>35</v>
      </c>
      <c r="S119" s="16" t="s">
        <v>36</v>
      </c>
      <c r="T119" s="16" t="s">
        <v>36</v>
      </c>
      <c r="U119" s="17">
        <v>0</v>
      </c>
      <c r="V119" s="13" t="s">
        <v>35</v>
      </c>
    </row>
    <row r="120" spans="1:22" s="5" customFormat="1" x14ac:dyDescent="0.15">
      <c r="A120" s="10">
        <v>109</v>
      </c>
      <c r="B120" s="12" t="s">
        <v>49</v>
      </c>
      <c r="C120" s="11" t="s">
        <v>97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3" t="s">
        <v>35</v>
      </c>
      <c r="Q120" s="13" t="s">
        <v>35</v>
      </c>
      <c r="R120" s="13" t="s">
        <v>35</v>
      </c>
      <c r="S120" s="16" t="s">
        <v>36</v>
      </c>
      <c r="T120" s="16" t="s">
        <v>36</v>
      </c>
      <c r="U120" s="17">
        <v>0</v>
      </c>
      <c r="V120" s="13" t="s">
        <v>35</v>
      </c>
    </row>
    <row r="121" spans="1:22" s="5" customFormat="1" x14ac:dyDescent="0.15">
      <c r="A121" s="10">
        <v>110</v>
      </c>
      <c r="B121" s="12" t="s">
        <v>49</v>
      </c>
      <c r="C121" s="11" t="s">
        <v>97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3" t="s">
        <v>35</v>
      </c>
      <c r="Q121" s="13" t="s">
        <v>35</v>
      </c>
      <c r="R121" s="13" t="s">
        <v>35</v>
      </c>
      <c r="S121" s="16" t="s">
        <v>36</v>
      </c>
      <c r="T121" s="16" t="s">
        <v>36</v>
      </c>
      <c r="U121" s="17">
        <v>0</v>
      </c>
      <c r="V121" s="13" t="s">
        <v>35</v>
      </c>
    </row>
    <row r="122" spans="1:22" s="5" customFormat="1" x14ac:dyDescent="0.15">
      <c r="A122" s="10">
        <v>111</v>
      </c>
      <c r="B122" s="12" t="s">
        <v>49</v>
      </c>
      <c r="C122" s="11" t="s">
        <v>97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3" t="s">
        <v>35</v>
      </c>
      <c r="Q122" s="13" t="s">
        <v>35</v>
      </c>
      <c r="R122" s="13" t="s">
        <v>35</v>
      </c>
      <c r="S122" s="16" t="s">
        <v>36</v>
      </c>
      <c r="T122" s="16" t="s">
        <v>36</v>
      </c>
      <c r="U122" s="17">
        <v>0</v>
      </c>
      <c r="V122" s="13" t="s">
        <v>35</v>
      </c>
    </row>
    <row r="123" spans="1:22" s="5" customFormat="1" x14ac:dyDescent="0.15">
      <c r="A123" s="10">
        <v>112</v>
      </c>
      <c r="B123" s="12" t="s">
        <v>49</v>
      </c>
      <c r="C123" s="11" t="s">
        <v>97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3" t="s">
        <v>35</v>
      </c>
      <c r="Q123" s="13" t="s">
        <v>35</v>
      </c>
      <c r="R123" s="13" t="s">
        <v>35</v>
      </c>
      <c r="S123" s="16" t="s">
        <v>36</v>
      </c>
      <c r="T123" s="16" t="s">
        <v>36</v>
      </c>
      <c r="U123" s="17">
        <v>0</v>
      </c>
      <c r="V123" s="13" t="s">
        <v>35</v>
      </c>
    </row>
    <row r="124" spans="1:22" s="5" customFormat="1" x14ac:dyDescent="0.15">
      <c r="A124" s="10">
        <v>113</v>
      </c>
      <c r="B124" s="12" t="s">
        <v>49</v>
      </c>
      <c r="C124" s="11" t="s">
        <v>97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3" t="s">
        <v>35</v>
      </c>
      <c r="Q124" s="13" t="s">
        <v>35</v>
      </c>
      <c r="R124" s="13" t="s">
        <v>35</v>
      </c>
      <c r="S124" s="16" t="s">
        <v>36</v>
      </c>
      <c r="T124" s="16" t="s">
        <v>36</v>
      </c>
      <c r="U124" s="17">
        <v>0</v>
      </c>
      <c r="V124" s="13" t="s">
        <v>35</v>
      </c>
    </row>
    <row r="125" spans="1:22" s="5" customFormat="1" x14ac:dyDescent="0.15">
      <c r="A125" s="10">
        <v>114</v>
      </c>
      <c r="B125" s="12" t="s">
        <v>49</v>
      </c>
      <c r="C125" s="11" t="s">
        <v>97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3" t="s">
        <v>35</v>
      </c>
      <c r="Q125" s="13" t="s">
        <v>35</v>
      </c>
      <c r="R125" s="13" t="s">
        <v>35</v>
      </c>
      <c r="S125" s="16" t="s">
        <v>36</v>
      </c>
      <c r="T125" s="16" t="s">
        <v>36</v>
      </c>
      <c r="U125" s="17">
        <v>0</v>
      </c>
      <c r="V125" s="13" t="s">
        <v>35</v>
      </c>
    </row>
    <row r="126" spans="1:22" s="5" customFormat="1" x14ac:dyDescent="0.15">
      <c r="A126" s="10">
        <v>115</v>
      </c>
      <c r="B126" s="12" t="s">
        <v>49</v>
      </c>
      <c r="C126" s="11" t="s">
        <v>97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3" t="s">
        <v>35</v>
      </c>
      <c r="Q126" s="13" t="s">
        <v>35</v>
      </c>
      <c r="R126" s="13" t="s">
        <v>35</v>
      </c>
      <c r="S126" s="16" t="s">
        <v>36</v>
      </c>
      <c r="T126" s="16" t="s">
        <v>36</v>
      </c>
      <c r="U126" s="17">
        <v>0</v>
      </c>
      <c r="V126" s="13" t="s">
        <v>35</v>
      </c>
    </row>
    <row r="127" spans="1:22" s="5" customFormat="1" x14ac:dyDescent="0.15">
      <c r="A127" s="10">
        <v>116</v>
      </c>
      <c r="B127" s="12" t="s">
        <v>49</v>
      </c>
      <c r="C127" s="11" t="s">
        <v>97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3" t="s">
        <v>35</v>
      </c>
      <c r="Q127" s="13" t="s">
        <v>35</v>
      </c>
      <c r="R127" s="13" t="s">
        <v>35</v>
      </c>
      <c r="S127" s="16" t="s">
        <v>36</v>
      </c>
      <c r="T127" s="16" t="s">
        <v>36</v>
      </c>
      <c r="U127" s="17">
        <v>0</v>
      </c>
      <c r="V127" s="13" t="s">
        <v>35</v>
      </c>
    </row>
    <row r="128" spans="1:22" s="5" customFormat="1" x14ac:dyDescent="0.15">
      <c r="A128" s="10">
        <v>117</v>
      </c>
      <c r="B128" s="12" t="s">
        <v>49</v>
      </c>
      <c r="C128" s="11" t="s">
        <v>97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3" t="s">
        <v>35</v>
      </c>
      <c r="Q128" s="13" t="s">
        <v>35</v>
      </c>
      <c r="R128" s="13" t="s">
        <v>35</v>
      </c>
      <c r="S128" s="16" t="s">
        <v>36</v>
      </c>
      <c r="T128" s="16" t="s">
        <v>36</v>
      </c>
      <c r="U128" s="17">
        <v>0</v>
      </c>
      <c r="V128" s="13" t="s">
        <v>35</v>
      </c>
    </row>
    <row r="129" spans="1:22" s="5" customFormat="1" x14ac:dyDescent="0.15">
      <c r="A129" s="10">
        <v>118</v>
      </c>
      <c r="B129" s="12" t="s">
        <v>49</v>
      </c>
      <c r="C129" s="11" t="s">
        <v>97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3" t="s">
        <v>35</v>
      </c>
      <c r="Q129" s="13" t="s">
        <v>35</v>
      </c>
      <c r="R129" s="13" t="s">
        <v>35</v>
      </c>
      <c r="S129" s="16" t="s">
        <v>36</v>
      </c>
      <c r="T129" s="16" t="s">
        <v>36</v>
      </c>
      <c r="U129" s="17">
        <v>0</v>
      </c>
      <c r="V129" s="13" t="s">
        <v>35</v>
      </c>
    </row>
    <row r="130" spans="1:22" s="5" customFormat="1" x14ac:dyDescent="0.15">
      <c r="A130" s="10">
        <v>119</v>
      </c>
      <c r="B130" s="12" t="s">
        <v>49</v>
      </c>
      <c r="C130" s="11" t="s">
        <v>97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3" t="s">
        <v>35</v>
      </c>
      <c r="Q130" s="13" t="s">
        <v>35</v>
      </c>
      <c r="R130" s="13" t="s">
        <v>35</v>
      </c>
      <c r="S130" s="16" t="s">
        <v>36</v>
      </c>
      <c r="T130" s="16" t="s">
        <v>36</v>
      </c>
      <c r="U130" s="17">
        <v>0</v>
      </c>
      <c r="V130" s="13" t="s">
        <v>35</v>
      </c>
    </row>
    <row r="131" spans="1:22" s="5" customFormat="1" x14ac:dyDescent="0.15">
      <c r="A131" s="10">
        <v>120</v>
      </c>
      <c r="B131" s="12" t="s">
        <v>49</v>
      </c>
      <c r="C131" s="11" t="s">
        <v>97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3" t="s">
        <v>35</v>
      </c>
      <c r="Q131" s="13" t="s">
        <v>35</v>
      </c>
      <c r="R131" s="13" t="s">
        <v>35</v>
      </c>
      <c r="S131" s="16" t="s">
        <v>36</v>
      </c>
      <c r="T131" s="16" t="s">
        <v>36</v>
      </c>
      <c r="U131" s="17">
        <v>0</v>
      </c>
      <c r="V131" s="13" t="s">
        <v>35</v>
      </c>
    </row>
    <row r="132" spans="1:22" s="5" customFormat="1" x14ac:dyDescent="0.15">
      <c r="A132" s="10">
        <v>121</v>
      </c>
      <c r="B132" s="12" t="s">
        <v>49</v>
      </c>
      <c r="C132" s="11" t="s">
        <v>97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3" t="s">
        <v>35</v>
      </c>
      <c r="Q132" s="13" t="s">
        <v>35</v>
      </c>
      <c r="R132" s="13" t="s">
        <v>35</v>
      </c>
      <c r="S132" s="16" t="s">
        <v>36</v>
      </c>
      <c r="T132" s="16" t="s">
        <v>36</v>
      </c>
      <c r="U132" s="17">
        <v>0</v>
      </c>
      <c r="V132" s="13" t="s">
        <v>35</v>
      </c>
    </row>
    <row r="133" spans="1:22" s="5" customFormat="1" x14ac:dyDescent="0.15">
      <c r="A133" s="10">
        <v>122</v>
      </c>
      <c r="B133" s="12" t="s">
        <v>49</v>
      </c>
      <c r="C133" s="11" t="s">
        <v>97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3" t="s">
        <v>35</v>
      </c>
      <c r="Q133" s="13" t="s">
        <v>35</v>
      </c>
      <c r="R133" s="13" t="s">
        <v>35</v>
      </c>
      <c r="S133" s="16" t="s">
        <v>36</v>
      </c>
      <c r="T133" s="16" t="s">
        <v>36</v>
      </c>
      <c r="U133" s="17">
        <v>0</v>
      </c>
      <c r="V133" s="13" t="s">
        <v>35</v>
      </c>
    </row>
    <row r="134" spans="1:22" s="5" customFormat="1" x14ac:dyDescent="0.15">
      <c r="A134" s="10">
        <v>123</v>
      </c>
      <c r="B134" s="12" t="s">
        <v>49</v>
      </c>
      <c r="C134" s="11" t="s">
        <v>97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3" t="s">
        <v>35</v>
      </c>
      <c r="Q134" s="13" t="s">
        <v>35</v>
      </c>
      <c r="R134" s="13" t="s">
        <v>35</v>
      </c>
      <c r="S134" s="16" t="s">
        <v>36</v>
      </c>
      <c r="T134" s="16" t="s">
        <v>36</v>
      </c>
      <c r="U134" s="17">
        <v>0</v>
      </c>
      <c r="V134" s="13" t="s">
        <v>35</v>
      </c>
    </row>
    <row r="135" spans="1:22" s="5" customFormat="1" x14ac:dyDescent="0.15">
      <c r="A135" s="10">
        <v>124</v>
      </c>
      <c r="B135" s="12" t="s">
        <v>49</v>
      </c>
      <c r="C135" s="11" t="s">
        <v>97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3" t="s">
        <v>35</v>
      </c>
      <c r="Q135" s="13" t="s">
        <v>35</v>
      </c>
      <c r="R135" s="13" t="s">
        <v>35</v>
      </c>
      <c r="S135" s="16" t="s">
        <v>36</v>
      </c>
      <c r="T135" s="16" t="s">
        <v>36</v>
      </c>
      <c r="U135" s="17">
        <v>0</v>
      </c>
      <c r="V135" s="13" t="s">
        <v>35</v>
      </c>
    </row>
    <row r="136" spans="1:22" s="5" customFormat="1" x14ac:dyDescent="0.15">
      <c r="A136" s="10">
        <v>125</v>
      </c>
      <c r="B136" s="12" t="s">
        <v>49</v>
      </c>
      <c r="C136" s="11" t="s">
        <v>97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3" t="s">
        <v>35</v>
      </c>
      <c r="Q136" s="13" t="s">
        <v>35</v>
      </c>
      <c r="R136" s="13" t="s">
        <v>35</v>
      </c>
      <c r="S136" s="16" t="s">
        <v>36</v>
      </c>
      <c r="T136" s="16" t="s">
        <v>36</v>
      </c>
      <c r="U136" s="17">
        <v>0</v>
      </c>
      <c r="V136" s="13" t="s">
        <v>35</v>
      </c>
    </row>
    <row r="137" spans="1:22" s="5" customFormat="1" x14ac:dyDescent="0.15">
      <c r="A137" s="10">
        <v>126</v>
      </c>
      <c r="B137" s="12" t="s">
        <v>49</v>
      </c>
      <c r="C137" s="11" t="s">
        <v>97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3" t="s">
        <v>35</v>
      </c>
      <c r="Q137" s="13" t="s">
        <v>35</v>
      </c>
      <c r="R137" s="13" t="s">
        <v>35</v>
      </c>
      <c r="S137" s="16" t="s">
        <v>36</v>
      </c>
      <c r="T137" s="16" t="s">
        <v>36</v>
      </c>
      <c r="U137" s="17">
        <v>0</v>
      </c>
      <c r="V137" s="13" t="s">
        <v>35</v>
      </c>
    </row>
    <row r="138" spans="1:22" s="5" customFormat="1" x14ac:dyDescent="0.15">
      <c r="A138" s="10">
        <v>127</v>
      </c>
      <c r="B138" s="12" t="s">
        <v>49</v>
      </c>
      <c r="C138" s="11" t="s">
        <v>97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3" t="s">
        <v>35</v>
      </c>
      <c r="Q138" s="13" t="s">
        <v>35</v>
      </c>
      <c r="R138" s="13" t="s">
        <v>35</v>
      </c>
      <c r="S138" s="16" t="s">
        <v>36</v>
      </c>
      <c r="T138" s="16" t="s">
        <v>36</v>
      </c>
      <c r="U138" s="17">
        <v>0</v>
      </c>
      <c r="V138" s="13" t="s">
        <v>35</v>
      </c>
    </row>
    <row r="139" spans="1:22" s="5" customFormat="1" x14ac:dyDescent="0.15">
      <c r="A139" s="10">
        <v>128</v>
      </c>
      <c r="B139" s="12" t="s">
        <v>49</v>
      </c>
      <c r="C139" s="11" t="s">
        <v>97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3" t="s">
        <v>35</v>
      </c>
      <c r="Q139" s="13" t="s">
        <v>35</v>
      </c>
      <c r="R139" s="13" t="s">
        <v>35</v>
      </c>
      <c r="S139" s="16" t="s">
        <v>36</v>
      </c>
      <c r="T139" s="16" t="s">
        <v>36</v>
      </c>
      <c r="U139" s="17">
        <v>0</v>
      </c>
      <c r="V139" s="13" t="s">
        <v>35</v>
      </c>
    </row>
    <row r="140" spans="1:22" s="5" customFormat="1" x14ac:dyDescent="0.15">
      <c r="A140" s="10">
        <v>129</v>
      </c>
      <c r="B140" s="12" t="s">
        <v>49</v>
      </c>
      <c r="C140" s="11" t="s">
        <v>97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3" t="s">
        <v>35</v>
      </c>
      <c r="Q140" s="13" t="s">
        <v>35</v>
      </c>
      <c r="R140" s="13" t="s">
        <v>35</v>
      </c>
      <c r="S140" s="16" t="s">
        <v>36</v>
      </c>
      <c r="T140" s="16" t="s">
        <v>36</v>
      </c>
      <c r="U140" s="17">
        <v>0</v>
      </c>
      <c r="V140" s="13" t="s">
        <v>35</v>
      </c>
    </row>
    <row r="141" spans="1:22" s="5" customFormat="1" x14ac:dyDescent="0.15">
      <c r="A141" s="10">
        <v>130</v>
      </c>
      <c r="B141" s="12" t="s">
        <v>49</v>
      </c>
      <c r="C141" s="11" t="s">
        <v>97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3" t="s">
        <v>35</v>
      </c>
      <c r="Q141" s="13" t="s">
        <v>35</v>
      </c>
      <c r="R141" s="13" t="s">
        <v>35</v>
      </c>
      <c r="S141" s="16" t="s">
        <v>36</v>
      </c>
      <c r="T141" s="16" t="s">
        <v>36</v>
      </c>
      <c r="U141" s="17">
        <v>0</v>
      </c>
      <c r="V141" s="13" t="s">
        <v>35</v>
      </c>
    </row>
    <row r="142" spans="1:22" s="5" customFormat="1" x14ac:dyDescent="0.15">
      <c r="A142" s="10">
        <v>131</v>
      </c>
      <c r="B142" s="12" t="s">
        <v>49</v>
      </c>
      <c r="C142" s="11" t="s">
        <v>97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3" t="s">
        <v>35</v>
      </c>
      <c r="Q142" s="13" t="s">
        <v>35</v>
      </c>
      <c r="R142" s="13" t="s">
        <v>35</v>
      </c>
      <c r="S142" s="16" t="s">
        <v>36</v>
      </c>
      <c r="T142" s="16" t="s">
        <v>36</v>
      </c>
      <c r="U142" s="17">
        <v>0</v>
      </c>
      <c r="V142" s="13" t="s">
        <v>35</v>
      </c>
    </row>
    <row r="143" spans="1:22" s="5" customFormat="1" x14ac:dyDescent="0.15">
      <c r="A143" s="10">
        <v>132</v>
      </c>
      <c r="B143" s="12" t="s">
        <v>49</v>
      </c>
      <c r="C143" s="11" t="s">
        <v>97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3" t="s">
        <v>35</v>
      </c>
      <c r="Q143" s="13" t="s">
        <v>35</v>
      </c>
      <c r="R143" s="13" t="s">
        <v>35</v>
      </c>
      <c r="S143" s="16" t="s">
        <v>36</v>
      </c>
      <c r="T143" s="16" t="s">
        <v>36</v>
      </c>
      <c r="U143" s="17">
        <v>0</v>
      </c>
      <c r="V143" s="13" t="s">
        <v>35</v>
      </c>
    </row>
    <row r="144" spans="1:22" s="5" customFormat="1" x14ac:dyDescent="0.15">
      <c r="A144" s="10">
        <v>133</v>
      </c>
      <c r="B144" s="12" t="s">
        <v>49</v>
      </c>
      <c r="C144" s="11" t="s">
        <v>97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3" t="s">
        <v>35</v>
      </c>
      <c r="Q144" s="13" t="s">
        <v>35</v>
      </c>
      <c r="R144" s="13" t="s">
        <v>35</v>
      </c>
      <c r="S144" s="16" t="s">
        <v>36</v>
      </c>
      <c r="T144" s="16" t="s">
        <v>36</v>
      </c>
      <c r="U144" s="17">
        <v>0</v>
      </c>
      <c r="V144" s="13" t="s">
        <v>35</v>
      </c>
    </row>
    <row r="145" spans="1:22" s="5" customFormat="1" x14ac:dyDescent="0.15">
      <c r="A145" s="10">
        <v>134</v>
      </c>
      <c r="B145" s="12" t="s">
        <v>49</v>
      </c>
      <c r="C145" s="11" t="s">
        <v>97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3" t="s">
        <v>35</v>
      </c>
      <c r="Q145" s="13" t="s">
        <v>35</v>
      </c>
      <c r="R145" s="13" t="s">
        <v>35</v>
      </c>
      <c r="S145" s="16" t="s">
        <v>36</v>
      </c>
      <c r="T145" s="16" t="s">
        <v>36</v>
      </c>
      <c r="U145" s="17">
        <v>0</v>
      </c>
      <c r="V145" s="13" t="s">
        <v>35</v>
      </c>
    </row>
    <row r="146" spans="1:22" s="5" customFormat="1" x14ac:dyDescent="0.15">
      <c r="A146" s="10">
        <v>135</v>
      </c>
      <c r="B146" s="12" t="s">
        <v>49</v>
      </c>
      <c r="C146" s="11" t="s">
        <v>97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3" t="s">
        <v>35</v>
      </c>
      <c r="Q146" s="13" t="s">
        <v>35</v>
      </c>
      <c r="R146" s="13" t="s">
        <v>35</v>
      </c>
      <c r="S146" s="16" t="s">
        <v>36</v>
      </c>
      <c r="T146" s="16" t="s">
        <v>36</v>
      </c>
      <c r="U146" s="17">
        <v>0</v>
      </c>
      <c r="V146" s="13" t="s">
        <v>35</v>
      </c>
    </row>
    <row r="147" spans="1:22" s="5" customFormat="1" x14ac:dyDescent="0.15">
      <c r="A147" s="10">
        <v>136</v>
      </c>
      <c r="B147" s="12" t="s">
        <v>49</v>
      </c>
      <c r="C147" s="11" t="s">
        <v>97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3" t="s">
        <v>35</v>
      </c>
      <c r="Q147" s="13" t="s">
        <v>35</v>
      </c>
      <c r="R147" s="13" t="s">
        <v>35</v>
      </c>
      <c r="S147" s="16" t="s">
        <v>36</v>
      </c>
      <c r="T147" s="16" t="s">
        <v>36</v>
      </c>
      <c r="U147" s="17">
        <v>0</v>
      </c>
      <c r="V147" s="13" t="s">
        <v>35</v>
      </c>
    </row>
    <row r="148" spans="1:22" s="5" customFormat="1" x14ac:dyDescent="0.15">
      <c r="A148" s="10">
        <v>137</v>
      </c>
      <c r="B148" s="12" t="s">
        <v>49</v>
      </c>
      <c r="C148" s="11" t="s">
        <v>97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3" t="s">
        <v>35</v>
      </c>
      <c r="Q148" s="13" t="s">
        <v>35</v>
      </c>
      <c r="R148" s="13" t="s">
        <v>35</v>
      </c>
      <c r="S148" s="16" t="s">
        <v>36</v>
      </c>
      <c r="T148" s="16" t="s">
        <v>36</v>
      </c>
      <c r="U148" s="17">
        <v>0</v>
      </c>
      <c r="V148" s="13" t="s">
        <v>35</v>
      </c>
    </row>
    <row r="149" spans="1:22" s="5" customFormat="1" x14ac:dyDescent="0.15">
      <c r="A149" s="10">
        <v>138</v>
      </c>
      <c r="B149" s="12" t="s">
        <v>49</v>
      </c>
      <c r="C149" s="11" t="s">
        <v>97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3" t="s">
        <v>35</v>
      </c>
      <c r="Q149" s="13" t="s">
        <v>35</v>
      </c>
      <c r="R149" s="13" t="s">
        <v>35</v>
      </c>
      <c r="S149" s="16" t="s">
        <v>36</v>
      </c>
      <c r="T149" s="16" t="s">
        <v>36</v>
      </c>
      <c r="U149" s="17">
        <v>0</v>
      </c>
      <c r="V149" s="13" t="s">
        <v>35</v>
      </c>
    </row>
    <row r="150" spans="1:22" s="5" customFormat="1" x14ac:dyDescent="0.15">
      <c r="A150" s="10">
        <v>139</v>
      </c>
      <c r="B150" s="12" t="s">
        <v>49</v>
      </c>
      <c r="C150" s="11" t="s">
        <v>97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3" t="s">
        <v>35</v>
      </c>
      <c r="Q150" s="13" t="s">
        <v>35</v>
      </c>
      <c r="R150" s="13" t="s">
        <v>35</v>
      </c>
      <c r="S150" s="16" t="s">
        <v>36</v>
      </c>
      <c r="T150" s="16" t="s">
        <v>36</v>
      </c>
      <c r="U150" s="17">
        <v>0</v>
      </c>
      <c r="V150" s="13" t="s">
        <v>35</v>
      </c>
    </row>
    <row r="151" spans="1:22" s="5" customFormat="1" x14ac:dyDescent="0.15">
      <c r="A151" s="10">
        <v>140</v>
      </c>
      <c r="B151" s="12" t="s">
        <v>49</v>
      </c>
      <c r="C151" s="11" t="s">
        <v>97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3" t="s">
        <v>35</v>
      </c>
      <c r="Q151" s="13" t="s">
        <v>35</v>
      </c>
      <c r="R151" s="13" t="s">
        <v>35</v>
      </c>
      <c r="S151" s="16" t="s">
        <v>36</v>
      </c>
      <c r="T151" s="16" t="s">
        <v>36</v>
      </c>
      <c r="U151" s="17">
        <v>0</v>
      </c>
      <c r="V151" s="13" t="s">
        <v>35</v>
      </c>
    </row>
    <row r="152" spans="1:22" s="5" customFormat="1" x14ac:dyDescent="0.15">
      <c r="A152" s="10">
        <v>141</v>
      </c>
      <c r="B152" s="12" t="s">
        <v>49</v>
      </c>
      <c r="C152" s="11" t="s">
        <v>97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3" t="s">
        <v>35</v>
      </c>
      <c r="Q152" s="13" t="s">
        <v>35</v>
      </c>
      <c r="R152" s="13" t="s">
        <v>35</v>
      </c>
      <c r="S152" s="16" t="s">
        <v>36</v>
      </c>
      <c r="T152" s="16" t="s">
        <v>36</v>
      </c>
      <c r="U152" s="17">
        <v>0</v>
      </c>
      <c r="V152" s="13" t="s">
        <v>35</v>
      </c>
    </row>
    <row r="153" spans="1:22" s="5" customFormat="1" x14ac:dyDescent="0.15">
      <c r="A153" s="10">
        <v>142</v>
      </c>
      <c r="B153" s="12" t="s">
        <v>49</v>
      </c>
      <c r="C153" s="11" t="s">
        <v>97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3" t="s">
        <v>35</v>
      </c>
      <c r="Q153" s="13" t="s">
        <v>35</v>
      </c>
      <c r="R153" s="13" t="s">
        <v>35</v>
      </c>
      <c r="S153" s="16" t="s">
        <v>36</v>
      </c>
      <c r="T153" s="16" t="s">
        <v>36</v>
      </c>
      <c r="U153" s="17">
        <v>0</v>
      </c>
      <c r="V153" s="13" t="s">
        <v>35</v>
      </c>
    </row>
    <row r="154" spans="1:22" s="5" customFormat="1" x14ac:dyDescent="0.15">
      <c r="A154" s="10">
        <v>143</v>
      </c>
      <c r="B154" s="12" t="s">
        <v>49</v>
      </c>
      <c r="C154" s="11" t="s">
        <v>97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3" t="s">
        <v>35</v>
      </c>
      <c r="Q154" s="13" t="s">
        <v>35</v>
      </c>
      <c r="R154" s="13" t="s">
        <v>35</v>
      </c>
      <c r="S154" s="16" t="s">
        <v>36</v>
      </c>
      <c r="T154" s="16" t="s">
        <v>36</v>
      </c>
      <c r="U154" s="17">
        <v>0</v>
      </c>
      <c r="V154" s="13" t="s">
        <v>35</v>
      </c>
    </row>
    <row r="155" spans="1:22" s="5" customFormat="1" x14ac:dyDescent="0.15">
      <c r="A155" s="10">
        <v>144</v>
      </c>
      <c r="B155" s="12" t="s">
        <v>49</v>
      </c>
      <c r="C155" s="11" t="s">
        <v>97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3" t="s">
        <v>35</v>
      </c>
      <c r="Q155" s="13" t="s">
        <v>35</v>
      </c>
      <c r="R155" s="13" t="s">
        <v>35</v>
      </c>
      <c r="S155" s="16" t="s">
        <v>36</v>
      </c>
      <c r="T155" s="16" t="s">
        <v>36</v>
      </c>
      <c r="U155" s="17">
        <v>0</v>
      </c>
      <c r="V155" s="13" t="s">
        <v>35</v>
      </c>
    </row>
    <row r="156" spans="1:22" s="5" customFormat="1" x14ac:dyDescent="0.15">
      <c r="A156" s="10">
        <v>145</v>
      </c>
      <c r="B156" s="12" t="s">
        <v>49</v>
      </c>
      <c r="C156" s="11" t="s">
        <v>97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3" t="s">
        <v>35</v>
      </c>
      <c r="Q156" s="13" t="s">
        <v>35</v>
      </c>
      <c r="R156" s="13" t="s">
        <v>35</v>
      </c>
      <c r="S156" s="16" t="s">
        <v>36</v>
      </c>
      <c r="T156" s="16" t="s">
        <v>36</v>
      </c>
      <c r="U156" s="17">
        <v>0</v>
      </c>
      <c r="V156" s="13" t="s">
        <v>35</v>
      </c>
    </row>
    <row r="157" spans="1:22" s="5" customFormat="1" x14ac:dyDescent="0.15">
      <c r="A157" s="10">
        <v>146</v>
      </c>
      <c r="B157" s="12" t="s">
        <v>49</v>
      </c>
      <c r="C157" s="11" t="s">
        <v>97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3" t="s">
        <v>35</v>
      </c>
      <c r="Q157" s="13" t="s">
        <v>35</v>
      </c>
      <c r="R157" s="13" t="s">
        <v>35</v>
      </c>
      <c r="S157" s="16" t="s">
        <v>36</v>
      </c>
      <c r="T157" s="16" t="s">
        <v>36</v>
      </c>
      <c r="U157" s="17">
        <v>0</v>
      </c>
      <c r="V157" s="13" t="s">
        <v>35</v>
      </c>
    </row>
    <row r="158" spans="1:22" s="5" customFormat="1" x14ac:dyDescent="0.15">
      <c r="A158" s="10">
        <v>147</v>
      </c>
      <c r="B158" s="12" t="s">
        <v>49</v>
      </c>
      <c r="C158" s="11" t="s">
        <v>97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3" t="s">
        <v>35</v>
      </c>
      <c r="Q158" s="13" t="s">
        <v>35</v>
      </c>
      <c r="R158" s="13" t="s">
        <v>35</v>
      </c>
      <c r="S158" s="16" t="s">
        <v>36</v>
      </c>
      <c r="T158" s="16" t="s">
        <v>36</v>
      </c>
      <c r="U158" s="17">
        <v>0</v>
      </c>
      <c r="V158" s="13" t="s">
        <v>35</v>
      </c>
    </row>
    <row r="159" spans="1:22" s="5" customFormat="1" x14ac:dyDescent="0.15">
      <c r="A159" s="10">
        <v>148</v>
      </c>
      <c r="B159" s="12" t="s">
        <v>49</v>
      </c>
      <c r="C159" s="11" t="s">
        <v>97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3" t="s">
        <v>35</v>
      </c>
      <c r="Q159" s="13" t="s">
        <v>35</v>
      </c>
      <c r="R159" s="13" t="s">
        <v>35</v>
      </c>
      <c r="S159" s="16" t="s">
        <v>36</v>
      </c>
      <c r="T159" s="16" t="s">
        <v>36</v>
      </c>
      <c r="U159" s="17">
        <v>0</v>
      </c>
      <c r="V159" s="13" t="s">
        <v>35</v>
      </c>
    </row>
    <row r="160" spans="1:22" s="5" customFormat="1" x14ac:dyDescent="0.15">
      <c r="A160" s="10">
        <v>149</v>
      </c>
      <c r="B160" s="12" t="s">
        <v>49</v>
      </c>
      <c r="C160" s="11" t="s">
        <v>97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3" t="s">
        <v>35</v>
      </c>
      <c r="Q160" s="13" t="s">
        <v>35</v>
      </c>
      <c r="R160" s="13" t="s">
        <v>35</v>
      </c>
      <c r="S160" s="16" t="s">
        <v>36</v>
      </c>
      <c r="T160" s="16" t="s">
        <v>36</v>
      </c>
      <c r="U160" s="17">
        <v>0</v>
      </c>
      <c r="V160" s="13" t="s">
        <v>35</v>
      </c>
    </row>
    <row r="161" spans="1:22" s="5" customFormat="1" x14ac:dyDescent="0.15">
      <c r="A161" s="10">
        <v>150</v>
      </c>
      <c r="B161" s="12" t="s">
        <v>49</v>
      </c>
      <c r="C161" s="11" t="s">
        <v>97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3" t="s">
        <v>35</v>
      </c>
      <c r="Q161" s="13" t="s">
        <v>35</v>
      </c>
      <c r="R161" s="13" t="s">
        <v>35</v>
      </c>
      <c r="S161" s="16" t="s">
        <v>36</v>
      </c>
      <c r="T161" s="16" t="s">
        <v>36</v>
      </c>
      <c r="U161" s="17">
        <v>0</v>
      </c>
      <c r="V161" s="13" t="s">
        <v>35</v>
      </c>
    </row>
    <row r="162" spans="1:22" s="5" customFormat="1" x14ac:dyDescent="0.15">
      <c r="A162" s="10">
        <v>151</v>
      </c>
      <c r="B162" s="12" t="s">
        <v>49</v>
      </c>
      <c r="C162" s="11" t="s">
        <v>97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3" t="s">
        <v>35</v>
      </c>
      <c r="Q162" s="13" t="s">
        <v>35</v>
      </c>
      <c r="R162" s="13" t="s">
        <v>35</v>
      </c>
      <c r="S162" s="16" t="s">
        <v>36</v>
      </c>
      <c r="T162" s="16" t="s">
        <v>36</v>
      </c>
      <c r="U162" s="17">
        <v>0</v>
      </c>
      <c r="V162" s="13" t="s">
        <v>35</v>
      </c>
    </row>
    <row r="163" spans="1:22" s="5" customFormat="1" x14ac:dyDescent="0.15">
      <c r="A163" s="10">
        <v>152</v>
      </c>
      <c r="B163" s="12" t="s">
        <v>49</v>
      </c>
      <c r="C163" s="11" t="s">
        <v>97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3" t="s">
        <v>35</v>
      </c>
      <c r="Q163" s="13" t="s">
        <v>35</v>
      </c>
      <c r="R163" s="13" t="s">
        <v>35</v>
      </c>
      <c r="S163" s="16" t="s">
        <v>36</v>
      </c>
      <c r="T163" s="16" t="s">
        <v>36</v>
      </c>
      <c r="U163" s="17">
        <v>0</v>
      </c>
      <c r="V163" s="13" t="s">
        <v>35</v>
      </c>
    </row>
    <row r="164" spans="1:22" s="5" customFormat="1" x14ac:dyDescent="0.15">
      <c r="A164" s="10">
        <v>153</v>
      </c>
      <c r="B164" s="12" t="s">
        <v>49</v>
      </c>
      <c r="C164" s="11" t="s">
        <v>97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3" t="s">
        <v>35</v>
      </c>
      <c r="Q164" s="13" t="s">
        <v>35</v>
      </c>
      <c r="R164" s="13" t="s">
        <v>35</v>
      </c>
      <c r="S164" s="16" t="s">
        <v>36</v>
      </c>
      <c r="T164" s="16" t="s">
        <v>36</v>
      </c>
      <c r="U164" s="17">
        <v>0</v>
      </c>
      <c r="V164" s="13" t="s">
        <v>35</v>
      </c>
    </row>
    <row r="165" spans="1:22" s="5" customFormat="1" x14ac:dyDescent="0.15">
      <c r="A165" s="10">
        <v>154</v>
      </c>
      <c r="B165" s="12" t="s">
        <v>49</v>
      </c>
      <c r="C165" s="11" t="s">
        <v>97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3" t="s">
        <v>35</v>
      </c>
      <c r="Q165" s="13" t="s">
        <v>35</v>
      </c>
      <c r="R165" s="13" t="s">
        <v>35</v>
      </c>
      <c r="S165" s="16" t="s">
        <v>36</v>
      </c>
      <c r="T165" s="16" t="s">
        <v>36</v>
      </c>
      <c r="U165" s="17">
        <v>0</v>
      </c>
      <c r="V165" s="13" t="s">
        <v>35</v>
      </c>
    </row>
    <row r="166" spans="1:22" s="5" customFormat="1" x14ac:dyDescent="0.15">
      <c r="A166" s="10">
        <v>155</v>
      </c>
      <c r="B166" s="12" t="s">
        <v>49</v>
      </c>
      <c r="C166" s="11" t="s">
        <v>97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3" t="s">
        <v>35</v>
      </c>
      <c r="Q166" s="13" t="s">
        <v>35</v>
      </c>
      <c r="R166" s="13" t="s">
        <v>35</v>
      </c>
      <c r="S166" s="16" t="s">
        <v>36</v>
      </c>
      <c r="T166" s="16" t="s">
        <v>36</v>
      </c>
      <c r="U166" s="17">
        <v>0</v>
      </c>
      <c r="V166" s="13" t="s">
        <v>35</v>
      </c>
    </row>
    <row r="167" spans="1:22" s="5" customFormat="1" x14ac:dyDescent="0.15">
      <c r="A167" s="10">
        <v>156</v>
      </c>
      <c r="B167" s="12" t="s">
        <v>49</v>
      </c>
      <c r="C167" s="11" t="s">
        <v>97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3" t="s">
        <v>35</v>
      </c>
      <c r="Q167" s="13" t="s">
        <v>35</v>
      </c>
      <c r="R167" s="13" t="s">
        <v>35</v>
      </c>
      <c r="S167" s="16" t="s">
        <v>36</v>
      </c>
      <c r="T167" s="16" t="s">
        <v>36</v>
      </c>
      <c r="U167" s="17">
        <v>0</v>
      </c>
      <c r="V167" s="13" t="s">
        <v>35</v>
      </c>
    </row>
    <row r="168" spans="1:22" s="5" customFormat="1" x14ac:dyDescent="0.15">
      <c r="A168" s="10">
        <v>157</v>
      </c>
      <c r="B168" s="12" t="s">
        <v>49</v>
      </c>
      <c r="C168" s="11" t="s">
        <v>97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3" t="s">
        <v>35</v>
      </c>
      <c r="Q168" s="13" t="s">
        <v>35</v>
      </c>
      <c r="R168" s="13" t="s">
        <v>35</v>
      </c>
      <c r="S168" s="16" t="s">
        <v>36</v>
      </c>
      <c r="T168" s="16" t="s">
        <v>36</v>
      </c>
      <c r="U168" s="17">
        <v>0</v>
      </c>
      <c r="V168" s="13" t="s">
        <v>35</v>
      </c>
    </row>
    <row r="169" spans="1:22" s="5" customFormat="1" x14ac:dyDescent="0.15">
      <c r="A169" s="10">
        <v>158</v>
      </c>
      <c r="B169" s="12" t="s">
        <v>49</v>
      </c>
      <c r="C169" s="11" t="s">
        <v>97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3" t="s">
        <v>35</v>
      </c>
      <c r="Q169" s="13" t="s">
        <v>35</v>
      </c>
      <c r="R169" s="13" t="s">
        <v>35</v>
      </c>
      <c r="S169" s="16" t="s">
        <v>36</v>
      </c>
      <c r="T169" s="16" t="s">
        <v>36</v>
      </c>
      <c r="U169" s="17">
        <v>0</v>
      </c>
      <c r="V169" s="13" t="s">
        <v>35</v>
      </c>
    </row>
    <row r="170" spans="1:22" s="5" customFormat="1" x14ac:dyDescent="0.15">
      <c r="A170" s="10">
        <v>159</v>
      </c>
      <c r="B170" s="12" t="s">
        <v>49</v>
      </c>
      <c r="C170" s="11" t="s">
        <v>97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3" t="s">
        <v>35</v>
      </c>
      <c r="Q170" s="13" t="s">
        <v>35</v>
      </c>
      <c r="R170" s="13" t="s">
        <v>35</v>
      </c>
      <c r="S170" s="16" t="s">
        <v>36</v>
      </c>
      <c r="T170" s="16" t="s">
        <v>36</v>
      </c>
      <c r="U170" s="17">
        <v>0</v>
      </c>
      <c r="V170" s="13" t="s">
        <v>35</v>
      </c>
    </row>
    <row r="171" spans="1:22" s="5" customFormat="1" x14ac:dyDescent="0.15">
      <c r="A171" s="10">
        <v>160</v>
      </c>
      <c r="B171" s="12" t="s">
        <v>49</v>
      </c>
      <c r="C171" s="11" t="s">
        <v>97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3" t="s">
        <v>35</v>
      </c>
      <c r="Q171" s="13" t="s">
        <v>35</v>
      </c>
      <c r="R171" s="13" t="s">
        <v>35</v>
      </c>
      <c r="S171" s="16" t="s">
        <v>36</v>
      </c>
      <c r="T171" s="16" t="s">
        <v>36</v>
      </c>
      <c r="U171" s="17">
        <v>0</v>
      </c>
      <c r="V171" s="13" t="s">
        <v>35</v>
      </c>
    </row>
    <row r="172" spans="1:22" s="5" customFormat="1" x14ac:dyDescent="0.15">
      <c r="A172" s="10">
        <v>161</v>
      </c>
      <c r="B172" s="12" t="s">
        <v>49</v>
      </c>
      <c r="C172" s="11" t="s">
        <v>97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3" t="s">
        <v>35</v>
      </c>
      <c r="Q172" s="13" t="s">
        <v>35</v>
      </c>
      <c r="R172" s="13" t="s">
        <v>35</v>
      </c>
      <c r="S172" s="16" t="s">
        <v>36</v>
      </c>
      <c r="T172" s="16" t="s">
        <v>36</v>
      </c>
      <c r="U172" s="17">
        <v>0</v>
      </c>
      <c r="V172" s="13" t="s">
        <v>35</v>
      </c>
    </row>
    <row r="173" spans="1:22" s="5" customFormat="1" x14ac:dyDescent="0.15">
      <c r="A173" s="10">
        <v>162</v>
      </c>
      <c r="B173" s="12" t="s">
        <v>49</v>
      </c>
      <c r="C173" s="11" t="s">
        <v>97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3" t="s">
        <v>35</v>
      </c>
      <c r="Q173" s="13" t="s">
        <v>35</v>
      </c>
      <c r="R173" s="13" t="s">
        <v>35</v>
      </c>
      <c r="S173" s="16" t="s">
        <v>36</v>
      </c>
      <c r="T173" s="16" t="s">
        <v>36</v>
      </c>
      <c r="U173" s="17">
        <v>0</v>
      </c>
      <c r="V173" s="13" t="s">
        <v>35</v>
      </c>
    </row>
    <row r="174" spans="1:22" s="5" customFormat="1" x14ac:dyDescent="0.15">
      <c r="A174" s="10">
        <v>163</v>
      </c>
      <c r="B174" s="12" t="s">
        <v>49</v>
      </c>
      <c r="C174" s="11" t="s">
        <v>97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3" t="s">
        <v>35</v>
      </c>
      <c r="Q174" s="13" t="s">
        <v>35</v>
      </c>
      <c r="R174" s="13" t="s">
        <v>35</v>
      </c>
      <c r="S174" s="16" t="s">
        <v>36</v>
      </c>
      <c r="T174" s="16" t="s">
        <v>36</v>
      </c>
      <c r="U174" s="17">
        <v>0</v>
      </c>
      <c r="V174" s="13" t="s">
        <v>35</v>
      </c>
    </row>
    <row r="175" spans="1:22" s="5" customFormat="1" x14ac:dyDescent="0.15">
      <c r="A175" s="10">
        <v>164</v>
      </c>
      <c r="B175" s="12" t="s">
        <v>49</v>
      </c>
      <c r="C175" s="11" t="s">
        <v>97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3" t="s">
        <v>35</v>
      </c>
      <c r="Q175" s="13" t="s">
        <v>35</v>
      </c>
      <c r="R175" s="13" t="s">
        <v>35</v>
      </c>
      <c r="S175" s="16" t="s">
        <v>36</v>
      </c>
      <c r="T175" s="16" t="s">
        <v>36</v>
      </c>
      <c r="U175" s="17">
        <v>0</v>
      </c>
      <c r="V175" s="13" t="s">
        <v>35</v>
      </c>
    </row>
    <row r="176" spans="1:22" s="5" customFormat="1" x14ac:dyDescent="0.15">
      <c r="A176" s="10">
        <v>165</v>
      </c>
      <c r="B176" s="12" t="s">
        <v>49</v>
      </c>
      <c r="C176" s="11" t="s">
        <v>97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3" t="s">
        <v>35</v>
      </c>
      <c r="Q176" s="13" t="s">
        <v>35</v>
      </c>
      <c r="R176" s="13" t="s">
        <v>35</v>
      </c>
      <c r="S176" s="16" t="s">
        <v>36</v>
      </c>
      <c r="T176" s="16" t="s">
        <v>36</v>
      </c>
      <c r="U176" s="17">
        <v>0</v>
      </c>
      <c r="V176" s="13" t="s">
        <v>35</v>
      </c>
    </row>
    <row r="177" spans="1:22" s="5" customFormat="1" x14ac:dyDescent="0.15">
      <c r="A177" s="10">
        <v>166</v>
      </c>
      <c r="B177" s="12" t="s">
        <v>49</v>
      </c>
      <c r="C177" s="11" t="s">
        <v>97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3" t="s">
        <v>35</v>
      </c>
      <c r="Q177" s="13" t="s">
        <v>35</v>
      </c>
      <c r="R177" s="13" t="s">
        <v>35</v>
      </c>
      <c r="S177" s="16" t="s">
        <v>36</v>
      </c>
      <c r="T177" s="16" t="s">
        <v>36</v>
      </c>
      <c r="U177" s="17">
        <v>0</v>
      </c>
      <c r="V177" s="13" t="s">
        <v>35</v>
      </c>
    </row>
    <row r="178" spans="1:22" s="5" customFormat="1" x14ac:dyDescent="0.15">
      <c r="A178" s="10">
        <v>167</v>
      </c>
      <c r="B178" s="12" t="s">
        <v>49</v>
      </c>
      <c r="C178" s="11" t="s">
        <v>97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3" t="s">
        <v>35</v>
      </c>
      <c r="Q178" s="13" t="s">
        <v>35</v>
      </c>
      <c r="R178" s="13" t="s">
        <v>35</v>
      </c>
      <c r="S178" s="16" t="s">
        <v>36</v>
      </c>
      <c r="T178" s="16" t="s">
        <v>36</v>
      </c>
      <c r="U178" s="17">
        <v>0</v>
      </c>
      <c r="V178" s="13" t="s">
        <v>35</v>
      </c>
    </row>
    <row r="179" spans="1:22" s="5" customFormat="1" x14ac:dyDescent="0.15">
      <c r="A179" s="10">
        <v>168</v>
      </c>
      <c r="B179" s="12" t="s">
        <v>49</v>
      </c>
      <c r="C179" s="11" t="s">
        <v>97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3" t="s">
        <v>35</v>
      </c>
      <c r="Q179" s="13" t="s">
        <v>35</v>
      </c>
      <c r="R179" s="13" t="s">
        <v>35</v>
      </c>
      <c r="S179" s="16" t="s">
        <v>36</v>
      </c>
      <c r="T179" s="16" t="s">
        <v>36</v>
      </c>
      <c r="U179" s="17">
        <v>0</v>
      </c>
      <c r="V179" s="13" t="s">
        <v>35</v>
      </c>
    </row>
    <row r="180" spans="1:22" s="5" customFormat="1" x14ac:dyDescent="0.15">
      <c r="A180" s="10">
        <v>169</v>
      </c>
      <c r="B180" s="12" t="s">
        <v>49</v>
      </c>
      <c r="C180" s="11" t="s">
        <v>97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3" t="s">
        <v>35</v>
      </c>
      <c r="Q180" s="13" t="s">
        <v>35</v>
      </c>
      <c r="R180" s="13" t="s">
        <v>35</v>
      </c>
      <c r="S180" s="16" t="s">
        <v>36</v>
      </c>
      <c r="T180" s="16" t="s">
        <v>36</v>
      </c>
      <c r="U180" s="17">
        <v>0</v>
      </c>
      <c r="V180" s="13" t="s">
        <v>35</v>
      </c>
    </row>
    <row r="181" spans="1:22" s="5" customFormat="1" x14ac:dyDescent="0.15">
      <c r="A181" s="10">
        <v>170</v>
      </c>
      <c r="B181" s="12" t="s">
        <v>49</v>
      </c>
      <c r="C181" s="11" t="s">
        <v>97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3" t="s">
        <v>35</v>
      </c>
      <c r="Q181" s="13" t="s">
        <v>35</v>
      </c>
      <c r="R181" s="13" t="s">
        <v>35</v>
      </c>
      <c r="S181" s="16" t="s">
        <v>36</v>
      </c>
      <c r="T181" s="16" t="s">
        <v>36</v>
      </c>
      <c r="U181" s="17">
        <v>0</v>
      </c>
      <c r="V181" s="13" t="s">
        <v>35</v>
      </c>
    </row>
    <row r="182" spans="1:22" s="5" customFormat="1" x14ac:dyDescent="0.15">
      <c r="A182" s="10">
        <v>171</v>
      </c>
      <c r="B182" s="12" t="s">
        <v>49</v>
      </c>
      <c r="C182" s="11" t="s">
        <v>97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3" t="s">
        <v>35</v>
      </c>
      <c r="Q182" s="13" t="s">
        <v>35</v>
      </c>
      <c r="R182" s="13" t="s">
        <v>35</v>
      </c>
      <c r="S182" s="16" t="s">
        <v>36</v>
      </c>
      <c r="T182" s="16" t="s">
        <v>36</v>
      </c>
      <c r="U182" s="17">
        <v>0</v>
      </c>
      <c r="V182" s="13" t="s">
        <v>35</v>
      </c>
    </row>
    <row r="183" spans="1:22" s="5" customFormat="1" x14ac:dyDescent="0.15">
      <c r="A183" s="10">
        <v>172</v>
      </c>
      <c r="B183" s="12" t="s">
        <v>49</v>
      </c>
      <c r="C183" s="11" t="s">
        <v>97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3" t="s">
        <v>35</v>
      </c>
      <c r="Q183" s="13" t="s">
        <v>35</v>
      </c>
      <c r="R183" s="13" t="s">
        <v>35</v>
      </c>
      <c r="S183" s="16" t="s">
        <v>36</v>
      </c>
      <c r="T183" s="16" t="s">
        <v>36</v>
      </c>
      <c r="U183" s="17">
        <v>0</v>
      </c>
      <c r="V183" s="13" t="s">
        <v>35</v>
      </c>
    </row>
    <row r="184" spans="1:22" s="5" customFormat="1" x14ac:dyDescent="0.15">
      <c r="A184" s="10">
        <v>173</v>
      </c>
      <c r="B184" s="12" t="s">
        <v>49</v>
      </c>
      <c r="C184" s="11" t="s">
        <v>97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3" t="s">
        <v>35</v>
      </c>
      <c r="Q184" s="13" t="s">
        <v>35</v>
      </c>
      <c r="R184" s="13" t="s">
        <v>35</v>
      </c>
      <c r="S184" s="16" t="s">
        <v>36</v>
      </c>
      <c r="T184" s="16" t="s">
        <v>36</v>
      </c>
      <c r="U184" s="17">
        <v>0</v>
      </c>
      <c r="V184" s="13" t="s">
        <v>35</v>
      </c>
    </row>
    <row r="185" spans="1:22" s="5" customFormat="1" x14ac:dyDescent="0.15">
      <c r="A185" s="10">
        <v>174</v>
      </c>
      <c r="B185" s="12" t="s">
        <v>49</v>
      </c>
      <c r="C185" s="11" t="s">
        <v>97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3" t="s">
        <v>35</v>
      </c>
      <c r="Q185" s="13" t="s">
        <v>35</v>
      </c>
      <c r="R185" s="13" t="s">
        <v>35</v>
      </c>
      <c r="S185" s="16" t="s">
        <v>36</v>
      </c>
      <c r="T185" s="16" t="s">
        <v>36</v>
      </c>
      <c r="U185" s="17">
        <v>0</v>
      </c>
      <c r="V185" s="13" t="s">
        <v>35</v>
      </c>
    </row>
    <row r="186" spans="1:22" s="5" customFormat="1" x14ac:dyDescent="0.15">
      <c r="A186" s="10">
        <v>175</v>
      </c>
      <c r="B186" s="12" t="s">
        <v>49</v>
      </c>
      <c r="C186" s="11" t="s">
        <v>97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3" t="s">
        <v>35</v>
      </c>
      <c r="Q186" s="13" t="s">
        <v>35</v>
      </c>
      <c r="R186" s="13" t="s">
        <v>35</v>
      </c>
      <c r="S186" s="16" t="s">
        <v>36</v>
      </c>
      <c r="T186" s="16" t="s">
        <v>36</v>
      </c>
      <c r="U186" s="17">
        <v>0</v>
      </c>
      <c r="V186" s="13" t="s">
        <v>35</v>
      </c>
    </row>
    <row r="187" spans="1:22" s="5" customFormat="1" x14ac:dyDescent="0.15">
      <c r="A187" s="10">
        <v>176</v>
      </c>
      <c r="B187" s="12" t="s">
        <v>49</v>
      </c>
      <c r="C187" s="11" t="s">
        <v>97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3" t="s">
        <v>35</v>
      </c>
      <c r="Q187" s="13" t="s">
        <v>35</v>
      </c>
      <c r="R187" s="13" t="s">
        <v>35</v>
      </c>
      <c r="S187" s="16" t="s">
        <v>36</v>
      </c>
      <c r="T187" s="16" t="s">
        <v>36</v>
      </c>
      <c r="U187" s="17">
        <v>0</v>
      </c>
      <c r="V187" s="13" t="s">
        <v>35</v>
      </c>
    </row>
    <row r="188" spans="1:22" s="5" customFormat="1" x14ac:dyDescent="0.15">
      <c r="A188" s="10">
        <v>177</v>
      </c>
      <c r="B188" s="12" t="s">
        <v>49</v>
      </c>
      <c r="C188" s="11" t="s">
        <v>97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3" t="s">
        <v>35</v>
      </c>
      <c r="Q188" s="13" t="s">
        <v>35</v>
      </c>
      <c r="R188" s="13" t="s">
        <v>35</v>
      </c>
      <c r="S188" s="16" t="s">
        <v>36</v>
      </c>
      <c r="T188" s="16" t="s">
        <v>36</v>
      </c>
      <c r="U188" s="17">
        <v>0</v>
      </c>
      <c r="V188" s="13" t="s">
        <v>35</v>
      </c>
    </row>
    <row r="189" spans="1:22" s="5" customFormat="1" x14ac:dyDescent="0.15">
      <c r="A189" s="10">
        <v>178</v>
      </c>
      <c r="B189" s="12" t="s">
        <v>49</v>
      </c>
      <c r="C189" s="11" t="s">
        <v>97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3" t="s">
        <v>35</v>
      </c>
      <c r="Q189" s="13" t="s">
        <v>35</v>
      </c>
      <c r="R189" s="13" t="s">
        <v>35</v>
      </c>
      <c r="S189" s="16" t="s">
        <v>36</v>
      </c>
      <c r="T189" s="16" t="s">
        <v>36</v>
      </c>
      <c r="U189" s="17">
        <v>0</v>
      </c>
      <c r="V189" s="13" t="s">
        <v>35</v>
      </c>
    </row>
    <row r="190" spans="1:22" s="5" customFormat="1" x14ac:dyDescent="0.15">
      <c r="A190" s="10">
        <v>179</v>
      </c>
      <c r="B190" s="12" t="s">
        <v>49</v>
      </c>
      <c r="C190" s="11" t="s">
        <v>97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3" t="s">
        <v>35</v>
      </c>
      <c r="Q190" s="13" t="s">
        <v>35</v>
      </c>
      <c r="R190" s="13" t="s">
        <v>35</v>
      </c>
      <c r="S190" s="16" t="s">
        <v>36</v>
      </c>
      <c r="T190" s="16" t="s">
        <v>36</v>
      </c>
      <c r="U190" s="17">
        <v>0</v>
      </c>
      <c r="V190" s="13" t="s">
        <v>35</v>
      </c>
    </row>
    <row r="191" spans="1:22" s="5" customFormat="1" x14ac:dyDescent="0.15">
      <c r="A191" s="10">
        <v>180</v>
      </c>
      <c r="B191" s="12" t="s">
        <v>49</v>
      </c>
      <c r="C191" s="11" t="s">
        <v>97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3" t="s">
        <v>35</v>
      </c>
      <c r="Q191" s="13" t="s">
        <v>35</v>
      </c>
      <c r="R191" s="13" t="s">
        <v>35</v>
      </c>
      <c r="S191" s="16" t="s">
        <v>36</v>
      </c>
      <c r="T191" s="16" t="s">
        <v>36</v>
      </c>
      <c r="U191" s="17">
        <v>0</v>
      </c>
      <c r="V191" s="13" t="s">
        <v>35</v>
      </c>
    </row>
    <row r="192" spans="1:22" s="5" customFormat="1" x14ac:dyDescent="0.15">
      <c r="A192" s="10">
        <v>181</v>
      </c>
      <c r="B192" s="12" t="s">
        <v>49</v>
      </c>
      <c r="C192" s="11" t="s">
        <v>97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3" t="s">
        <v>35</v>
      </c>
      <c r="Q192" s="13" t="s">
        <v>35</v>
      </c>
      <c r="R192" s="13" t="s">
        <v>35</v>
      </c>
      <c r="S192" s="16" t="s">
        <v>36</v>
      </c>
      <c r="T192" s="16" t="s">
        <v>36</v>
      </c>
      <c r="U192" s="17">
        <v>0</v>
      </c>
      <c r="V192" s="13" t="s">
        <v>35</v>
      </c>
    </row>
    <row r="193" spans="1:22" s="5" customFormat="1" x14ac:dyDescent="0.15">
      <c r="A193" s="10">
        <v>182</v>
      </c>
      <c r="B193" s="12" t="s">
        <v>49</v>
      </c>
      <c r="C193" s="11" t="s">
        <v>97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3" t="s">
        <v>35</v>
      </c>
      <c r="Q193" s="13" t="s">
        <v>35</v>
      </c>
      <c r="R193" s="13" t="s">
        <v>35</v>
      </c>
      <c r="S193" s="16" t="s">
        <v>36</v>
      </c>
      <c r="T193" s="16" t="s">
        <v>36</v>
      </c>
      <c r="U193" s="17">
        <v>0</v>
      </c>
      <c r="V193" s="13" t="s">
        <v>35</v>
      </c>
    </row>
    <row r="194" spans="1:22" s="5" customFormat="1" x14ac:dyDescent="0.15">
      <c r="A194" s="10">
        <v>183</v>
      </c>
      <c r="B194" s="12" t="s">
        <v>49</v>
      </c>
      <c r="C194" s="11" t="s">
        <v>97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3" t="s">
        <v>35</v>
      </c>
      <c r="Q194" s="13" t="s">
        <v>35</v>
      </c>
      <c r="R194" s="13" t="s">
        <v>35</v>
      </c>
      <c r="S194" s="16" t="s">
        <v>36</v>
      </c>
      <c r="T194" s="16" t="s">
        <v>36</v>
      </c>
      <c r="U194" s="17">
        <v>0</v>
      </c>
      <c r="V194" s="13" t="s">
        <v>35</v>
      </c>
    </row>
    <row r="195" spans="1:22" s="5" customFormat="1" x14ac:dyDescent="0.15">
      <c r="A195" s="10">
        <v>184</v>
      </c>
      <c r="B195" s="12" t="s">
        <v>49</v>
      </c>
      <c r="C195" s="11" t="s">
        <v>97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3" t="s">
        <v>35</v>
      </c>
      <c r="Q195" s="13" t="s">
        <v>35</v>
      </c>
      <c r="R195" s="13" t="s">
        <v>35</v>
      </c>
      <c r="S195" s="16" t="s">
        <v>36</v>
      </c>
      <c r="T195" s="16" t="s">
        <v>36</v>
      </c>
      <c r="U195" s="17">
        <v>0</v>
      </c>
      <c r="V195" s="13" t="s">
        <v>35</v>
      </c>
    </row>
    <row r="196" spans="1:22" s="5" customFormat="1" x14ac:dyDescent="0.15">
      <c r="A196" s="10">
        <v>185</v>
      </c>
      <c r="B196" s="12" t="s">
        <v>49</v>
      </c>
      <c r="C196" s="11" t="s">
        <v>97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3" t="s">
        <v>35</v>
      </c>
      <c r="Q196" s="13" t="s">
        <v>35</v>
      </c>
      <c r="R196" s="13" t="s">
        <v>35</v>
      </c>
      <c r="S196" s="16" t="s">
        <v>36</v>
      </c>
      <c r="T196" s="16" t="s">
        <v>36</v>
      </c>
      <c r="U196" s="17">
        <v>0</v>
      </c>
      <c r="V196" s="13" t="s">
        <v>35</v>
      </c>
    </row>
    <row r="197" spans="1:22" s="5" customFormat="1" x14ac:dyDescent="0.15">
      <c r="A197" s="10">
        <v>186</v>
      </c>
      <c r="B197" s="12" t="s">
        <v>49</v>
      </c>
      <c r="C197" s="11" t="s">
        <v>97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3" t="s">
        <v>35</v>
      </c>
      <c r="Q197" s="13" t="s">
        <v>35</v>
      </c>
      <c r="R197" s="13" t="s">
        <v>35</v>
      </c>
      <c r="S197" s="16" t="s">
        <v>36</v>
      </c>
      <c r="T197" s="16" t="s">
        <v>36</v>
      </c>
      <c r="U197" s="17">
        <v>0</v>
      </c>
      <c r="V197" s="13" t="s">
        <v>35</v>
      </c>
    </row>
    <row r="198" spans="1:22" s="5" customFormat="1" x14ac:dyDescent="0.15">
      <c r="A198" s="10">
        <v>187</v>
      </c>
      <c r="B198" s="12" t="s">
        <v>49</v>
      </c>
      <c r="C198" s="11" t="s">
        <v>97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3" t="s">
        <v>35</v>
      </c>
      <c r="Q198" s="13" t="s">
        <v>35</v>
      </c>
      <c r="R198" s="13" t="s">
        <v>35</v>
      </c>
      <c r="S198" s="16" t="s">
        <v>36</v>
      </c>
      <c r="T198" s="16" t="s">
        <v>36</v>
      </c>
      <c r="U198" s="17">
        <v>0</v>
      </c>
      <c r="V198" s="13" t="s">
        <v>35</v>
      </c>
    </row>
    <row r="199" spans="1:22" s="5" customFormat="1" x14ac:dyDescent="0.15">
      <c r="A199" s="10">
        <v>188</v>
      </c>
      <c r="B199" s="12" t="s">
        <v>49</v>
      </c>
      <c r="C199" s="11" t="s">
        <v>97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3" t="s">
        <v>35</v>
      </c>
      <c r="Q199" s="13" t="s">
        <v>35</v>
      </c>
      <c r="R199" s="13" t="s">
        <v>35</v>
      </c>
      <c r="S199" s="16" t="s">
        <v>36</v>
      </c>
      <c r="T199" s="16" t="s">
        <v>36</v>
      </c>
      <c r="U199" s="17">
        <v>0</v>
      </c>
      <c r="V199" s="13" t="s">
        <v>35</v>
      </c>
    </row>
    <row r="200" spans="1:22" s="5" customFormat="1" x14ac:dyDescent="0.15">
      <c r="A200" s="10">
        <v>189</v>
      </c>
      <c r="B200" s="12" t="s">
        <v>49</v>
      </c>
      <c r="C200" s="11" t="s">
        <v>97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3" t="s">
        <v>35</v>
      </c>
      <c r="Q200" s="13" t="s">
        <v>35</v>
      </c>
      <c r="R200" s="13" t="s">
        <v>35</v>
      </c>
      <c r="S200" s="16" t="s">
        <v>36</v>
      </c>
      <c r="T200" s="16" t="s">
        <v>36</v>
      </c>
      <c r="U200" s="17">
        <v>0</v>
      </c>
      <c r="V200" s="13" t="s">
        <v>35</v>
      </c>
    </row>
    <row r="201" spans="1:22" s="5" customFormat="1" x14ac:dyDescent="0.15">
      <c r="A201" s="10">
        <v>190</v>
      </c>
      <c r="B201" s="12" t="s">
        <v>49</v>
      </c>
      <c r="C201" s="11" t="s">
        <v>97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3" t="s">
        <v>35</v>
      </c>
      <c r="Q201" s="13" t="s">
        <v>35</v>
      </c>
      <c r="R201" s="13" t="s">
        <v>35</v>
      </c>
      <c r="S201" s="16" t="s">
        <v>36</v>
      </c>
      <c r="T201" s="16" t="s">
        <v>36</v>
      </c>
      <c r="U201" s="17">
        <v>0</v>
      </c>
      <c r="V201" s="13" t="s">
        <v>35</v>
      </c>
    </row>
    <row r="202" spans="1:22" s="5" customFormat="1" x14ac:dyDescent="0.15">
      <c r="A202" s="10">
        <v>191</v>
      </c>
      <c r="B202" s="12" t="s">
        <v>49</v>
      </c>
      <c r="C202" s="11" t="s">
        <v>97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3" t="s">
        <v>35</v>
      </c>
      <c r="Q202" s="13" t="s">
        <v>35</v>
      </c>
      <c r="R202" s="13" t="s">
        <v>35</v>
      </c>
      <c r="S202" s="16" t="s">
        <v>36</v>
      </c>
      <c r="T202" s="16" t="s">
        <v>36</v>
      </c>
      <c r="U202" s="17">
        <v>0</v>
      </c>
      <c r="V202" s="13" t="s">
        <v>35</v>
      </c>
    </row>
    <row r="203" spans="1:22" s="5" customFormat="1" x14ac:dyDescent="0.15">
      <c r="A203" s="10">
        <v>192</v>
      </c>
      <c r="B203" s="12" t="s">
        <v>49</v>
      </c>
      <c r="C203" s="11" t="s">
        <v>97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3" t="s">
        <v>35</v>
      </c>
      <c r="Q203" s="13" t="s">
        <v>35</v>
      </c>
      <c r="R203" s="13" t="s">
        <v>35</v>
      </c>
      <c r="S203" s="16" t="s">
        <v>36</v>
      </c>
      <c r="T203" s="16" t="s">
        <v>36</v>
      </c>
      <c r="U203" s="17">
        <v>0</v>
      </c>
      <c r="V203" s="13" t="s">
        <v>35</v>
      </c>
    </row>
    <row r="204" spans="1:22" s="5" customFormat="1" x14ac:dyDescent="0.15">
      <c r="A204" s="10">
        <v>193</v>
      </c>
      <c r="B204" s="12" t="s">
        <v>49</v>
      </c>
      <c r="C204" s="11" t="s">
        <v>97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3" t="s">
        <v>35</v>
      </c>
      <c r="Q204" s="13" t="s">
        <v>35</v>
      </c>
      <c r="R204" s="13" t="s">
        <v>35</v>
      </c>
      <c r="S204" s="16" t="s">
        <v>36</v>
      </c>
      <c r="T204" s="16" t="s">
        <v>36</v>
      </c>
      <c r="U204" s="17">
        <v>0</v>
      </c>
      <c r="V204" s="13" t="s">
        <v>35</v>
      </c>
    </row>
    <row r="205" spans="1:22" s="5" customFormat="1" x14ac:dyDescent="0.15">
      <c r="A205" s="10">
        <v>194</v>
      </c>
      <c r="B205" s="12" t="s">
        <v>49</v>
      </c>
      <c r="C205" s="11" t="s">
        <v>97</v>
      </c>
      <c r="D205" s="11"/>
      <c r="E205" s="10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3" t="s">
        <v>35</v>
      </c>
      <c r="Q205" s="13" t="s">
        <v>35</v>
      </c>
      <c r="R205" s="13" t="s">
        <v>35</v>
      </c>
      <c r="S205" s="16" t="s">
        <v>36</v>
      </c>
      <c r="T205" s="16" t="s">
        <v>36</v>
      </c>
      <c r="U205" s="17">
        <v>0</v>
      </c>
      <c r="V205" s="13" t="s">
        <v>35</v>
      </c>
    </row>
    <row r="206" spans="1:22" s="5" customFormat="1" x14ac:dyDescent="0.15">
      <c r="A206" s="10">
        <v>195</v>
      </c>
      <c r="B206" s="12" t="s">
        <v>49</v>
      </c>
      <c r="C206" s="11" t="s">
        <v>97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3" t="s">
        <v>35</v>
      </c>
      <c r="Q206" s="13" t="s">
        <v>35</v>
      </c>
      <c r="R206" s="13" t="s">
        <v>35</v>
      </c>
      <c r="S206" s="16" t="s">
        <v>36</v>
      </c>
      <c r="T206" s="16" t="s">
        <v>36</v>
      </c>
      <c r="U206" s="17">
        <v>0</v>
      </c>
      <c r="V206" s="13" t="s">
        <v>35</v>
      </c>
    </row>
    <row r="207" spans="1:22" s="5" customFormat="1" x14ac:dyDescent="0.15">
      <c r="A207" s="10">
        <v>196</v>
      </c>
      <c r="B207" s="12" t="s">
        <v>49</v>
      </c>
      <c r="C207" s="11" t="s">
        <v>97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3" t="s">
        <v>35</v>
      </c>
      <c r="Q207" s="13" t="s">
        <v>35</v>
      </c>
      <c r="R207" s="13" t="s">
        <v>35</v>
      </c>
      <c r="S207" s="16" t="s">
        <v>36</v>
      </c>
      <c r="T207" s="16" t="s">
        <v>36</v>
      </c>
      <c r="U207" s="17">
        <v>0</v>
      </c>
      <c r="V207" s="13" t="s">
        <v>35</v>
      </c>
    </row>
    <row r="208" spans="1:22" s="5" customFormat="1" x14ac:dyDescent="0.15">
      <c r="A208" s="10">
        <v>197</v>
      </c>
      <c r="B208" s="12" t="s">
        <v>49</v>
      </c>
      <c r="C208" s="11" t="s">
        <v>97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3" t="s">
        <v>35</v>
      </c>
      <c r="Q208" s="13" t="s">
        <v>35</v>
      </c>
      <c r="R208" s="13" t="s">
        <v>35</v>
      </c>
      <c r="S208" s="16" t="s">
        <v>36</v>
      </c>
      <c r="T208" s="16" t="s">
        <v>36</v>
      </c>
      <c r="U208" s="17">
        <v>0</v>
      </c>
      <c r="V208" s="13" t="s">
        <v>35</v>
      </c>
    </row>
    <row r="209" spans="1:22" s="5" customFormat="1" x14ac:dyDescent="0.15">
      <c r="A209" s="10">
        <v>198</v>
      </c>
      <c r="B209" s="12" t="s">
        <v>49</v>
      </c>
      <c r="C209" s="11" t="s">
        <v>97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3" t="s">
        <v>35</v>
      </c>
      <c r="Q209" s="13" t="s">
        <v>35</v>
      </c>
      <c r="R209" s="13" t="s">
        <v>35</v>
      </c>
      <c r="S209" s="16" t="s">
        <v>36</v>
      </c>
      <c r="T209" s="16" t="s">
        <v>36</v>
      </c>
      <c r="U209" s="17">
        <v>0</v>
      </c>
      <c r="V209" s="13" t="s">
        <v>35</v>
      </c>
    </row>
    <row r="210" spans="1:22" s="5" customFormat="1" x14ac:dyDescent="0.15">
      <c r="A210" s="10">
        <v>199</v>
      </c>
      <c r="B210" s="12" t="s">
        <v>49</v>
      </c>
      <c r="C210" s="11" t="s">
        <v>97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3" t="s">
        <v>35</v>
      </c>
      <c r="Q210" s="13" t="s">
        <v>35</v>
      </c>
      <c r="R210" s="13" t="s">
        <v>35</v>
      </c>
      <c r="S210" s="16" t="s">
        <v>36</v>
      </c>
      <c r="T210" s="16" t="s">
        <v>36</v>
      </c>
      <c r="U210" s="17">
        <v>0</v>
      </c>
      <c r="V210" s="13" t="s">
        <v>35</v>
      </c>
    </row>
    <row r="211" spans="1:22" s="5" customFormat="1" x14ac:dyDescent="0.15">
      <c r="A211" s="10">
        <v>200</v>
      </c>
      <c r="B211" s="12" t="s">
        <v>49</v>
      </c>
      <c r="C211" s="11" t="s">
        <v>97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3" t="s">
        <v>35</v>
      </c>
      <c r="Q211" s="13" t="s">
        <v>35</v>
      </c>
      <c r="R211" s="13" t="s">
        <v>35</v>
      </c>
      <c r="S211" s="16" t="s">
        <v>36</v>
      </c>
      <c r="T211" s="16" t="s">
        <v>36</v>
      </c>
      <c r="U211" s="17">
        <v>0</v>
      </c>
      <c r="V211" s="13" t="s">
        <v>35</v>
      </c>
    </row>
    <row r="212" spans="1:22" s="5" customFormat="1" x14ac:dyDescent="0.15">
      <c r="A212" s="10">
        <v>201</v>
      </c>
      <c r="B212" s="12" t="s">
        <v>49</v>
      </c>
      <c r="C212" s="11" t="s">
        <v>97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3" t="s">
        <v>35</v>
      </c>
      <c r="Q212" s="13" t="s">
        <v>35</v>
      </c>
      <c r="R212" s="13" t="s">
        <v>35</v>
      </c>
      <c r="S212" s="16" t="s">
        <v>36</v>
      </c>
      <c r="T212" s="16" t="s">
        <v>36</v>
      </c>
      <c r="U212" s="17">
        <v>0</v>
      </c>
      <c r="V212" s="13" t="s">
        <v>35</v>
      </c>
    </row>
    <row r="213" spans="1:22" s="5" customFormat="1" x14ac:dyDescent="0.15">
      <c r="A213" s="10">
        <v>202</v>
      </c>
      <c r="B213" s="12" t="s">
        <v>49</v>
      </c>
      <c r="C213" s="11" t="s">
        <v>97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3" t="s">
        <v>35</v>
      </c>
      <c r="Q213" s="13" t="s">
        <v>35</v>
      </c>
      <c r="R213" s="13" t="s">
        <v>35</v>
      </c>
      <c r="S213" s="16" t="s">
        <v>36</v>
      </c>
      <c r="T213" s="16" t="s">
        <v>36</v>
      </c>
      <c r="U213" s="17">
        <v>0</v>
      </c>
      <c r="V213" s="13" t="s">
        <v>35</v>
      </c>
    </row>
    <row r="214" spans="1:22" s="5" customFormat="1" x14ac:dyDescent="0.15">
      <c r="A214" s="10">
        <v>203</v>
      </c>
      <c r="B214" s="12" t="s">
        <v>49</v>
      </c>
      <c r="C214" s="11" t="s">
        <v>97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3" t="s">
        <v>35</v>
      </c>
      <c r="Q214" s="13" t="s">
        <v>35</v>
      </c>
      <c r="R214" s="13" t="s">
        <v>35</v>
      </c>
      <c r="S214" s="16" t="s">
        <v>36</v>
      </c>
      <c r="T214" s="16" t="s">
        <v>36</v>
      </c>
      <c r="U214" s="17">
        <v>0</v>
      </c>
      <c r="V214" s="13" t="s">
        <v>35</v>
      </c>
    </row>
    <row r="215" spans="1:22" s="5" customFormat="1" x14ac:dyDescent="0.15">
      <c r="A215" s="21">
        <v>204</v>
      </c>
      <c r="B215" s="12" t="s">
        <v>49</v>
      </c>
      <c r="C215" s="11" t="s">
        <v>97</v>
      </c>
      <c r="D215" s="11"/>
      <c r="E215" s="21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3" t="s">
        <v>35</v>
      </c>
      <c r="Q215" s="13" t="s">
        <v>35</v>
      </c>
      <c r="R215" s="13" t="s">
        <v>35</v>
      </c>
      <c r="S215" s="16" t="s">
        <v>36</v>
      </c>
      <c r="T215" s="16" t="s">
        <v>36</v>
      </c>
      <c r="U215" s="17">
        <v>0</v>
      </c>
      <c r="V215" s="13" t="s">
        <v>35</v>
      </c>
    </row>
    <row r="216" spans="1:22" s="5" customFormat="1" x14ac:dyDescent="0.15">
      <c r="A216" s="10">
        <v>205</v>
      </c>
      <c r="B216" s="12" t="s">
        <v>49</v>
      </c>
      <c r="C216" s="11" t="s">
        <v>97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3" t="s">
        <v>35</v>
      </c>
      <c r="Q216" s="13" t="s">
        <v>35</v>
      </c>
      <c r="R216" s="13" t="s">
        <v>35</v>
      </c>
      <c r="S216" s="16" t="s">
        <v>36</v>
      </c>
      <c r="T216" s="16" t="s">
        <v>36</v>
      </c>
      <c r="U216" s="17">
        <v>0</v>
      </c>
      <c r="V216" s="13" t="s">
        <v>35</v>
      </c>
    </row>
    <row r="217" spans="1:22" s="5" customFormat="1" x14ac:dyDescent="0.15">
      <c r="A217" s="10">
        <v>206</v>
      </c>
      <c r="B217" s="12" t="s">
        <v>49</v>
      </c>
      <c r="C217" s="11" t="s">
        <v>97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3" t="s">
        <v>35</v>
      </c>
      <c r="Q217" s="13" t="s">
        <v>35</v>
      </c>
      <c r="R217" s="13" t="s">
        <v>35</v>
      </c>
      <c r="S217" s="16" t="s">
        <v>36</v>
      </c>
      <c r="T217" s="16" t="s">
        <v>36</v>
      </c>
      <c r="U217" s="17">
        <v>0</v>
      </c>
      <c r="V217" s="13" t="s">
        <v>35</v>
      </c>
    </row>
    <row r="218" spans="1:22" s="5" customFormat="1" x14ac:dyDescent="0.15">
      <c r="A218" s="10">
        <v>207</v>
      </c>
      <c r="B218" s="12" t="s">
        <v>49</v>
      </c>
      <c r="C218" s="11" t="s">
        <v>97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3" t="s">
        <v>35</v>
      </c>
      <c r="Q218" s="13" t="s">
        <v>35</v>
      </c>
      <c r="R218" s="13" t="s">
        <v>35</v>
      </c>
      <c r="S218" s="16" t="s">
        <v>36</v>
      </c>
      <c r="T218" s="16" t="s">
        <v>36</v>
      </c>
      <c r="U218" s="17">
        <v>0</v>
      </c>
      <c r="V218" s="13" t="s">
        <v>35</v>
      </c>
    </row>
    <row r="219" spans="1:22" s="5" customFormat="1" x14ac:dyDescent="0.15">
      <c r="A219" s="10">
        <v>208</v>
      </c>
      <c r="B219" s="12" t="s">
        <v>49</v>
      </c>
      <c r="C219" s="11" t="s">
        <v>97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3" t="s">
        <v>35</v>
      </c>
      <c r="Q219" s="13" t="s">
        <v>35</v>
      </c>
      <c r="R219" s="13" t="s">
        <v>35</v>
      </c>
      <c r="S219" s="16" t="s">
        <v>36</v>
      </c>
      <c r="T219" s="16" t="s">
        <v>36</v>
      </c>
      <c r="U219" s="17">
        <v>0</v>
      </c>
      <c r="V219" s="13" t="s">
        <v>35</v>
      </c>
    </row>
    <row r="220" spans="1:22" s="5" customFormat="1" x14ac:dyDescent="0.15">
      <c r="A220" s="10">
        <v>209</v>
      </c>
      <c r="B220" s="12" t="s">
        <v>49</v>
      </c>
      <c r="C220" s="11" t="s">
        <v>97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3" t="s">
        <v>35</v>
      </c>
      <c r="Q220" s="13" t="s">
        <v>35</v>
      </c>
      <c r="R220" s="13" t="s">
        <v>35</v>
      </c>
      <c r="S220" s="16" t="s">
        <v>36</v>
      </c>
      <c r="T220" s="16" t="s">
        <v>36</v>
      </c>
      <c r="U220" s="17">
        <v>0</v>
      </c>
      <c r="V220" s="13" t="s">
        <v>35</v>
      </c>
    </row>
    <row r="221" spans="1:22" s="5" customFormat="1" x14ac:dyDescent="0.15">
      <c r="A221" s="10">
        <v>210</v>
      </c>
      <c r="B221" s="12" t="s">
        <v>49</v>
      </c>
      <c r="C221" s="11" t="s">
        <v>97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3" t="s">
        <v>35</v>
      </c>
      <c r="Q221" s="13" t="s">
        <v>35</v>
      </c>
      <c r="R221" s="13" t="s">
        <v>35</v>
      </c>
      <c r="S221" s="16" t="s">
        <v>36</v>
      </c>
      <c r="T221" s="16" t="s">
        <v>36</v>
      </c>
      <c r="U221" s="17">
        <v>0</v>
      </c>
      <c r="V221" s="13" t="s">
        <v>35</v>
      </c>
    </row>
    <row r="222" spans="1:22" s="5" customFormat="1" x14ac:dyDescent="0.15">
      <c r="A222" s="10">
        <v>211</v>
      </c>
      <c r="B222" s="12" t="s">
        <v>49</v>
      </c>
      <c r="C222" s="11" t="s">
        <v>97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3" t="s">
        <v>35</v>
      </c>
      <c r="Q222" s="13" t="s">
        <v>35</v>
      </c>
      <c r="R222" s="13" t="s">
        <v>35</v>
      </c>
      <c r="S222" s="16" t="s">
        <v>36</v>
      </c>
      <c r="T222" s="16" t="s">
        <v>36</v>
      </c>
      <c r="U222" s="17">
        <v>0</v>
      </c>
      <c r="V222" s="13" t="s">
        <v>35</v>
      </c>
    </row>
    <row r="223" spans="1:22" s="5" customFormat="1" x14ac:dyDescent="0.15">
      <c r="A223" s="10">
        <v>212</v>
      </c>
      <c r="B223" s="12" t="s">
        <v>49</v>
      </c>
      <c r="C223" s="11" t="s">
        <v>97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3" t="s">
        <v>35</v>
      </c>
      <c r="Q223" s="13" t="s">
        <v>35</v>
      </c>
      <c r="R223" s="13" t="s">
        <v>35</v>
      </c>
      <c r="S223" s="16" t="s">
        <v>36</v>
      </c>
      <c r="T223" s="16" t="s">
        <v>36</v>
      </c>
      <c r="U223" s="17">
        <v>0</v>
      </c>
      <c r="V223" s="13" t="s">
        <v>35</v>
      </c>
    </row>
    <row r="224" spans="1:22" s="5" customFormat="1" x14ac:dyDescent="0.15">
      <c r="A224" s="10">
        <v>213</v>
      </c>
      <c r="B224" s="12" t="s">
        <v>49</v>
      </c>
      <c r="C224" s="11" t="s">
        <v>97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3" t="s">
        <v>35</v>
      </c>
      <c r="Q224" s="13" t="s">
        <v>35</v>
      </c>
      <c r="R224" s="13" t="s">
        <v>35</v>
      </c>
      <c r="S224" s="16" t="s">
        <v>36</v>
      </c>
      <c r="T224" s="16" t="s">
        <v>36</v>
      </c>
      <c r="U224" s="17">
        <v>0</v>
      </c>
      <c r="V224" s="13" t="s">
        <v>35</v>
      </c>
    </row>
    <row r="225" spans="1:22" s="5" customFormat="1" x14ac:dyDescent="0.15">
      <c r="A225" s="10">
        <v>214</v>
      </c>
      <c r="B225" s="12" t="s">
        <v>49</v>
      </c>
      <c r="C225" s="11" t="s">
        <v>97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3" t="s">
        <v>35</v>
      </c>
      <c r="Q225" s="13" t="s">
        <v>35</v>
      </c>
      <c r="R225" s="13" t="s">
        <v>35</v>
      </c>
      <c r="S225" s="16" t="s">
        <v>36</v>
      </c>
      <c r="T225" s="16" t="s">
        <v>36</v>
      </c>
      <c r="U225" s="17">
        <v>0</v>
      </c>
      <c r="V225" s="13" t="s">
        <v>35</v>
      </c>
    </row>
    <row r="226" spans="1:22" s="5" customFormat="1" x14ac:dyDescent="0.15">
      <c r="A226" s="10">
        <v>215</v>
      </c>
      <c r="B226" s="12" t="s">
        <v>49</v>
      </c>
      <c r="C226" s="11" t="s">
        <v>97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3" t="s">
        <v>35</v>
      </c>
      <c r="Q226" s="13" t="s">
        <v>35</v>
      </c>
      <c r="R226" s="13" t="s">
        <v>35</v>
      </c>
      <c r="S226" s="16" t="s">
        <v>36</v>
      </c>
      <c r="T226" s="16" t="s">
        <v>36</v>
      </c>
      <c r="U226" s="17">
        <v>0</v>
      </c>
      <c r="V226" s="13" t="s">
        <v>35</v>
      </c>
    </row>
    <row r="227" spans="1:22" s="5" customFormat="1" x14ac:dyDescent="0.15">
      <c r="A227" s="10">
        <v>216</v>
      </c>
      <c r="B227" s="12" t="s">
        <v>49</v>
      </c>
      <c r="C227" s="11" t="s">
        <v>97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3" t="s">
        <v>35</v>
      </c>
      <c r="Q227" s="13" t="s">
        <v>35</v>
      </c>
      <c r="R227" s="13" t="s">
        <v>35</v>
      </c>
      <c r="S227" s="16" t="s">
        <v>36</v>
      </c>
      <c r="T227" s="16" t="s">
        <v>36</v>
      </c>
      <c r="U227" s="17">
        <v>0</v>
      </c>
      <c r="V227" s="13" t="s">
        <v>35</v>
      </c>
    </row>
    <row r="228" spans="1:22" s="5" customFormat="1" x14ac:dyDescent="0.15">
      <c r="A228" s="10">
        <v>217</v>
      </c>
      <c r="B228" s="12" t="s">
        <v>49</v>
      </c>
      <c r="C228" s="11" t="s">
        <v>97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3" t="s">
        <v>35</v>
      </c>
      <c r="Q228" s="13" t="s">
        <v>35</v>
      </c>
      <c r="R228" s="13" t="s">
        <v>35</v>
      </c>
      <c r="S228" s="16" t="s">
        <v>36</v>
      </c>
      <c r="T228" s="16" t="s">
        <v>36</v>
      </c>
      <c r="U228" s="17">
        <v>0</v>
      </c>
      <c r="V228" s="13" t="s">
        <v>35</v>
      </c>
    </row>
    <row r="229" spans="1:22" s="5" customFormat="1" x14ac:dyDescent="0.15">
      <c r="A229" s="10">
        <v>218</v>
      </c>
      <c r="B229" s="12" t="s">
        <v>49</v>
      </c>
      <c r="C229" s="11" t="s">
        <v>97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3" t="s">
        <v>35</v>
      </c>
      <c r="Q229" s="13" t="s">
        <v>35</v>
      </c>
      <c r="R229" s="13" t="s">
        <v>35</v>
      </c>
      <c r="S229" s="16" t="s">
        <v>36</v>
      </c>
      <c r="T229" s="16" t="s">
        <v>36</v>
      </c>
      <c r="U229" s="17">
        <v>0</v>
      </c>
      <c r="V229" s="13" t="s">
        <v>35</v>
      </c>
    </row>
    <row r="230" spans="1:22" s="5" customFormat="1" x14ac:dyDescent="0.15">
      <c r="A230" s="10">
        <v>219</v>
      </c>
      <c r="B230" s="12" t="s">
        <v>49</v>
      </c>
      <c r="C230" s="11" t="s">
        <v>97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3" t="s">
        <v>35</v>
      </c>
      <c r="Q230" s="13" t="s">
        <v>35</v>
      </c>
      <c r="R230" s="13" t="s">
        <v>35</v>
      </c>
      <c r="S230" s="16" t="s">
        <v>36</v>
      </c>
      <c r="T230" s="16" t="s">
        <v>36</v>
      </c>
      <c r="U230" s="17">
        <v>0</v>
      </c>
      <c r="V230" s="13" t="s">
        <v>35</v>
      </c>
    </row>
    <row r="231" spans="1:22" s="5" customFormat="1" x14ac:dyDescent="0.15">
      <c r="A231" s="10">
        <v>220</v>
      </c>
      <c r="B231" s="12" t="s">
        <v>49</v>
      </c>
      <c r="C231" s="11" t="s">
        <v>97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3" t="s">
        <v>35</v>
      </c>
      <c r="Q231" s="13" t="s">
        <v>35</v>
      </c>
      <c r="R231" s="13" t="s">
        <v>35</v>
      </c>
      <c r="S231" s="16" t="s">
        <v>36</v>
      </c>
      <c r="T231" s="16" t="s">
        <v>36</v>
      </c>
      <c r="U231" s="17">
        <v>0</v>
      </c>
      <c r="V231" s="13" t="s">
        <v>35</v>
      </c>
    </row>
    <row r="232" spans="1:22" s="5" customFormat="1" x14ac:dyDescent="0.15">
      <c r="A232" s="10">
        <v>221</v>
      </c>
      <c r="B232" s="12" t="s">
        <v>49</v>
      </c>
      <c r="C232" s="11" t="s">
        <v>97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3" t="s">
        <v>35</v>
      </c>
      <c r="Q232" s="13" t="s">
        <v>35</v>
      </c>
      <c r="R232" s="13" t="s">
        <v>35</v>
      </c>
      <c r="S232" s="16" t="s">
        <v>36</v>
      </c>
      <c r="T232" s="16" t="s">
        <v>36</v>
      </c>
      <c r="U232" s="17">
        <v>0</v>
      </c>
      <c r="V232" s="13" t="s">
        <v>35</v>
      </c>
    </row>
    <row r="233" spans="1:22" s="5" customFormat="1" x14ac:dyDescent="0.15">
      <c r="A233" s="10">
        <v>222</v>
      </c>
      <c r="B233" s="12" t="s">
        <v>49</v>
      </c>
      <c r="C233" s="11" t="s">
        <v>97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3" t="s">
        <v>35</v>
      </c>
      <c r="Q233" s="13" t="s">
        <v>35</v>
      </c>
      <c r="R233" s="13" t="s">
        <v>35</v>
      </c>
      <c r="S233" s="16" t="s">
        <v>36</v>
      </c>
      <c r="T233" s="16" t="s">
        <v>36</v>
      </c>
      <c r="U233" s="17">
        <v>0</v>
      </c>
      <c r="V233" s="13" t="s">
        <v>35</v>
      </c>
    </row>
    <row r="234" spans="1:22" s="5" customFormat="1" x14ac:dyDescent="0.15">
      <c r="A234" s="10">
        <v>223</v>
      </c>
      <c r="B234" s="12" t="s">
        <v>49</v>
      </c>
      <c r="C234" s="11" t="s">
        <v>97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3" t="s">
        <v>35</v>
      </c>
      <c r="Q234" s="13" t="s">
        <v>35</v>
      </c>
      <c r="R234" s="13" t="s">
        <v>35</v>
      </c>
      <c r="S234" s="16" t="s">
        <v>36</v>
      </c>
      <c r="T234" s="16" t="s">
        <v>36</v>
      </c>
      <c r="U234" s="17">
        <v>0</v>
      </c>
      <c r="V234" s="13" t="s">
        <v>35</v>
      </c>
    </row>
    <row r="235" spans="1:22" s="5" customFormat="1" x14ac:dyDescent="0.15">
      <c r="A235" s="10">
        <v>224</v>
      </c>
      <c r="B235" s="12" t="s">
        <v>49</v>
      </c>
      <c r="C235" s="11" t="s">
        <v>97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3" t="s">
        <v>35</v>
      </c>
      <c r="Q235" s="13" t="s">
        <v>35</v>
      </c>
      <c r="R235" s="13" t="s">
        <v>35</v>
      </c>
      <c r="S235" s="16" t="s">
        <v>36</v>
      </c>
      <c r="T235" s="16" t="s">
        <v>36</v>
      </c>
      <c r="U235" s="17">
        <v>0</v>
      </c>
      <c r="V235" s="13" t="s">
        <v>35</v>
      </c>
    </row>
    <row r="236" spans="1:22" s="5" customFormat="1" x14ac:dyDescent="0.15">
      <c r="A236" s="10">
        <v>225</v>
      </c>
      <c r="B236" s="12" t="s">
        <v>49</v>
      </c>
      <c r="C236" s="11" t="s">
        <v>97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3" t="s">
        <v>35</v>
      </c>
      <c r="Q236" s="13" t="s">
        <v>35</v>
      </c>
      <c r="R236" s="13" t="s">
        <v>35</v>
      </c>
      <c r="S236" s="16" t="s">
        <v>36</v>
      </c>
      <c r="T236" s="16" t="s">
        <v>36</v>
      </c>
      <c r="U236" s="17">
        <v>0</v>
      </c>
      <c r="V236" s="13" t="s">
        <v>35</v>
      </c>
    </row>
    <row r="237" spans="1:22" s="5" customFormat="1" x14ac:dyDescent="0.15">
      <c r="A237" s="10">
        <v>226</v>
      </c>
      <c r="B237" s="12" t="s">
        <v>49</v>
      </c>
      <c r="C237" s="11" t="s">
        <v>97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3" t="s">
        <v>35</v>
      </c>
      <c r="Q237" s="13" t="s">
        <v>35</v>
      </c>
      <c r="R237" s="13" t="s">
        <v>35</v>
      </c>
      <c r="S237" s="16" t="s">
        <v>36</v>
      </c>
      <c r="T237" s="16" t="s">
        <v>36</v>
      </c>
      <c r="U237" s="17">
        <v>0</v>
      </c>
      <c r="V237" s="13" t="s">
        <v>35</v>
      </c>
    </row>
    <row r="238" spans="1:22" s="5" customFormat="1" x14ac:dyDescent="0.15">
      <c r="A238" s="10">
        <v>227</v>
      </c>
      <c r="B238" s="12" t="s">
        <v>49</v>
      </c>
      <c r="C238" s="11" t="s">
        <v>97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3" t="s">
        <v>35</v>
      </c>
      <c r="Q238" s="13" t="s">
        <v>35</v>
      </c>
      <c r="R238" s="13" t="s">
        <v>35</v>
      </c>
      <c r="S238" s="16" t="s">
        <v>36</v>
      </c>
      <c r="T238" s="16" t="s">
        <v>36</v>
      </c>
      <c r="U238" s="17">
        <v>0</v>
      </c>
      <c r="V238" s="13" t="s">
        <v>35</v>
      </c>
    </row>
    <row r="239" spans="1:22" s="5" customFormat="1" x14ac:dyDescent="0.15">
      <c r="A239" s="10">
        <v>228</v>
      </c>
      <c r="B239" s="12" t="s">
        <v>49</v>
      </c>
      <c r="C239" s="11" t="s">
        <v>97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3" t="s">
        <v>35</v>
      </c>
      <c r="Q239" s="13" t="s">
        <v>35</v>
      </c>
      <c r="R239" s="13" t="s">
        <v>35</v>
      </c>
      <c r="S239" s="16" t="s">
        <v>36</v>
      </c>
      <c r="T239" s="16" t="s">
        <v>36</v>
      </c>
      <c r="U239" s="17">
        <v>0</v>
      </c>
      <c r="V239" s="13" t="s">
        <v>35</v>
      </c>
    </row>
    <row r="240" spans="1:22" s="5" customFormat="1" x14ac:dyDescent="0.15">
      <c r="A240" s="10">
        <v>229</v>
      </c>
      <c r="B240" s="12" t="s">
        <v>49</v>
      </c>
      <c r="C240" s="11" t="s">
        <v>97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3" t="s">
        <v>35</v>
      </c>
      <c r="Q240" s="13" t="s">
        <v>35</v>
      </c>
      <c r="R240" s="13" t="s">
        <v>35</v>
      </c>
      <c r="S240" s="16" t="s">
        <v>36</v>
      </c>
      <c r="T240" s="16" t="s">
        <v>36</v>
      </c>
      <c r="U240" s="17">
        <v>0</v>
      </c>
      <c r="V240" s="13" t="s">
        <v>35</v>
      </c>
    </row>
    <row r="241" spans="1:22" s="5" customFormat="1" x14ac:dyDescent="0.15">
      <c r="A241" s="10">
        <v>230</v>
      </c>
      <c r="B241" s="12" t="s">
        <v>49</v>
      </c>
      <c r="C241" s="11" t="s">
        <v>97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3" t="s">
        <v>35</v>
      </c>
      <c r="Q241" s="13" t="s">
        <v>35</v>
      </c>
      <c r="R241" s="13" t="s">
        <v>35</v>
      </c>
      <c r="S241" s="16" t="s">
        <v>36</v>
      </c>
      <c r="T241" s="16" t="s">
        <v>36</v>
      </c>
      <c r="U241" s="17">
        <v>0</v>
      </c>
      <c r="V241" s="13" t="s">
        <v>35</v>
      </c>
    </row>
    <row r="242" spans="1:22" s="5" customFormat="1" x14ac:dyDescent="0.15">
      <c r="A242" s="10">
        <v>231</v>
      </c>
      <c r="B242" s="12" t="s">
        <v>49</v>
      </c>
      <c r="C242" s="11" t="s">
        <v>97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3" t="s">
        <v>35</v>
      </c>
      <c r="Q242" s="13" t="s">
        <v>35</v>
      </c>
      <c r="R242" s="13" t="s">
        <v>35</v>
      </c>
      <c r="S242" s="16" t="s">
        <v>36</v>
      </c>
      <c r="T242" s="16" t="s">
        <v>36</v>
      </c>
      <c r="U242" s="17">
        <v>0</v>
      </c>
      <c r="V242" s="13" t="s">
        <v>35</v>
      </c>
    </row>
    <row r="243" spans="1:22" s="5" customFormat="1" x14ac:dyDescent="0.15">
      <c r="A243" s="10">
        <v>232</v>
      </c>
      <c r="B243" s="12" t="s">
        <v>49</v>
      </c>
      <c r="C243" s="11" t="s">
        <v>97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3" t="s">
        <v>35</v>
      </c>
      <c r="Q243" s="13" t="s">
        <v>35</v>
      </c>
      <c r="R243" s="13" t="s">
        <v>35</v>
      </c>
      <c r="S243" s="16" t="s">
        <v>36</v>
      </c>
      <c r="T243" s="16" t="s">
        <v>36</v>
      </c>
      <c r="U243" s="17">
        <v>0</v>
      </c>
      <c r="V243" s="13" t="s">
        <v>35</v>
      </c>
    </row>
    <row r="244" spans="1:22" s="5" customFormat="1" x14ac:dyDescent="0.15">
      <c r="A244" s="10">
        <v>233</v>
      </c>
      <c r="B244" s="12" t="s">
        <v>49</v>
      </c>
      <c r="C244" s="11" t="s">
        <v>97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3" t="s">
        <v>35</v>
      </c>
      <c r="Q244" s="13" t="s">
        <v>35</v>
      </c>
      <c r="R244" s="13" t="s">
        <v>35</v>
      </c>
      <c r="S244" s="16" t="s">
        <v>36</v>
      </c>
      <c r="T244" s="16" t="s">
        <v>36</v>
      </c>
      <c r="U244" s="17">
        <v>0</v>
      </c>
      <c r="V244" s="13" t="s">
        <v>35</v>
      </c>
    </row>
    <row r="245" spans="1:22" s="5" customFormat="1" x14ac:dyDescent="0.15">
      <c r="A245" s="10">
        <v>234</v>
      </c>
      <c r="B245" s="12" t="s">
        <v>49</v>
      </c>
      <c r="C245" s="11" t="s">
        <v>97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3" t="s">
        <v>35</v>
      </c>
      <c r="Q245" s="13" t="s">
        <v>35</v>
      </c>
      <c r="R245" s="13" t="s">
        <v>35</v>
      </c>
      <c r="S245" s="16" t="s">
        <v>36</v>
      </c>
      <c r="T245" s="16" t="s">
        <v>36</v>
      </c>
      <c r="U245" s="17">
        <v>0</v>
      </c>
      <c r="V245" s="13" t="s">
        <v>35</v>
      </c>
    </row>
    <row r="246" spans="1:22" s="5" customFormat="1" x14ac:dyDescent="0.15">
      <c r="A246" s="10">
        <v>235</v>
      </c>
      <c r="B246" s="12" t="s">
        <v>49</v>
      </c>
      <c r="C246" s="11" t="s">
        <v>97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3" t="s">
        <v>35</v>
      </c>
      <c r="Q246" s="13" t="s">
        <v>35</v>
      </c>
      <c r="R246" s="13" t="s">
        <v>35</v>
      </c>
      <c r="S246" s="16" t="s">
        <v>36</v>
      </c>
      <c r="T246" s="16" t="s">
        <v>36</v>
      </c>
      <c r="U246" s="17">
        <v>0</v>
      </c>
      <c r="V246" s="13" t="s">
        <v>35</v>
      </c>
    </row>
    <row r="247" spans="1:22" s="5" customFormat="1" x14ac:dyDescent="0.15">
      <c r="A247" s="10">
        <v>236</v>
      </c>
      <c r="B247" s="12" t="s">
        <v>49</v>
      </c>
      <c r="C247" s="11" t="s">
        <v>97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3" t="s">
        <v>35</v>
      </c>
      <c r="Q247" s="13" t="s">
        <v>35</v>
      </c>
      <c r="R247" s="13" t="s">
        <v>35</v>
      </c>
      <c r="S247" s="16" t="s">
        <v>36</v>
      </c>
      <c r="T247" s="16" t="s">
        <v>36</v>
      </c>
      <c r="U247" s="17">
        <v>0</v>
      </c>
      <c r="V247" s="13" t="s">
        <v>35</v>
      </c>
    </row>
    <row r="248" spans="1:22" s="5" customFormat="1" x14ac:dyDescent="0.15">
      <c r="A248" s="10">
        <v>237</v>
      </c>
      <c r="B248" s="12" t="s">
        <v>49</v>
      </c>
      <c r="C248" s="11" t="s">
        <v>97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3" t="s">
        <v>35</v>
      </c>
      <c r="Q248" s="13" t="s">
        <v>35</v>
      </c>
      <c r="R248" s="13" t="s">
        <v>35</v>
      </c>
      <c r="S248" s="16" t="s">
        <v>36</v>
      </c>
      <c r="T248" s="16" t="s">
        <v>36</v>
      </c>
      <c r="U248" s="17">
        <v>0</v>
      </c>
      <c r="V248" s="13" t="s">
        <v>35</v>
      </c>
    </row>
    <row r="249" spans="1:22" s="5" customFormat="1" x14ac:dyDescent="0.15">
      <c r="A249" s="10">
        <v>238</v>
      </c>
      <c r="B249" s="12" t="s">
        <v>49</v>
      </c>
      <c r="C249" s="11" t="s">
        <v>97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3" t="s">
        <v>35</v>
      </c>
      <c r="Q249" s="13" t="s">
        <v>35</v>
      </c>
      <c r="R249" s="13" t="s">
        <v>35</v>
      </c>
      <c r="S249" s="16" t="s">
        <v>36</v>
      </c>
      <c r="T249" s="16" t="s">
        <v>36</v>
      </c>
      <c r="U249" s="17">
        <v>0</v>
      </c>
      <c r="V249" s="13" t="s">
        <v>35</v>
      </c>
    </row>
    <row r="250" spans="1:22" s="5" customFormat="1" x14ac:dyDescent="0.15">
      <c r="A250" s="10">
        <v>239</v>
      </c>
      <c r="B250" s="12" t="s">
        <v>49</v>
      </c>
      <c r="C250" s="11" t="s">
        <v>97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3" t="s">
        <v>35</v>
      </c>
      <c r="Q250" s="13" t="s">
        <v>35</v>
      </c>
      <c r="R250" s="13" t="s">
        <v>35</v>
      </c>
      <c r="S250" s="16" t="s">
        <v>36</v>
      </c>
      <c r="T250" s="16" t="s">
        <v>36</v>
      </c>
      <c r="U250" s="17">
        <v>0</v>
      </c>
      <c r="V250" s="13" t="s">
        <v>35</v>
      </c>
    </row>
    <row r="251" spans="1:22" s="5" customFormat="1" x14ac:dyDescent="0.15">
      <c r="A251" s="10">
        <v>240</v>
      </c>
      <c r="B251" s="12" t="s">
        <v>49</v>
      </c>
      <c r="C251" s="11" t="s">
        <v>97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3" t="s">
        <v>35</v>
      </c>
      <c r="Q251" s="13" t="s">
        <v>35</v>
      </c>
      <c r="R251" s="13" t="s">
        <v>35</v>
      </c>
      <c r="S251" s="16" t="s">
        <v>36</v>
      </c>
      <c r="T251" s="16" t="s">
        <v>36</v>
      </c>
      <c r="U251" s="17">
        <v>0</v>
      </c>
      <c r="V251" s="13" t="s">
        <v>35</v>
      </c>
    </row>
    <row r="252" spans="1:22" s="5" customFormat="1" x14ac:dyDescent="0.15">
      <c r="A252" s="10">
        <v>241</v>
      </c>
      <c r="B252" s="12" t="s">
        <v>49</v>
      </c>
      <c r="C252" s="11" t="s">
        <v>97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3" t="s">
        <v>35</v>
      </c>
      <c r="Q252" s="13" t="s">
        <v>35</v>
      </c>
      <c r="R252" s="13" t="s">
        <v>35</v>
      </c>
      <c r="S252" s="16" t="s">
        <v>36</v>
      </c>
      <c r="T252" s="16" t="s">
        <v>36</v>
      </c>
      <c r="U252" s="17">
        <v>0</v>
      </c>
      <c r="V252" s="13" t="s">
        <v>35</v>
      </c>
    </row>
    <row r="253" spans="1:22" s="5" customFormat="1" x14ac:dyDescent="0.15">
      <c r="A253" s="10">
        <v>242</v>
      </c>
      <c r="B253" s="12" t="s">
        <v>49</v>
      </c>
      <c r="C253" s="11" t="s">
        <v>97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3" t="s">
        <v>35</v>
      </c>
      <c r="Q253" s="13" t="s">
        <v>35</v>
      </c>
      <c r="R253" s="13" t="s">
        <v>35</v>
      </c>
      <c r="S253" s="16" t="s">
        <v>36</v>
      </c>
      <c r="T253" s="16" t="s">
        <v>36</v>
      </c>
      <c r="U253" s="17">
        <v>0</v>
      </c>
      <c r="V253" s="13" t="s">
        <v>35</v>
      </c>
    </row>
    <row r="254" spans="1:22" s="5" customFormat="1" x14ac:dyDescent="0.15">
      <c r="A254" s="10">
        <v>243</v>
      </c>
      <c r="B254" s="12" t="s">
        <v>49</v>
      </c>
      <c r="C254" s="11" t="s">
        <v>97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3" t="s">
        <v>35</v>
      </c>
      <c r="Q254" s="13" t="s">
        <v>35</v>
      </c>
      <c r="R254" s="13" t="s">
        <v>35</v>
      </c>
      <c r="S254" s="16" t="s">
        <v>36</v>
      </c>
      <c r="T254" s="16" t="s">
        <v>36</v>
      </c>
      <c r="U254" s="17">
        <v>0</v>
      </c>
      <c r="V254" s="13" t="s">
        <v>35</v>
      </c>
    </row>
    <row r="255" spans="1:22" s="5" customFormat="1" x14ac:dyDescent="0.15">
      <c r="A255" s="10">
        <v>244</v>
      </c>
      <c r="B255" s="12" t="s">
        <v>49</v>
      </c>
      <c r="C255" s="11" t="s">
        <v>97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3" t="s">
        <v>35</v>
      </c>
      <c r="Q255" s="13" t="s">
        <v>35</v>
      </c>
      <c r="R255" s="13" t="s">
        <v>35</v>
      </c>
      <c r="S255" s="16" t="s">
        <v>36</v>
      </c>
      <c r="T255" s="16" t="s">
        <v>36</v>
      </c>
      <c r="U255" s="17">
        <v>0</v>
      </c>
      <c r="V255" s="13" t="s">
        <v>35</v>
      </c>
    </row>
    <row r="256" spans="1:22" s="5" customFormat="1" x14ac:dyDescent="0.15">
      <c r="A256" s="10">
        <v>245</v>
      </c>
      <c r="B256" s="12" t="s">
        <v>49</v>
      </c>
      <c r="C256" s="11" t="s">
        <v>97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3" t="s">
        <v>35</v>
      </c>
      <c r="Q256" s="13" t="s">
        <v>35</v>
      </c>
      <c r="R256" s="13" t="s">
        <v>35</v>
      </c>
      <c r="S256" s="16" t="s">
        <v>36</v>
      </c>
      <c r="T256" s="16" t="s">
        <v>36</v>
      </c>
      <c r="U256" s="17">
        <v>0</v>
      </c>
      <c r="V256" s="13" t="s">
        <v>35</v>
      </c>
    </row>
    <row r="257" spans="1:22" s="5" customFormat="1" x14ac:dyDescent="0.15">
      <c r="A257" s="10">
        <v>246</v>
      </c>
      <c r="B257" s="12" t="s">
        <v>49</v>
      </c>
      <c r="C257" s="11" t="s">
        <v>97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3" t="s">
        <v>35</v>
      </c>
      <c r="Q257" s="13" t="s">
        <v>35</v>
      </c>
      <c r="R257" s="13" t="s">
        <v>35</v>
      </c>
      <c r="S257" s="16" t="s">
        <v>36</v>
      </c>
      <c r="T257" s="16" t="s">
        <v>36</v>
      </c>
      <c r="U257" s="17">
        <v>0</v>
      </c>
      <c r="V257" s="13" t="s">
        <v>35</v>
      </c>
    </row>
    <row r="258" spans="1:22" s="5" customFormat="1" x14ac:dyDescent="0.15">
      <c r="A258" s="10">
        <v>247</v>
      </c>
      <c r="B258" s="12" t="s">
        <v>49</v>
      </c>
      <c r="C258" s="11" t="s">
        <v>97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3" t="s">
        <v>35</v>
      </c>
      <c r="Q258" s="13" t="s">
        <v>35</v>
      </c>
      <c r="R258" s="13" t="s">
        <v>35</v>
      </c>
      <c r="S258" s="16" t="s">
        <v>36</v>
      </c>
      <c r="T258" s="16" t="s">
        <v>36</v>
      </c>
      <c r="U258" s="17">
        <v>0</v>
      </c>
      <c r="V258" s="13" t="s">
        <v>35</v>
      </c>
    </row>
    <row r="259" spans="1:22" s="5" customFormat="1" x14ac:dyDescent="0.15">
      <c r="A259" s="10">
        <v>248</v>
      </c>
      <c r="B259" s="12" t="s">
        <v>49</v>
      </c>
      <c r="C259" s="11" t="s">
        <v>97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3" t="s">
        <v>35</v>
      </c>
      <c r="Q259" s="13" t="s">
        <v>35</v>
      </c>
      <c r="R259" s="13" t="s">
        <v>35</v>
      </c>
      <c r="S259" s="16" t="s">
        <v>36</v>
      </c>
      <c r="T259" s="16" t="s">
        <v>36</v>
      </c>
      <c r="U259" s="17">
        <v>0</v>
      </c>
      <c r="V259" s="13" t="s">
        <v>35</v>
      </c>
    </row>
    <row r="260" spans="1:22" s="5" customFormat="1" x14ac:dyDescent="0.15">
      <c r="A260" s="10">
        <v>249</v>
      </c>
      <c r="B260" s="12" t="s">
        <v>49</v>
      </c>
      <c r="C260" s="11" t="s">
        <v>97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3" t="s">
        <v>35</v>
      </c>
      <c r="Q260" s="13" t="s">
        <v>35</v>
      </c>
      <c r="R260" s="13" t="s">
        <v>35</v>
      </c>
      <c r="S260" s="16" t="s">
        <v>36</v>
      </c>
      <c r="T260" s="16" t="s">
        <v>36</v>
      </c>
      <c r="U260" s="17">
        <v>0</v>
      </c>
      <c r="V260" s="13" t="s">
        <v>35</v>
      </c>
    </row>
    <row r="261" spans="1:22" s="5" customFormat="1" x14ac:dyDescent="0.15">
      <c r="A261" s="10">
        <v>250</v>
      </c>
      <c r="B261" s="12" t="s">
        <v>49</v>
      </c>
      <c r="C261" s="11" t="s">
        <v>97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3" t="s">
        <v>35</v>
      </c>
      <c r="Q261" s="13" t="s">
        <v>35</v>
      </c>
      <c r="R261" s="13" t="s">
        <v>35</v>
      </c>
      <c r="S261" s="16" t="s">
        <v>36</v>
      </c>
      <c r="T261" s="16" t="s">
        <v>36</v>
      </c>
      <c r="U261" s="17">
        <v>0</v>
      </c>
      <c r="V261" s="13" t="s">
        <v>35</v>
      </c>
    </row>
    <row r="262" spans="1:22" s="5" customFormat="1" x14ac:dyDescent="0.15">
      <c r="A262" s="10">
        <v>251</v>
      </c>
      <c r="B262" s="12" t="s">
        <v>49</v>
      </c>
      <c r="C262" s="11" t="s">
        <v>97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3" t="s">
        <v>35</v>
      </c>
      <c r="Q262" s="13" t="s">
        <v>35</v>
      </c>
      <c r="R262" s="13" t="s">
        <v>35</v>
      </c>
      <c r="S262" s="16" t="s">
        <v>36</v>
      </c>
      <c r="T262" s="16" t="s">
        <v>36</v>
      </c>
      <c r="U262" s="17">
        <v>0</v>
      </c>
      <c r="V262" s="13" t="s">
        <v>35</v>
      </c>
    </row>
    <row r="263" spans="1:22" s="5" customFormat="1" x14ac:dyDescent="0.15">
      <c r="A263" s="10">
        <v>252</v>
      </c>
      <c r="B263" s="12" t="s">
        <v>49</v>
      </c>
      <c r="C263" s="11" t="s">
        <v>97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3" t="s">
        <v>35</v>
      </c>
      <c r="Q263" s="13" t="s">
        <v>35</v>
      </c>
      <c r="R263" s="13" t="s">
        <v>35</v>
      </c>
      <c r="S263" s="16" t="s">
        <v>36</v>
      </c>
      <c r="T263" s="16" t="s">
        <v>36</v>
      </c>
      <c r="U263" s="17">
        <v>0</v>
      </c>
      <c r="V263" s="13" t="s">
        <v>35</v>
      </c>
    </row>
    <row r="264" spans="1:22" s="5" customFormat="1" x14ac:dyDescent="0.15">
      <c r="A264" s="10">
        <v>253</v>
      </c>
      <c r="B264" s="12" t="s">
        <v>49</v>
      </c>
      <c r="C264" s="11" t="s">
        <v>97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3" t="s">
        <v>35</v>
      </c>
      <c r="Q264" s="13" t="s">
        <v>35</v>
      </c>
      <c r="R264" s="13" t="s">
        <v>35</v>
      </c>
      <c r="S264" s="16" t="s">
        <v>36</v>
      </c>
      <c r="T264" s="16" t="s">
        <v>36</v>
      </c>
      <c r="U264" s="17">
        <v>0</v>
      </c>
      <c r="V264" s="13" t="s">
        <v>35</v>
      </c>
    </row>
    <row r="265" spans="1:22" s="5" customFormat="1" x14ac:dyDescent="0.15">
      <c r="A265" s="10">
        <v>254</v>
      </c>
      <c r="B265" s="12" t="s">
        <v>49</v>
      </c>
      <c r="C265" s="11" t="s">
        <v>97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3" t="s">
        <v>35</v>
      </c>
      <c r="Q265" s="13" t="s">
        <v>35</v>
      </c>
      <c r="R265" s="13" t="s">
        <v>35</v>
      </c>
      <c r="S265" s="16" t="s">
        <v>36</v>
      </c>
      <c r="T265" s="16" t="s">
        <v>36</v>
      </c>
      <c r="U265" s="17">
        <v>0</v>
      </c>
      <c r="V265" s="13" t="s">
        <v>35</v>
      </c>
    </row>
    <row r="266" spans="1:22" s="5" customFormat="1" x14ac:dyDescent="0.15">
      <c r="A266" s="10">
        <v>255</v>
      </c>
      <c r="B266" s="12" t="s">
        <v>49</v>
      </c>
      <c r="C266" s="11" t="s">
        <v>97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3" t="s">
        <v>35</v>
      </c>
      <c r="Q266" s="13" t="s">
        <v>35</v>
      </c>
      <c r="R266" s="13" t="s">
        <v>35</v>
      </c>
      <c r="S266" s="16" t="s">
        <v>36</v>
      </c>
      <c r="T266" s="16" t="s">
        <v>36</v>
      </c>
      <c r="U266" s="17">
        <v>0</v>
      </c>
      <c r="V266" s="13" t="s">
        <v>35</v>
      </c>
    </row>
    <row r="267" spans="1:22" s="5" customFormat="1" x14ac:dyDescent="0.15">
      <c r="A267" s="10">
        <v>256</v>
      </c>
      <c r="B267" s="12" t="s">
        <v>49</v>
      </c>
      <c r="C267" s="11" t="s">
        <v>97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3" t="s">
        <v>35</v>
      </c>
      <c r="Q267" s="13" t="s">
        <v>35</v>
      </c>
      <c r="R267" s="13" t="s">
        <v>35</v>
      </c>
      <c r="S267" s="16" t="s">
        <v>36</v>
      </c>
      <c r="T267" s="16" t="s">
        <v>36</v>
      </c>
      <c r="U267" s="17">
        <v>0</v>
      </c>
      <c r="V267" s="13" t="s">
        <v>35</v>
      </c>
    </row>
    <row r="268" spans="1:22" s="5" customFormat="1" x14ac:dyDescent="0.15">
      <c r="A268" s="10">
        <v>257</v>
      </c>
      <c r="B268" s="12" t="s">
        <v>49</v>
      </c>
      <c r="C268" s="11" t="s">
        <v>97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3" t="s">
        <v>35</v>
      </c>
      <c r="Q268" s="13" t="s">
        <v>35</v>
      </c>
      <c r="R268" s="13" t="s">
        <v>35</v>
      </c>
      <c r="S268" s="16" t="s">
        <v>36</v>
      </c>
      <c r="T268" s="16" t="s">
        <v>36</v>
      </c>
      <c r="U268" s="17">
        <v>0</v>
      </c>
      <c r="V268" s="13" t="s">
        <v>35</v>
      </c>
    </row>
    <row r="269" spans="1:22" s="5" customFormat="1" x14ac:dyDescent="0.15">
      <c r="A269" s="10">
        <v>258</v>
      </c>
      <c r="B269" s="12" t="s">
        <v>49</v>
      </c>
      <c r="C269" s="11" t="s">
        <v>97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3" t="s">
        <v>35</v>
      </c>
      <c r="Q269" s="13" t="s">
        <v>35</v>
      </c>
      <c r="R269" s="13" t="s">
        <v>35</v>
      </c>
      <c r="S269" s="16" t="s">
        <v>36</v>
      </c>
      <c r="T269" s="16" t="s">
        <v>36</v>
      </c>
      <c r="U269" s="17">
        <v>0</v>
      </c>
      <c r="V269" s="13" t="s">
        <v>35</v>
      </c>
    </row>
    <row r="270" spans="1:22" s="5" customFormat="1" x14ac:dyDescent="0.15">
      <c r="A270" s="10">
        <v>259</v>
      </c>
      <c r="B270" s="12" t="s">
        <v>49</v>
      </c>
      <c r="C270" s="11" t="s">
        <v>97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3" t="s">
        <v>35</v>
      </c>
      <c r="Q270" s="13" t="s">
        <v>35</v>
      </c>
      <c r="R270" s="13" t="s">
        <v>35</v>
      </c>
      <c r="S270" s="16" t="s">
        <v>36</v>
      </c>
      <c r="T270" s="16" t="s">
        <v>36</v>
      </c>
      <c r="U270" s="17">
        <v>0</v>
      </c>
      <c r="V270" s="13" t="s">
        <v>35</v>
      </c>
    </row>
    <row r="271" spans="1:22" s="5" customFormat="1" x14ac:dyDescent="0.15">
      <c r="A271" s="10">
        <v>260</v>
      </c>
      <c r="B271" s="12" t="s">
        <v>49</v>
      </c>
      <c r="C271" s="11" t="s">
        <v>97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3" t="s">
        <v>35</v>
      </c>
      <c r="Q271" s="13" t="s">
        <v>35</v>
      </c>
      <c r="R271" s="13" t="s">
        <v>35</v>
      </c>
      <c r="S271" s="16" t="s">
        <v>36</v>
      </c>
      <c r="T271" s="16" t="s">
        <v>36</v>
      </c>
      <c r="U271" s="17">
        <v>0</v>
      </c>
      <c r="V271" s="13" t="s">
        <v>35</v>
      </c>
    </row>
    <row r="272" spans="1:22" s="5" customFormat="1" x14ac:dyDescent="0.15">
      <c r="A272" s="10">
        <v>261</v>
      </c>
      <c r="B272" s="12" t="s">
        <v>49</v>
      </c>
      <c r="C272" s="11" t="s">
        <v>97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3" t="s">
        <v>35</v>
      </c>
      <c r="Q272" s="13" t="s">
        <v>35</v>
      </c>
      <c r="R272" s="13" t="s">
        <v>35</v>
      </c>
      <c r="S272" s="16" t="s">
        <v>36</v>
      </c>
      <c r="T272" s="16" t="s">
        <v>36</v>
      </c>
      <c r="U272" s="17">
        <v>0</v>
      </c>
      <c r="V272" s="13" t="s">
        <v>35</v>
      </c>
    </row>
    <row r="273" spans="1:22" s="5" customFormat="1" x14ac:dyDescent="0.15">
      <c r="A273" s="10">
        <v>262</v>
      </c>
      <c r="B273" s="12" t="s">
        <v>49</v>
      </c>
      <c r="C273" s="11" t="s">
        <v>97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3" t="s">
        <v>35</v>
      </c>
      <c r="Q273" s="13" t="s">
        <v>35</v>
      </c>
      <c r="R273" s="13" t="s">
        <v>35</v>
      </c>
      <c r="S273" s="16" t="s">
        <v>36</v>
      </c>
      <c r="T273" s="16" t="s">
        <v>36</v>
      </c>
      <c r="U273" s="17">
        <v>0</v>
      </c>
      <c r="V273" s="13" t="s">
        <v>35</v>
      </c>
    </row>
    <row r="274" spans="1:22" s="5" customFormat="1" x14ac:dyDescent="0.15">
      <c r="A274" s="10">
        <v>263</v>
      </c>
      <c r="B274" s="12" t="s">
        <v>49</v>
      </c>
      <c r="C274" s="11" t="s">
        <v>97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3" t="s">
        <v>35</v>
      </c>
      <c r="Q274" s="13" t="s">
        <v>35</v>
      </c>
      <c r="R274" s="13" t="s">
        <v>35</v>
      </c>
      <c r="S274" s="16" t="s">
        <v>36</v>
      </c>
      <c r="T274" s="16" t="s">
        <v>36</v>
      </c>
      <c r="U274" s="17">
        <v>0</v>
      </c>
      <c r="V274" s="13" t="s">
        <v>35</v>
      </c>
    </row>
    <row r="275" spans="1:22" s="5" customFormat="1" x14ac:dyDescent="0.15">
      <c r="A275" s="10">
        <v>264</v>
      </c>
      <c r="B275" s="12" t="s">
        <v>49</v>
      </c>
      <c r="C275" s="11" t="s">
        <v>97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3" t="s">
        <v>35</v>
      </c>
      <c r="Q275" s="13" t="s">
        <v>35</v>
      </c>
      <c r="R275" s="13" t="s">
        <v>35</v>
      </c>
      <c r="S275" s="16" t="s">
        <v>36</v>
      </c>
      <c r="T275" s="16" t="s">
        <v>36</v>
      </c>
      <c r="U275" s="17">
        <v>0</v>
      </c>
      <c r="V275" s="13" t="s">
        <v>35</v>
      </c>
    </row>
    <row r="276" spans="1:22" s="5" customFormat="1" x14ac:dyDescent="0.15">
      <c r="A276" s="10">
        <v>265</v>
      </c>
      <c r="B276" s="12" t="s">
        <v>49</v>
      </c>
      <c r="C276" s="11" t="s">
        <v>97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3" t="s">
        <v>35</v>
      </c>
      <c r="Q276" s="13" t="s">
        <v>35</v>
      </c>
      <c r="R276" s="13" t="s">
        <v>35</v>
      </c>
      <c r="S276" s="16" t="s">
        <v>36</v>
      </c>
      <c r="T276" s="16" t="s">
        <v>36</v>
      </c>
      <c r="U276" s="17">
        <v>0</v>
      </c>
      <c r="V276" s="13" t="s">
        <v>35</v>
      </c>
    </row>
    <row r="277" spans="1:22" s="5" customFormat="1" x14ac:dyDescent="0.15">
      <c r="A277" s="10">
        <v>266</v>
      </c>
      <c r="B277" s="12" t="s">
        <v>49</v>
      </c>
      <c r="C277" s="11" t="s">
        <v>97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3" t="s">
        <v>35</v>
      </c>
      <c r="Q277" s="13" t="s">
        <v>35</v>
      </c>
      <c r="R277" s="13" t="s">
        <v>35</v>
      </c>
      <c r="S277" s="16" t="s">
        <v>36</v>
      </c>
      <c r="T277" s="16" t="s">
        <v>36</v>
      </c>
      <c r="U277" s="17">
        <v>0</v>
      </c>
      <c r="V277" s="13" t="s">
        <v>35</v>
      </c>
    </row>
    <row r="278" spans="1:22" s="5" customFormat="1" x14ac:dyDescent="0.15">
      <c r="A278" s="10">
        <v>267</v>
      </c>
      <c r="B278" s="12" t="s">
        <v>49</v>
      </c>
      <c r="C278" s="11" t="s">
        <v>97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3" t="s">
        <v>35</v>
      </c>
      <c r="Q278" s="13" t="s">
        <v>35</v>
      </c>
      <c r="R278" s="13" t="s">
        <v>35</v>
      </c>
      <c r="S278" s="16" t="s">
        <v>36</v>
      </c>
      <c r="T278" s="16" t="s">
        <v>36</v>
      </c>
      <c r="U278" s="17">
        <v>0</v>
      </c>
      <c r="V278" s="13" t="s">
        <v>35</v>
      </c>
    </row>
    <row r="279" spans="1:22" s="5" customFormat="1" x14ac:dyDescent="0.15">
      <c r="A279" s="10">
        <v>268</v>
      </c>
      <c r="B279" s="12" t="s">
        <v>49</v>
      </c>
      <c r="C279" s="11" t="s">
        <v>97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3" t="s">
        <v>35</v>
      </c>
      <c r="Q279" s="13" t="s">
        <v>35</v>
      </c>
      <c r="R279" s="13" t="s">
        <v>35</v>
      </c>
      <c r="S279" s="16" t="s">
        <v>36</v>
      </c>
      <c r="T279" s="16" t="s">
        <v>36</v>
      </c>
      <c r="U279" s="17">
        <v>0</v>
      </c>
      <c r="V279" s="13" t="s">
        <v>35</v>
      </c>
    </row>
    <row r="280" spans="1:22" s="5" customFormat="1" x14ac:dyDescent="0.15">
      <c r="A280" s="10">
        <v>269</v>
      </c>
      <c r="B280" s="12" t="s">
        <v>49</v>
      </c>
      <c r="C280" s="11" t="s">
        <v>97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3" t="s">
        <v>35</v>
      </c>
      <c r="Q280" s="13" t="s">
        <v>35</v>
      </c>
      <c r="R280" s="13" t="s">
        <v>35</v>
      </c>
      <c r="S280" s="16" t="s">
        <v>36</v>
      </c>
      <c r="T280" s="16" t="s">
        <v>36</v>
      </c>
      <c r="U280" s="17">
        <v>0</v>
      </c>
      <c r="V280" s="13" t="s">
        <v>35</v>
      </c>
    </row>
    <row r="281" spans="1:22" s="5" customFormat="1" x14ac:dyDescent="0.15">
      <c r="A281" s="10">
        <v>270</v>
      </c>
      <c r="B281" s="12" t="s">
        <v>49</v>
      </c>
      <c r="C281" s="11" t="s">
        <v>97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3" t="s">
        <v>35</v>
      </c>
      <c r="Q281" s="13" t="s">
        <v>35</v>
      </c>
      <c r="R281" s="13" t="s">
        <v>35</v>
      </c>
      <c r="S281" s="16" t="s">
        <v>36</v>
      </c>
      <c r="T281" s="16" t="s">
        <v>36</v>
      </c>
      <c r="U281" s="17">
        <v>0</v>
      </c>
      <c r="V281" s="13" t="s">
        <v>35</v>
      </c>
    </row>
    <row r="282" spans="1:22" s="5" customFormat="1" x14ac:dyDescent="0.15">
      <c r="A282" s="10">
        <v>271</v>
      </c>
      <c r="B282" s="12" t="s">
        <v>49</v>
      </c>
      <c r="C282" s="11" t="s">
        <v>97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3" t="s">
        <v>35</v>
      </c>
      <c r="Q282" s="13" t="s">
        <v>35</v>
      </c>
      <c r="R282" s="13" t="s">
        <v>35</v>
      </c>
      <c r="S282" s="16" t="s">
        <v>36</v>
      </c>
      <c r="T282" s="16" t="s">
        <v>36</v>
      </c>
      <c r="U282" s="17">
        <v>0</v>
      </c>
      <c r="V282" s="13" t="s">
        <v>35</v>
      </c>
    </row>
    <row r="283" spans="1:22" s="5" customFormat="1" x14ac:dyDescent="0.15">
      <c r="A283" s="10">
        <v>272</v>
      </c>
      <c r="B283" s="12" t="s">
        <v>49</v>
      </c>
      <c r="C283" s="11" t="s">
        <v>97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3" t="s">
        <v>35</v>
      </c>
      <c r="Q283" s="13" t="s">
        <v>35</v>
      </c>
      <c r="R283" s="13" t="s">
        <v>35</v>
      </c>
      <c r="S283" s="16" t="s">
        <v>36</v>
      </c>
      <c r="T283" s="16" t="s">
        <v>36</v>
      </c>
      <c r="U283" s="17">
        <v>0</v>
      </c>
      <c r="V283" s="13" t="s">
        <v>35</v>
      </c>
    </row>
    <row r="284" spans="1:22" s="5" customFormat="1" x14ac:dyDescent="0.15">
      <c r="A284" s="10">
        <v>273</v>
      </c>
      <c r="B284" s="12" t="s">
        <v>49</v>
      </c>
      <c r="C284" s="11" t="s">
        <v>97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3" t="s">
        <v>35</v>
      </c>
      <c r="Q284" s="13" t="s">
        <v>35</v>
      </c>
      <c r="R284" s="13" t="s">
        <v>35</v>
      </c>
      <c r="S284" s="16" t="s">
        <v>36</v>
      </c>
      <c r="T284" s="16" t="s">
        <v>36</v>
      </c>
      <c r="U284" s="17">
        <v>0</v>
      </c>
      <c r="V284" s="13" t="s">
        <v>35</v>
      </c>
    </row>
    <row r="285" spans="1:22" s="5" customFormat="1" x14ac:dyDescent="0.15">
      <c r="A285" s="10">
        <v>274</v>
      </c>
      <c r="B285" s="12" t="s">
        <v>49</v>
      </c>
      <c r="C285" s="11" t="s">
        <v>97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3" t="s">
        <v>35</v>
      </c>
      <c r="Q285" s="13" t="s">
        <v>35</v>
      </c>
      <c r="R285" s="13" t="s">
        <v>35</v>
      </c>
      <c r="S285" s="16" t="s">
        <v>36</v>
      </c>
      <c r="T285" s="16" t="s">
        <v>36</v>
      </c>
      <c r="U285" s="17">
        <v>0</v>
      </c>
      <c r="V285" s="13" t="s">
        <v>35</v>
      </c>
    </row>
    <row r="286" spans="1:22" s="5" customFormat="1" x14ac:dyDescent="0.15">
      <c r="A286" s="10">
        <v>275</v>
      </c>
      <c r="B286" s="12" t="s">
        <v>49</v>
      </c>
      <c r="C286" s="11" t="s">
        <v>97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3" t="s">
        <v>35</v>
      </c>
      <c r="Q286" s="13" t="s">
        <v>35</v>
      </c>
      <c r="R286" s="13" t="s">
        <v>35</v>
      </c>
      <c r="S286" s="16" t="s">
        <v>36</v>
      </c>
      <c r="T286" s="16" t="s">
        <v>36</v>
      </c>
      <c r="U286" s="17">
        <v>0</v>
      </c>
      <c r="V286" s="13" t="s">
        <v>35</v>
      </c>
    </row>
    <row r="287" spans="1:22" s="5" customFormat="1" x14ac:dyDescent="0.15">
      <c r="A287" s="10">
        <v>276</v>
      </c>
      <c r="B287" s="12" t="s">
        <v>49</v>
      </c>
      <c r="C287" s="11" t="s">
        <v>97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3" t="s">
        <v>35</v>
      </c>
      <c r="Q287" s="13" t="s">
        <v>35</v>
      </c>
      <c r="R287" s="13" t="s">
        <v>35</v>
      </c>
      <c r="S287" s="16" t="s">
        <v>36</v>
      </c>
      <c r="T287" s="16" t="s">
        <v>36</v>
      </c>
      <c r="U287" s="17">
        <v>0</v>
      </c>
      <c r="V287" s="13" t="s">
        <v>35</v>
      </c>
    </row>
    <row r="288" spans="1:22" s="5" customFormat="1" x14ac:dyDescent="0.15">
      <c r="A288" s="10">
        <v>277</v>
      </c>
      <c r="B288" s="12" t="s">
        <v>49</v>
      </c>
      <c r="C288" s="11" t="s">
        <v>97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3" t="s">
        <v>35</v>
      </c>
      <c r="Q288" s="13" t="s">
        <v>35</v>
      </c>
      <c r="R288" s="13" t="s">
        <v>35</v>
      </c>
      <c r="S288" s="16" t="s">
        <v>36</v>
      </c>
      <c r="T288" s="16" t="s">
        <v>36</v>
      </c>
      <c r="U288" s="17">
        <v>0</v>
      </c>
      <c r="V288" s="13" t="s">
        <v>35</v>
      </c>
    </row>
    <row r="289" spans="1:22" s="5" customFormat="1" x14ac:dyDescent="0.15">
      <c r="A289" s="10">
        <v>278</v>
      </c>
      <c r="B289" s="12" t="s">
        <v>49</v>
      </c>
      <c r="C289" s="11" t="s">
        <v>97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3" t="s">
        <v>35</v>
      </c>
      <c r="Q289" s="13" t="s">
        <v>35</v>
      </c>
      <c r="R289" s="13" t="s">
        <v>35</v>
      </c>
      <c r="S289" s="16" t="s">
        <v>36</v>
      </c>
      <c r="T289" s="16" t="s">
        <v>36</v>
      </c>
      <c r="U289" s="17">
        <v>0</v>
      </c>
      <c r="V289" s="13" t="s">
        <v>35</v>
      </c>
    </row>
    <row r="290" spans="1:22" s="5" customFormat="1" x14ac:dyDescent="0.15">
      <c r="A290" s="10">
        <v>279</v>
      </c>
      <c r="B290" s="12" t="s">
        <v>49</v>
      </c>
      <c r="C290" s="11" t="s">
        <v>97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3" t="s">
        <v>35</v>
      </c>
      <c r="Q290" s="13" t="s">
        <v>35</v>
      </c>
      <c r="R290" s="13" t="s">
        <v>35</v>
      </c>
      <c r="S290" s="16" t="s">
        <v>36</v>
      </c>
      <c r="T290" s="16" t="s">
        <v>36</v>
      </c>
      <c r="U290" s="17">
        <v>0</v>
      </c>
      <c r="V290" s="13" t="s">
        <v>35</v>
      </c>
    </row>
    <row r="291" spans="1:22" s="5" customFormat="1" x14ac:dyDescent="0.15">
      <c r="A291" s="10">
        <v>280</v>
      </c>
      <c r="B291" s="12" t="s">
        <v>49</v>
      </c>
      <c r="C291" s="11" t="s">
        <v>97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3" t="s">
        <v>35</v>
      </c>
      <c r="Q291" s="13" t="s">
        <v>35</v>
      </c>
      <c r="R291" s="13" t="s">
        <v>35</v>
      </c>
      <c r="S291" s="16" t="s">
        <v>36</v>
      </c>
      <c r="T291" s="16" t="s">
        <v>36</v>
      </c>
      <c r="U291" s="17">
        <v>0</v>
      </c>
      <c r="V291" s="13" t="s">
        <v>35</v>
      </c>
    </row>
    <row r="292" spans="1:22" s="5" customFormat="1" x14ac:dyDescent="0.15">
      <c r="A292" s="10">
        <v>281</v>
      </c>
      <c r="B292" s="12" t="s">
        <v>49</v>
      </c>
      <c r="C292" s="11" t="s">
        <v>97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3" t="s">
        <v>35</v>
      </c>
      <c r="Q292" s="13" t="s">
        <v>35</v>
      </c>
      <c r="R292" s="13" t="s">
        <v>35</v>
      </c>
      <c r="S292" s="16" t="s">
        <v>36</v>
      </c>
      <c r="T292" s="16" t="s">
        <v>36</v>
      </c>
      <c r="U292" s="17">
        <v>0</v>
      </c>
      <c r="V292" s="13" t="s">
        <v>35</v>
      </c>
    </row>
    <row r="293" spans="1:22" s="5" customFormat="1" x14ac:dyDescent="0.15">
      <c r="A293" s="10">
        <v>282</v>
      </c>
      <c r="B293" s="12" t="s">
        <v>49</v>
      </c>
      <c r="C293" s="11" t="s">
        <v>97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3" t="s">
        <v>35</v>
      </c>
      <c r="Q293" s="13" t="s">
        <v>35</v>
      </c>
      <c r="R293" s="13" t="s">
        <v>35</v>
      </c>
      <c r="S293" s="16" t="s">
        <v>36</v>
      </c>
      <c r="T293" s="16" t="s">
        <v>36</v>
      </c>
      <c r="U293" s="17">
        <v>0</v>
      </c>
      <c r="V293" s="13" t="s">
        <v>35</v>
      </c>
    </row>
    <row r="294" spans="1:22" s="5" customFormat="1" x14ac:dyDescent="0.15">
      <c r="A294" s="10">
        <v>283</v>
      </c>
      <c r="B294" s="12" t="s">
        <v>49</v>
      </c>
      <c r="C294" s="11" t="s">
        <v>97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3" t="s">
        <v>35</v>
      </c>
      <c r="Q294" s="13" t="s">
        <v>35</v>
      </c>
      <c r="R294" s="13" t="s">
        <v>35</v>
      </c>
      <c r="S294" s="16" t="s">
        <v>36</v>
      </c>
      <c r="T294" s="16" t="s">
        <v>36</v>
      </c>
      <c r="U294" s="17">
        <v>0</v>
      </c>
      <c r="V294" s="13" t="s">
        <v>35</v>
      </c>
    </row>
    <row r="295" spans="1:22" s="5" customFormat="1" x14ac:dyDescent="0.15">
      <c r="A295" s="10">
        <v>284</v>
      </c>
      <c r="B295" s="12" t="s">
        <v>49</v>
      </c>
      <c r="C295" s="11" t="s">
        <v>97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3" t="s">
        <v>35</v>
      </c>
      <c r="Q295" s="13" t="s">
        <v>35</v>
      </c>
      <c r="R295" s="13" t="s">
        <v>35</v>
      </c>
      <c r="S295" s="16" t="s">
        <v>36</v>
      </c>
      <c r="T295" s="16" t="s">
        <v>36</v>
      </c>
      <c r="U295" s="17">
        <v>0</v>
      </c>
      <c r="V295" s="13" t="s">
        <v>35</v>
      </c>
    </row>
    <row r="296" spans="1:22" s="5" customFormat="1" x14ac:dyDescent="0.15">
      <c r="A296" s="10">
        <v>285</v>
      </c>
      <c r="B296" s="12" t="s">
        <v>49</v>
      </c>
      <c r="C296" s="11" t="s">
        <v>97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3" t="s">
        <v>35</v>
      </c>
      <c r="Q296" s="13" t="s">
        <v>35</v>
      </c>
      <c r="R296" s="13" t="s">
        <v>35</v>
      </c>
      <c r="S296" s="16" t="s">
        <v>36</v>
      </c>
      <c r="T296" s="16" t="s">
        <v>36</v>
      </c>
      <c r="U296" s="17">
        <v>0</v>
      </c>
      <c r="V296" s="13" t="s">
        <v>35</v>
      </c>
    </row>
    <row r="297" spans="1:22" s="5" customFormat="1" x14ac:dyDescent="0.15">
      <c r="A297" s="10">
        <v>286</v>
      </c>
      <c r="B297" s="12" t="s">
        <v>49</v>
      </c>
      <c r="C297" s="11" t="s">
        <v>97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3" t="s">
        <v>35</v>
      </c>
      <c r="Q297" s="13" t="s">
        <v>35</v>
      </c>
      <c r="R297" s="13" t="s">
        <v>35</v>
      </c>
      <c r="S297" s="16" t="s">
        <v>36</v>
      </c>
      <c r="T297" s="16" t="s">
        <v>36</v>
      </c>
      <c r="U297" s="17">
        <v>0</v>
      </c>
      <c r="V297" s="13" t="s">
        <v>35</v>
      </c>
    </row>
    <row r="298" spans="1:22" s="5" customFormat="1" x14ac:dyDescent="0.15">
      <c r="A298" s="10">
        <v>287</v>
      </c>
      <c r="B298" s="12" t="s">
        <v>49</v>
      </c>
      <c r="C298" s="11" t="s">
        <v>97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3" t="s">
        <v>35</v>
      </c>
      <c r="Q298" s="13" t="s">
        <v>35</v>
      </c>
      <c r="R298" s="13" t="s">
        <v>35</v>
      </c>
      <c r="S298" s="16" t="s">
        <v>36</v>
      </c>
      <c r="T298" s="16" t="s">
        <v>36</v>
      </c>
      <c r="U298" s="17">
        <v>0</v>
      </c>
      <c r="V298" s="13" t="s">
        <v>35</v>
      </c>
    </row>
    <row r="299" spans="1:22" s="5" customFormat="1" x14ac:dyDescent="0.15">
      <c r="A299" s="10">
        <v>288</v>
      </c>
      <c r="B299" s="12" t="s">
        <v>49</v>
      </c>
      <c r="C299" s="11" t="s">
        <v>97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3" t="s">
        <v>35</v>
      </c>
      <c r="Q299" s="13" t="s">
        <v>35</v>
      </c>
      <c r="R299" s="13" t="s">
        <v>35</v>
      </c>
      <c r="S299" s="16" t="s">
        <v>36</v>
      </c>
      <c r="T299" s="16" t="s">
        <v>36</v>
      </c>
      <c r="U299" s="17">
        <v>0</v>
      </c>
      <c r="V299" s="13" t="s">
        <v>35</v>
      </c>
    </row>
    <row r="300" spans="1:22" s="5" customFormat="1" x14ac:dyDescent="0.15">
      <c r="A300" s="10">
        <v>289</v>
      </c>
      <c r="B300" s="12" t="s">
        <v>49</v>
      </c>
      <c r="C300" s="11" t="s">
        <v>97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3" t="s">
        <v>35</v>
      </c>
      <c r="Q300" s="13" t="s">
        <v>35</v>
      </c>
      <c r="R300" s="13" t="s">
        <v>35</v>
      </c>
      <c r="S300" s="16" t="s">
        <v>36</v>
      </c>
      <c r="T300" s="16" t="s">
        <v>36</v>
      </c>
      <c r="U300" s="17">
        <v>0</v>
      </c>
      <c r="V300" s="13" t="s">
        <v>35</v>
      </c>
    </row>
    <row r="301" spans="1:22" s="5" customFormat="1" x14ac:dyDescent="0.15">
      <c r="A301" s="10">
        <v>290</v>
      </c>
      <c r="B301" s="12" t="s">
        <v>49</v>
      </c>
      <c r="C301" s="11" t="s">
        <v>97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3" t="s">
        <v>35</v>
      </c>
      <c r="Q301" s="13" t="s">
        <v>35</v>
      </c>
      <c r="R301" s="13" t="s">
        <v>35</v>
      </c>
      <c r="S301" s="16" t="s">
        <v>36</v>
      </c>
      <c r="T301" s="16" t="s">
        <v>36</v>
      </c>
      <c r="U301" s="17">
        <v>0</v>
      </c>
      <c r="V301" s="13" t="s">
        <v>35</v>
      </c>
    </row>
    <row r="302" spans="1:22" s="5" customFormat="1" x14ac:dyDescent="0.15">
      <c r="A302" s="10">
        <v>291</v>
      </c>
      <c r="B302" s="12" t="s">
        <v>49</v>
      </c>
      <c r="C302" s="11" t="s">
        <v>97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3" t="s">
        <v>35</v>
      </c>
      <c r="Q302" s="13" t="s">
        <v>35</v>
      </c>
      <c r="R302" s="13" t="s">
        <v>35</v>
      </c>
      <c r="S302" s="16" t="s">
        <v>36</v>
      </c>
      <c r="T302" s="16" t="s">
        <v>36</v>
      </c>
      <c r="U302" s="17">
        <v>0</v>
      </c>
      <c r="V302" s="13" t="s">
        <v>35</v>
      </c>
    </row>
    <row r="303" spans="1:22" s="5" customFormat="1" x14ac:dyDescent="0.15">
      <c r="A303" s="10">
        <v>292</v>
      </c>
      <c r="B303" s="12" t="s">
        <v>49</v>
      </c>
      <c r="C303" s="11" t="s">
        <v>97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3" t="s">
        <v>35</v>
      </c>
      <c r="Q303" s="13" t="s">
        <v>35</v>
      </c>
      <c r="R303" s="13" t="s">
        <v>35</v>
      </c>
      <c r="S303" s="16" t="s">
        <v>36</v>
      </c>
      <c r="T303" s="16" t="s">
        <v>36</v>
      </c>
      <c r="U303" s="17">
        <v>0</v>
      </c>
      <c r="V303" s="13" t="s">
        <v>35</v>
      </c>
    </row>
    <row r="304" spans="1:22" s="5" customFormat="1" x14ac:dyDescent="0.15">
      <c r="A304" s="10">
        <v>293</v>
      </c>
      <c r="B304" s="12" t="s">
        <v>49</v>
      </c>
      <c r="C304" s="11" t="s">
        <v>97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3" t="s">
        <v>35</v>
      </c>
      <c r="Q304" s="13" t="s">
        <v>35</v>
      </c>
      <c r="R304" s="13" t="s">
        <v>35</v>
      </c>
      <c r="S304" s="16" t="s">
        <v>36</v>
      </c>
      <c r="T304" s="16" t="s">
        <v>36</v>
      </c>
      <c r="U304" s="17">
        <v>0</v>
      </c>
      <c r="V304" s="13" t="s">
        <v>35</v>
      </c>
    </row>
    <row r="305" spans="1:22" s="5" customFormat="1" x14ac:dyDescent="0.15">
      <c r="A305" s="10">
        <v>294</v>
      </c>
      <c r="B305" s="12" t="s">
        <v>49</v>
      </c>
      <c r="C305" s="11" t="s">
        <v>97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3" t="s">
        <v>35</v>
      </c>
      <c r="Q305" s="13" t="s">
        <v>35</v>
      </c>
      <c r="R305" s="13" t="s">
        <v>35</v>
      </c>
      <c r="S305" s="16" t="s">
        <v>36</v>
      </c>
      <c r="T305" s="16" t="s">
        <v>36</v>
      </c>
      <c r="U305" s="17">
        <v>0</v>
      </c>
      <c r="V305" s="13" t="s">
        <v>35</v>
      </c>
    </row>
    <row r="306" spans="1:22" s="5" customFormat="1" x14ac:dyDescent="0.15">
      <c r="A306" s="10">
        <v>295</v>
      </c>
      <c r="B306" s="12" t="s">
        <v>49</v>
      </c>
      <c r="C306" s="11" t="s">
        <v>97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3" t="s">
        <v>35</v>
      </c>
      <c r="Q306" s="13" t="s">
        <v>35</v>
      </c>
      <c r="R306" s="13" t="s">
        <v>35</v>
      </c>
      <c r="S306" s="16" t="s">
        <v>36</v>
      </c>
      <c r="T306" s="16" t="s">
        <v>36</v>
      </c>
      <c r="U306" s="17">
        <v>0</v>
      </c>
      <c r="V306" s="13" t="s">
        <v>35</v>
      </c>
    </row>
    <row r="307" spans="1:22" s="5" customFormat="1" x14ac:dyDescent="0.15">
      <c r="A307" s="10">
        <v>296</v>
      </c>
      <c r="B307" s="12" t="s">
        <v>49</v>
      </c>
      <c r="C307" s="11" t="s">
        <v>97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3" t="s">
        <v>35</v>
      </c>
      <c r="Q307" s="13" t="s">
        <v>35</v>
      </c>
      <c r="R307" s="13" t="s">
        <v>35</v>
      </c>
      <c r="S307" s="16" t="s">
        <v>36</v>
      </c>
      <c r="T307" s="16" t="s">
        <v>36</v>
      </c>
      <c r="U307" s="17">
        <v>0</v>
      </c>
      <c r="V307" s="13" t="s">
        <v>35</v>
      </c>
    </row>
    <row r="308" spans="1:22" s="5" customFormat="1" x14ac:dyDescent="0.15">
      <c r="A308" s="10">
        <v>297</v>
      </c>
      <c r="B308" s="12" t="s">
        <v>49</v>
      </c>
      <c r="C308" s="11" t="s">
        <v>97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3" t="s">
        <v>35</v>
      </c>
      <c r="Q308" s="13" t="s">
        <v>35</v>
      </c>
      <c r="R308" s="13" t="s">
        <v>35</v>
      </c>
      <c r="S308" s="16" t="s">
        <v>36</v>
      </c>
      <c r="T308" s="16" t="s">
        <v>36</v>
      </c>
      <c r="U308" s="17">
        <v>0</v>
      </c>
      <c r="V308" s="13" t="s">
        <v>35</v>
      </c>
    </row>
    <row r="309" spans="1:22" s="5" customFormat="1" x14ac:dyDescent="0.15">
      <c r="A309" s="10">
        <v>298</v>
      </c>
      <c r="B309" s="12" t="s">
        <v>49</v>
      </c>
      <c r="C309" s="11" t="s">
        <v>97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3" t="s">
        <v>35</v>
      </c>
      <c r="Q309" s="13" t="s">
        <v>35</v>
      </c>
      <c r="R309" s="13" t="s">
        <v>35</v>
      </c>
      <c r="S309" s="16" t="s">
        <v>36</v>
      </c>
      <c r="T309" s="16" t="s">
        <v>36</v>
      </c>
      <c r="U309" s="17">
        <v>0</v>
      </c>
      <c r="V309" s="13" t="s">
        <v>35</v>
      </c>
    </row>
    <row r="310" spans="1:22" s="5" customFormat="1" x14ac:dyDescent="0.15">
      <c r="A310" s="10">
        <v>299</v>
      </c>
      <c r="B310" s="12" t="s">
        <v>49</v>
      </c>
      <c r="C310" s="11" t="s">
        <v>97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3" t="s">
        <v>35</v>
      </c>
      <c r="Q310" s="13" t="s">
        <v>35</v>
      </c>
      <c r="R310" s="13" t="s">
        <v>35</v>
      </c>
      <c r="S310" s="16" t="s">
        <v>36</v>
      </c>
      <c r="T310" s="16" t="s">
        <v>36</v>
      </c>
      <c r="U310" s="17">
        <v>0</v>
      </c>
      <c r="V310" s="13" t="s">
        <v>35</v>
      </c>
    </row>
    <row r="311" spans="1:22" s="5" customFormat="1" x14ac:dyDescent="0.15">
      <c r="A311" s="10">
        <v>300</v>
      </c>
      <c r="B311" s="12" t="s">
        <v>49</v>
      </c>
      <c r="C311" s="11" t="s">
        <v>97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3" t="s">
        <v>35</v>
      </c>
      <c r="Q311" s="13" t="s">
        <v>35</v>
      </c>
      <c r="R311" s="13" t="s">
        <v>35</v>
      </c>
      <c r="S311" s="16" t="s">
        <v>36</v>
      </c>
      <c r="T311" s="16" t="s">
        <v>36</v>
      </c>
      <c r="U311" s="17">
        <v>0</v>
      </c>
      <c r="V311" s="13" t="s">
        <v>35</v>
      </c>
    </row>
    <row r="312" spans="1:22" s="5" customFormat="1" x14ac:dyDescent="0.15">
      <c r="A312" s="10">
        <v>301</v>
      </c>
      <c r="B312" s="12" t="s">
        <v>49</v>
      </c>
      <c r="C312" s="11" t="s">
        <v>97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3" t="s">
        <v>35</v>
      </c>
      <c r="Q312" s="13" t="s">
        <v>35</v>
      </c>
      <c r="R312" s="13" t="s">
        <v>35</v>
      </c>
      <c r="S312" s="16" t="s">
        <v>36</v>
      </c>
      <c r="T312" s="16" t="s">
        <v>36</v>
      </c>
      <c r="U312" s="17">
        <v>0</v>
      </c>
      <c r="V312" s="13" t="s">
        <v>35</v>
      </c>
    </row>
    <row r="313" spans="1:22" s="5" customFormat="1" x14ac:dyDescent="0.15">
      <c r="A313" s="10">
        <v>302</v>
      </c>
      <c r="B313" s="12" t="s">
        <v>49</v>
      </c>
      <c r="C313" s="11" t="s">
        <v>97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3" t="s">
        <v>35</v>
      </c>
      <c r="Q313" s="13" t="s">
        <v>35</v>
      </c>
      <c r="R313" s="13" t="s">
        <v>35</v>
      </c>
      <c r="S313" s="16" t="s">
        <v>36</v>
      </c>
      <c r="T313" s="16" t="s">
        <v>36</v>
      </c>
      <c r="U313" s="17">
        <v>0</v>
      </c>
      <c r="V313" s="13" t="s">
        <v>35</v>
      </c>
    </row>
    <row r="314" spans="1:22" s="5" customFormat="1" x14ac:dyDescent="0.15">
      <c r="A314" s="10">
        <v>303</v>
      </c>
      <c r="B314" s="12" t="s">
        <v>49</v>
      </c>
      <c r="C314" s="11" t="s">
        <v>97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3" t="s">
        <v>35</v>
      </c>
      <c r="Q314" s="13" t="s">
        <v>35</v>
      </c>
      <c r="R314" s="13" t="s">
        <v>35</v>
      </c>
      <c r="S314" s="16" t="s">
        <v>36</v>
      </c>
      <c r="T314" s="16" t="s">
        <v>36</v>
      </c>
      <c r="U314" s="17">
        <v>0</v>
      </c>
      <c r="V314" s="13" t="s">
        <v>35</v>
      </c>
    </row>
    <row r="315" spans="1:22" s="5" customFormat="1" x14ac:dyDescent="0.15">
      <c r="A315" s="10">
        <v>304</v>
      </c>
      <c r="B315" s="12" t="s">
        <v>49</v>
      </c>
      <c r="C315" s="11" t="s">
        <v>97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3" t="s">
        <v>35</v>
      </c>
      <c r="Q315" s="13" t="s">
        <v>35</v>
      </c>
      <c r="R315" s="13" t="s">
        <v>35</v>
      </c>
      <c r="S315" s="16" t="s">
        <v>36</v>
      </c>
      <c r="T315" s="16" t="s">
        <v>36</v>
      </c>
      <c r="U315" s="17">
        <v>0</v>
      </c>
      <c r="V315" s="13" t="s">
        <v>35</v>
      </c>
    </row>
    <row r="316" spans="1:22" s="5" customFormat="1" x14ac:dyDescent="0.15">
      <c r="A316" s="10">
        <v>305</v>
      </c>
      <c r="B316" s="12" t="s">
        <v>49</v>
      </c>
      <c r="C316" s="11" t="s">
        <v>97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3" t="s">
        <v>35</v>
      </c>
      <c r="Q316" s="13" t="s">
        <v>35</v>
      </c>
      <c r="R316" s="13" t="s">
        <v>35</v>
      </c>
      <c r="S316" s="16" t="s">
        <v>36</v>
      </c>
      <c r="T316" s="16" t="s">
        <v>36</v>
      </c>
      <c r="U316" s="17">
        <v>0</v>
      </c>
      <c r="V316" s="13" t="s">
        <v>35</v>
      </c>
    </row>
    <row r="317" spans="1:22" s="5" customFormat="1" x14ac:dyDescent="0.15">
      <c r="A317" s="10">
        <v>306</v>
      </c>
      <c r="B317" s="12" t="s">
        <v>49</v>
      </c>
      <c r="C317" s="11" t="s">
        <v>97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3" t="s">
        <v>35</v>
      </c>
      <c r="Q317" s="13" t="s">
        <v>35</v>
      </c>
      <c r="R317" s="13" t="s">
        <v>35</v>
      </c>
      <c r="S317" s="16" t="s">
        <v>36</v>
      </c>
      <c r="T317" s="16" t="s">
        <v>36</v>
      </c>
      <c r="U317" s="17">
        <v>0</v>
      </c>
      <c r="V317" s="13" t="s">
        <v>35</v>
      </c>
    </row>
    <row r="318" spans="1:22" s="5" customFormat="1" x14ac:dyDescent="0.15">
      <c r="A318" s="10">
        <v>307</v>
      </c>
      <c r="B318" s="12" t="s">
        <v>49</v>
      </c>
      <c r="C318" s="11" t="s">
        <v>97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3" t="s">
        <v>35</v>
      </c>
      <c r="Q318" s="13" t="s">
        <v>35</v>
      </c>
      <c r="R318" s="13" t="s">
        <v>35</v>
      </c>
      <c r="S318" s="16" t="s">
        <v>36</v>
      </c>
      <c r="T318" s="16" t="s">
        <v>36</v>
      </c>
      <c r="U318" s="17">
        <v>0</v>
      </c>
      <c r="V318" s="13" t="s">
        <v>35</v>
      </c>
    </row>
    <row r="319" spans="1:22" s="5" customFormat="1" x14ac:dyDescent="0.15">
      <c r="A319" s="10">
        <v>308</v>
      </c>
      <c r="B319" s="12" t="s">
        <v>49</v>
      </c>
      <c r="C319" s="11" t="s">
        <v>97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3" t="s">
        <v>35</v>
      </c>
      <c r="Q319" s="13" t="s">
        <v>35</v>
      </c>
      <c r="R319" s="13" t="s">
        <v>35</v>
      </c>
      <c r="S319" s="16" t="s">
        <v>36</v>
      </c>
      <c r="T319" s="16" t="s">
        <v>36</v>
      </c>
      <c r="U319" s="17">
        <v>0</v>
      </c>
      <c r="V319" s="13" t="s">
        <v>35</v>
      </c>
    </row>
    <row r="320" spans="1:22" s="5" customFormat="1" x14ac:dyDescent="0.15">
      <c r="A320" s="10">
        <v>309</v>
      </c>
      <c r="B320" s="12" t="s">
        <v>49</v>
      </c>
      <c r="C320" s="11" t="s">
        <v>97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3" t="s">
        <v>35</v>
      </c>
      <c r="Q320" s="13" t="s">
        <v>35</v>
      </c>
      <c r="R320" s="13" t="s">
        <v>35</v>
      </c>
      <c r="S320" s="16" t="s">
        <v>36</v>
      </c>
      <c r="T320" s="16" t="s">
        <v>36</v>
      </c>
      <c r="U320" s="17">
        <v>0</v>
      </c>
      <c r="V320" s="13" t="s">
        <v>35</v>
      </c>
    </row>
    <row r="321" spans="1:22" s="5" customFormat="1" x14ac:dyDescent="0.15">
      <c r="A321" s="10">
        <v>310</v>
      </c>
      <c r="B321" s="12" t="s">
        <v>49</v>
      </c>
      <c r="C321" s="11" t="s">
        <v>97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3" t="s">
        <v>35</v>
      </c>
      <c r="Q321" s="13" t="s">
        <v>35</v>
      </c>
      <c r="R321" s="13" t="s">
        <v>35</v>
      </c>
      <c r="S321" s="16" t="s">
        <v>36</v>
      </c>
      <c r="T321" s="16" t="s">
        <v>36</v>
      </c>
      <c r="U321" s="17">
        <v>0</v>
      </c>
      <c r="V321" s="13" t="s">
        <v>35</v>
      </c>
    </row>
    <row r="322" spans="1:22" s="5" customFormat="1" x14ac:dyDescent="0.15">
      <c r="A322" s="10">
        <v>311</v>
      </c>
      <c r="B322" s="12" t="s">
        <v>49</v>
      </c>
      <c r="C322" s="11" t="s">
        <v>97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3" t="s">
        <v>35</v>
      </c>
      <c r="Q322" s="13" t="s">
        <v>35</v>
      </c>
      <c r="R322" s="13" t="s">
        <v>35</v>
      </c>
      <c r="S322" s="16" t="s">
        <v>36</v>
      </c>
      <c r="T322" s="16" t="s">
        <v>36</v>
      </c>
      <c r="U322" s="17">
        <v>0</v>
      </c>
      <c r="V322" s="13" t="s">
        <v>35</v>
      </c>
    </row>
    <row r="323" spans="1:22" s="5" customFormat="1" x14ac:dyDescent="0.15">
      <c r="A323" s="10">
        <v>312</v>
      </c>
      <c r="B323" s="12" t="s">
        <v>49</v>
      </c>
      <c r="C323" s="11" t="s">
        <v>97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3" t="s">
        <v>35</v>
      </c>
      <c r="Q323" s="13" t="s">
        <v>35</v>
      </c>
      <c r="R323" s="13" t="s">
        <v>35</v>
      </c>
      <c r="S323" s="16" t="s">
        <v>36</v>
      </c>
      <c r="T323" s="16" t="s">
        <v>36</v>
      </c>
      <c r="U323" s="17">
        <v>0</v>
      </c>
      <c r="V323" s="13" t="s">
        <v>35</v>
      </c>
    </row>
    <row r="324" spans="1:22" s="5" customFormat="1" x14ac:dyDescent="0.15">
      <c r="A324" s="10">
        <v>313</v>
      </c>
      <c r="B324" s="12" t="s">
        <v>49</v>
      </c>
      <c r="C324" s="11" t="s">
        <v>97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3" t="s">
        <v>35</v>
      </c>
      <c r="Q324" s="13" t="s">
        <v>35</v>
      </c>
      <c r="R324" s="13" t="s">
        <v>35</v>
      </c>
      <c r="S324" s="16" t="s">
        <v>36</v>
      </c>
      <c r="T324" s="16" t="s">
        <v>36</v>
      </c>
      <c r="U324" s="17">
        <v>0</v>
      </c>
      <c r="V324" s="13" t="s">
        <v>35</v>
      </c>
    </row>
    <row r="325" spans="1:22" s="5" customFormat="1" x14ac:dyDescent="0.15">
      <c r="A325" s="10">
        <v>314</v>
      </c>
      <c r="B325" s="12" t="s">
        <v>49</v>
      </c>
      <c r="C325" s="11" t="s">
        <v>97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3" t="s">
        <v>35</v>
      </c>
      <c r="Q325" s="13" t="s">
        <v>35</v>
      </c>
      <c r="R325" s="13" t="s">
        <v>35</v>
      </c>
      <c r="S325" s="16" t="s">
        <v>36</v>
      </c>
      <c r="T325" s="16" t="s">
        <v>36</v>
      </c>
      <c r="U325" s="17">
        <v>0</v>
      </c>
      <c r="V325" s="13" t="s">
        <v>35</v>
      </c>
    </row>
    <row r="326" spans="1:22" s="5" customFormat="1" x14ac:dyDescent="0.15">
      <c r="A326" s="10">
        <v>315</v>
      </c>
      <c r="B326" s="12" t="s">
        <v>49</v>
      </c>
      <c r="C326" s="11" t="s">
        <v>97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3" t="s">
        <v>35</v>
      </c>
      <c r="Q326" s="13" t="s">
        <v>35</v>
      </c>
      <c r="R326" s="13" t="s">
        <v>35</v>
      </c>
      <c r="S326" s="16" t="s">
        <v>36</v>
      </c>
      <c r="T326" s="16" t="s">
        <v>36</v>
      </c>
      <c r="U326" s="17">
        <v>0</v>
      </c>
      <c r="V326" s="13" t="s">
        <v>35</v>
      </c>
    </row>
    <row r="327" spans="1:22" s="5" customFormat="1" x14ac:dyDescent="0.15">
      <c r="A327" s="10">
        <v>316</v>
      </c>
      <c r="B327" s="12" t="s">
        <v>49</v>
      </c>
      <c r="C327" s="11" t="s">
        <v>97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3" t="s">
        <v>35</v>
      </c>
      <c r="Q327" s="13" t="s">
        <v>35</v>
      </c>
      <c r="R327" s="13" t="s">
        <v>35</v>
      </c>
      <c r="S327" s="16" t="s">
        <v>36</v>
      </c>
      <c r="T327" s="16" t="s">
        <v>36</v>
      </c>
      <c r="U327" s="17">
        <v>0</v>
      </c>
      <c r="V327" s="13" t="s">
        <v>35</v>
      </c>
    </row>
    <row r="328" spans="1:22" s="5" customFormat="1" x14ac:dyDescent="0.15">
      <c r="A328" s="10">
        <v>317</v>
      </c>
      <c r="B328" s="12" t="s">
        <v>49</v>
      </c>
      <c r="C328" s="11" t="s">
        <v>97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3" t="s">
        <v>35</v>
      </c>
      <c r="Q328" s="13" t="s">
        <v>35</v>
      </c>
      <c r="R328" s="13" t="s">
        <v>35</v>
      </c>
      <c r="S328" s="16" t="s">
        <v>36</v>
      </c>
      <c r="T328" s="16" t="s">
        <v>36</v>
      </c>
      <c r="U328" s="17">
        <v>0</v>
      </c>
      <c r="V328" s="13" t="s">
        <v>35</v>
      </c>
    </row>
    <row r="329" spans="1:22" s="5" customFormat="1" x14ac:dyDescent="0.15">
      <c r="A329" s="10">
        <v>318</v>
      </c>
      <c r="B329" s="12" t="s">
        <v>49</v>
      </c>
      <c r="C329" s="11" t="s">
        <v>97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3" t="s">
        <v>35</v>
      </c>
      <c r="Q329" s="13" t="s">
        <v>35</v>
      </c>
      <c r="R329" s="13" t="s">
        <v>35</v>
      </c>
      <c r="S329" s="16" t="s">
        <v>36</v>
      </c>
      <c r="T329" s="16" t="s">
        <v>36</v>
      </c>
      <c r="U329" s="17">
        <v>0</v>
      </c>
      <c r="V329" s="13" t="s">
        <v>35</v>
      </c>
    </row>
    <row r="330" spans="1:22" s="5" customFormat="1" x14ac:dyDescent="0.15">
      <c r="A330" s="10">
        <v>319</v>
      </c>
      <c r="B330" s="12" t="s">
        <v>49</v>
      </c>
      <c r="C330" s="11" t="s">
        <v>97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3" t="s">
        <v>35</v>
      </c>
      <c r="Q330" s="13" t="s">
        <v>35</v>
      </c>
      <c r="R330" s="13" t="s">
        <v>35</v>
      </c>
      <c r="S330" s="16" t="s">
        <v>36</v>
      </c>
      <c r="T330" s="16" t="s">
        <v>36</v>
      </c>
      <c r="U330" s="17">
        <v>0</v>
      </c>
      <c r="V330" s="13" t="s">
        <v>35</v>
      </c>
    </row>
    <row r="331" spans="1:22" s="5" customFormat="1" x14ac:dyDescent="0.15">
      <c r="A331" s="10">
        <v>320</v>
      </c>
      <c r="B331" s="12" t="s">
        <v>49</v>
      </c>
      <c r="C331" s="11" t="s">
        <v>97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3" t="s">
        <v>35</v>
      </c>
      <c r="Q331" s="13" t="s">
        <v>35</v>
      </c>
      <c r="R331" s="13" t="s">
        <v>35</v>
      </c>
      <c r="S331" s="16" t="s">
        <v>36</v>
      </c>
      <c r="T331" s="16" t="s">
        <v>36</v>
      </c>
      <c r="U331" s="17">
        <v>0</v>
      </c>
      <c r="V331" s="13" t="s">
        <v>35</v>
      </c>
    </row>
    <row r="332" spans="1:22" s="5" customFormat="1" x14ac:dyDescent="0.15">
      <c r="A332" s="10">
        <v>321</v>
      </c>
      <c r="B332" s="12" t="s">
        <v>49</v>
      </c>
      <c r="C332" s="11" t="s">
        <v>97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3" t="s">
        <v>35</v>
      </c>
      <c r="Q332" s="13" t="s">
        <v>35</v>
      </c>
      <c r="R332" s="13" t="s">
        <v>35</v>
      </c>
      <c r="S332" s="16" t="s">
        <v>36</v>
      </c>
      <c r="T332" s="16" t="s">
        <v>36</v>
      </c>
      <c r="U332" s="17">
        <v>0</v>
      </c>
      <c r="V332" s="13" t="s">
        <v>35</v>
      </c>
    </row>
    <row r="333" spans="1:22" s="5" customFormat="1" x14ac:dyDescent="0.15">
      <c r="A333" s="10">
        <v>322</v>
      </c>
      <c r="B333" s="12" t="s">
        <v>49</v>
      </c>
      <c r="C333" s="11" t="s">
        <v>97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3" t="s">
        <v>35</v>
      </c>
      <c r="Q333" s="13" t="s">
        <v>35</v>
      </c>
      <c r="R333" s="13" t="s">
        <v>35</v>
      </c>
      <c r="S333" s="16" t="s">
        <v>36</v>
      </c>
      <c r="T333" s="16" t="s">
        <v>36</v>
      </c>
      <c r="U333" s="17">
        <v>0</v>
      </c>
      <c r="V333" s="13" t="s">
        <v>35</v>
      </c>
    </row>
    <row r="334" spans="1:22" s="5" customFormat="1" x14ac:dyDescent="0.15">
      <c r="A334" s="10">
        <v>323</v>
      </c>
      <c r="B334" s="12" t="s">
        <v>49</v>
      </c>
      <c r="C334" s="11" t="s">
        <v>97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3" t="s">
        <v>35</v>
      </c>
      <c r="Q334" s="13" t="s">
        <v>35</v>
      </c>
      <c r="R334" s="13" t="s">
        <v>35</v>
      </c>
      <c r="S334" s="16" t="s">
        <v>36</v>
      </c>
      <c r="T334" s="16" t="s">
        <v>36</v>
      </c>
      <c r="U334" s="17">
        <v>0</v>
      </c>
      <c r="V334" s="13" t="s">
        <v>35</v>
      </c>
    </row>
    <row r="335" spans="1:22" s="5" customFormat="1" x14ac:dyDescent="0.15">
      <c r="A335" s="10">
        <v>324</v>
      </c>
      <c r="B335" s="12" t="s">
        <v>49</v>
      </c>
      <c r="C335" s="11" t="s">
        <v>97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3" t="s">
        <v>35</v>
      </c>
      <c r="Q335" s="13" t="s">
        <v>35</v>
      </c>
      <c r="R335" s="13" t="s">
        <v>35</v>
      </c>
      <c r="S335" s="16" t="s">
        <v>36</v>
      </c>
      <c r="T335" s="16" t="s">
        <v>36</v>
      </c>
      <c r="U335" s="17">
        <v>0</v>
      </c>
      <c r="V335" s="13" t="s">
        <v>35</v>
      </c>
    </row>
    <row r="336" spans="1:22" s="5" customFormat="1" x14ac:dyDescent="0.15">
      <c r="A336" s="10">
        <v>325</v>
      </c>
      <c r="B336" s="12" t="s">
        <v>49</v>
      </c>
      <c r="C336" s="11" t="s">
        <v>97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3" t="s">
        <v>35</v>
      </c>
      <c r="Q336" s="13" t="s">
        <v>35</v>
      </c>
      <c r="R336" s="13" t="s">
        <v>35</v>
      </c>
      <c r="S336" s="16" t="s">
        <v>36</v>
      </c>
      <c r="T336" s="16" t="s">
        <v>36</v>
      </c>
      <c r="U336" s="17">
        <v>0</v>
      </c>
      <c r="V336" s="13" t="s">
        <v>35</v>
      </c>
    </row>
    <row r="337" spans="1:22" s="5" customFormat="1" x14ac:dyDescent="0.15">
      <c r="A337" s="10">
        <v>326</v>
      </c>
      <c r="B337" s="12" t="s">
        <v>49</v>
      </c>
      <c r="C337" s="11" t="s">
        <v>97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3" t="s">
        <v>35</v>
      </c>
      <c r="Q337" s="13" t="s">
        <v>35</v>
      </c>
      <c r="R337" s="13" t="s">
        <v>35</v>
      </c>
      <c r="S337" s="16" t="s">
        <v>36</v>
      </c>
      <c r="T337" s="16" t="s">
        <v>36</v>
      </c>
      <c r="U337" s="17">
        <v>0</v>
      </c>
      <c r="V337" s="13" t="s">
        <v>35</v>
      </c>
    </row>
    <row r="338" spans="1:22" s="5" customFormat="1" x14ac:dyDescent="0.15">
      <c r="A338" s="10">
        <v>327</v>
      </c>
      <c r="B338" s="12" t="s">
        <v>49</v>
      </c>
      <c r="C338" s="11" t="s">
        <v>97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3" t="s">
        <v>35</v>
      </c>
      <c r="Q338" s="13" t="s">
        <v>35</v>
      </c>
      <c r="R338" s="13" t="s">
        <v>35</v>
      </c>
      <c r="S338" s="16" t="s">
        <v>36</v>
      </c>
      <c r="T338" s="16" t="s">
        <v>36</v>
      </c>
      <c r="U338" s="17">
        <v>0</v>
      </c>
      <c r="V338" s="13" t="s">
        <v>35</v>
      </c>
    </row>
    <row r="339" spans="1:22" s="5" customFormat="1" x14ac:dyDescent="0.15">
      <c r="A339" s="10">
        <v>328</v>
      </c>
      <c r="B339" s="12" t="s">
        <v>49</v>
      </c>
      <c r="C339" s="11" t="s">
        <v>97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3" t="s">
        <v>35</v>
      </c>
      <c r="Q339" s="13" t="s">
        <v>35</v>
      </c>
      <c r="R339" s="13" t="s">
        <v>35</v>
      </c>
      <c r="S339" s="16" t="s">
        <v>36</v>
      </c>
      <c r="T339" s="16" t="s">
        <v>36</v>
      </c>
      <c r="U339" s="17">
        <v>0</v>
      </c>
      <c r="V339" s="13" t="s">
        <v>35</v>
      </c>
    </row>
    <row r="340" spans="1:22" s="5" customFormat="1" x14ac:dyDescent="0.15">
      <c r="A340" s="10">
        <v>329</v>
      </c>
      <c r="B340" s="12" t="s">
        <v>49</v>
      </c>
      <c r="C340" s="11" t="s">
        <v>97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3" t="s">
        <v>35</v>
      </c>
      <c r="Q340" s="13" t="s">
        <v>35</v>
      </c>
      <c r="R340" s="13" t="s">
        <v>35</v>
      </c>
      <c r="S340" s="16" t="s">
        <v>36</v>
      </c>
      <c r="T340" s="16" t="s">
        <v>36</v>
      </c>
      <c r="U340" s="17">
        <v>0</v>
      </c>
      <c r="V340" s="13" t="s">
        <v>35</v>
      </c>
    </row>
    <row r="341" spans="1:22" s="5" customFormat="1" x14ac:dyDescent="0.15">
      <c r="A341" s="10">
        <v>330</v>
      </c>
      <c r="B341" s="12" t="s">
        <v>49</v>
      </c>
      <c r="C341" s="11" t="s">
        <v>97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3" t="s">
        <v>35</v>
      </c>
      <c r="Q341" s="13" t="s">
        <v>35</v>
      </c>
      <c r="R341" s="13" t="s">
        <v>35</v>
      </c>
      <c r="S341" s="16" t="s">
        <v>36</v>
      </c>
      <c r="T341" s="16" t="s">
        <v>36</v>
      </c>
      <c r="U341" s="17">
        <v>0</v>
      </c>
      <c r="V341" s="13" t="s">
        <v>35</v>
      </c>
    </row>
    <row r="342" spans="1:22" s="5" customFormat="1" x14ac:dyDescent="0.15">
      <c r="A342" s="10">
        <v>331</v>
      </c>
      <c r="B342" s="12" t="s">
        <v>49</v>
      </c>
      <c r="C342" s="11" t="s">
        <v>97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3" t="s">
        <v>35</v>
      </c>
      <c r="Q342" s="13" t="s">
        <v>35</v>
      </c>
      <c r="R342" s="13" t="s">
        <v>35</v>
      </c>
      <c r="S342" s="16" t="s">
        <v>36</v>
      </c>
      <c r="T342" s="16" t="s">
        <v>36</v>
      </c>
      <c r="U342" s="17">
        <v>0</v>
      </c>
      <c r="V342" s="13" t="s">
        <v>35</v>
      </c>
    </row>
    <row r="343" spans="1:22" s="5" customFormat="1" x14ac:dyDescent="0.15">
      <c r="A343" s="10">
        <v>332</v>
      </c>
      <c r="B343" s="12" t="s">
        <v>49</v>
      </c>
      <c r="C343" s="11" t="s">
        <v>97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3" t="s">
        <v>35</v>
      </c>
      <c r="Q343" s="13" t="s">
        <v>35</v>
      </c>
      <c r="R343" s="13" t="s">
        <v>35</v>
      </c>
      <c r="S343" s="16" t="s">
        <v>36</v>
      </c>
      <c r="T343" s="16" t="s">
        <v>36</v>
      </c>
      <c r="U343" s="17">
        <v>0</v>
      </c>
      <c r="V343" s="13" t="s">
        <v>35</v>
      </c>
    </row>
    <row r="344" spans="1:22" s="5" customFormat="1" x14ac:dyDescent="0.15">
      <c r="A344" s="10">
        <v>333</v>
      </c>
      <c r="B344" s="12" t="s">
        <v>49</v>
      </c>
      <c r="C344" s="11" t="s">
        <v>97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3" t="s">
        <v>35</v>
      </c>
      <c r="Q344" s="13" t="s">
        <v>35</v>
      </c>
      <c r="R344" s="13" t="s">
        <v>35</v>
      </c>
      <c r="S344" s="16" t="s">
        <v>36</v>
      </c>
      <c r="T344" s="16" t="s">
        <v>36</v>
      </c>
      <c r="U344" s="17">
        <v>0</v>
      </c>
      <c r="V344" s="13" t="s">
        <v>35</v>
      </c>
    </row>
    <row r="345" spans="1:22" s="5" customFormat="1" x14ac:dyDescent="0.15">
      <c r="A345" s="10">
        <v>334</v>
      </c>
      <c r="B345" s="12" t="s">
        <v>49</v>
      </c>
      <c r="C345" s="11" t="s">
        <v>97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3" t="s">
        <v>35</v>
      </c>
      <c r="Q345" s="13" t="s">
        <v>35</v>
      </c>
      <c r="R345" s="13" t="s">
        <v>35</v>
      </c>
      <c r="S345" s="16" t="s">
        <v>36</v>
      </c>
      <c r="T345" s="16" t="s">
        <v>36</v>
      </c>
      <c r="U345" s="17">
        <v>0</v>
      </c>
      <c r="V345" s="13" t="s">
        <v>35</v>
      </c>
    </row>
    <row r="346" spans="1:22" s="5" customFormat="1" x14ac:dyDescent="0.15">
      <c r="A346" s="10">
        <v>335</v>
      </c>
      <c r="B346" s="12" t="s">
        <v>49</v>
      </c>
      <c r="C346" s="11" t="s">
        <v>97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3" t="s">
        <v>35</v>
      </c>
      <c r="Q346" s="13" t="s">
        <v>35</v>
      </c>
      <c r="R346" s="13" t="s">
        <v>35</v>
      </c>
      <c r="S346" s="16" t="s">
        <v>36</v>
      </c>
      <c r="T346" s="16" t="s">
        <v>36</v>
      </c>
      <c r="U346" s="17">
        <v>0</v>
      </c>
      <c r="V346" s="13" t="s">
        <v>35</v>
      </c>
    </row>
    <row r="347" spans="1:22" s="5" customFormat="1" x14ac:dyDescent="0.15">
      <c r="A347" s="10">
        <v>336</v>
      </c>
      <c r="B347" s="12" t="s">
        <v>49</v>
      </c>
      <c r="C347" s="11" t="s">
        <v>97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3" t="s">
        <v>35</v>
      </c>
      <c r="Q347" s="13" t="s">
        <v>35</v>
      </c>
      <c r="R347" s="13" t="s">
        <v>35</v>
      </c>
      <c r="S347" s="16" t="s">
        <v>36</v>
      </c>
      <c r="T347" s="16" t="s">
        <v>36</v>
      </c>
      <c r="U347" s="17">
        <v>0</v>
      </c>
      <c r="V347" s="13" t="s">
        <v>35</v>
      </c>
    </row>
    <row r="348" spans="1:22" s="5" customFormat="1" x14ac:dyDescent="0.15">
      <c r="A348" s="10">
        <v>337</v>
      </c>
      <c r="B348" s="12" t="s">
        <v>49</v>
      </c>
      <c r="C348" s="11" t="s">
        <v>97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3" t="s">
        <v>35</v>
      </c>
      <c r="Q348" s="13" t="s">
        <v>35</v>
      </c>
      <c r="R348" s="13" t="s">
        <v>35</v>
      </c>
      <c r="S348" s="16" t="s">
        <v>36</v>
      </c>
      <c r="T348" s="16" t="s">
        <v>36</v>
      </c>
      <c r="U348" s="17">
        <v>0</v>
      </c>
      <c r="V348" s="13" t="s">
        <v>35</v>
      </c>
    </row>
    <row r="349" spans="1:22" s="5" customFormat="1" x14ac:dyDescent="0.15">
      <c r="A349" s="10">
        <v>338</v>
      </c>
      <c r="B349" s="12" t="s">
        <v>49</v>
      </c>
      <c r="C349" s="11" t="s">
        <v>97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3" t="s">
        <v>35</v>
      </c>
      <c r="Q349" s="13" t="s">
        <v>35</v>
      </c>
      <c r="R349" s="13" t="s">
        <v>35</v>
      </c>
      <c r="S349" s="16" t="s">
        <v>36</v>
      </c>
      <c r="T349" s="16" t="s">
        <v>36</v>
      </c>
      <c r="U349" s="17">
        <v>0</v>
      </c>
      <c r="V349" s="13" t="s">
        <v>35</v>
      </c>
    </row>
    <row r="350" spans="1:22" s="5" customFormat="1" x14ac:dyDescent="0.15">
      <c r="A350" s="10">
        <v>339</v>
      </c>
      <c r="B350" s="12" t="s">
        <v>49</v>
      </c>
      <c r="C350" s="11" t="s">
        <v>97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3" t="s">
        <v>35</v>
      </c>
      <c r="Q350" s="13" t="s">
        <v>35</v>
      </c>
      <c r="R350" s="13" t="s">
        <v>35</v>
      </c>
      <c r="S350" s="16" t="s">
        <v>36</v>
      </c>
      <c r="T350" s="16" t="s">
        <v>36</v>
      </c>
      <c r="U350" s="17">
        <v>0</v>
      </c>
      <c r="V350" s="13" t="s">
        <v>35</v>
      </c>
    </row>
    <row r="351" spans="1:22" s="5" customFormat="1" x14ac:dyDescent="0.15">
      <c r="A351" s="10">
        <v>340</v>
      </c>
      <c r="B351" s="12" t="s">
        <v>49</v>
      </c>
      <c r="C351" s="11" t="s">
        <v>97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3" t="s">
        <v>35</v>
      </c>
      <c r="Q351" s="13" t="s">
        <v>35</v>
      </c>
      <c r="R351" s="13" t="s">
        <v>35</v>
      </c>
      <c r="S351" s="16" t="s">
        <v>36</v>
      </c>
      <c r="T351" s="16" t="s">
        <v>36</v>
      </c>
      <c r="U351" s="17">
        <v>0</v>
      </c>
      <c r="V351" s="13" t="s">
        <v>35</v>
      </c>
    </row>
    <row r="352" spans="1:22" s="5" customFormat="1" x14ac:dyDescent="0.15">
      <c r="A352" s="10">
        <v>341</v>
      </c>
      <c r="B352" s="12" t="s">
        <v>49</v>
      </c>
      <c r="C352" s="11" t="s">
        <v>97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3" t="s">
        <v>35</v>
      </c>
      <c r="Q352" s="13" t="s">
        <v>35</v>
      </c>
      <c r="R352" s="13" t="s">
        <v>35</v>
      </c>
      <c r="S352" s="16" t="s">
        <v>36</v>
      </c>
      <c r="T352" s="16" t="s">
        <v>36</v>
      </c>
      <c r="U352" s="17">
        <v>0</v>
      </c>
      <c r="V352" s="13" t="s">
        <v>35</v>
      </c>
    </row>
    <row r="353" spans="1:22" s="5" customFormat="1" x14ac:dyDescent="0.15">
      <c r="A353" s="10">
        <v>342</v>
      </c>
      <c r="B353" s="12" t="s">
        <v>49</v>
      </c>
      <c r="C353" s="11" t="s">
        <v>97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3" t="s">
        <v>35</v>
      </c>
      <c r="Q353" s="13" t="s">
        <v>35</v>
      </c>
      <c r="R353" s="13" t="s">
        <v>35</v>
      </c>
      <c r="S353" s="16" t="s">
        <v>36</v>
      </c>
      <c r="T353" s="16" t="s">
        <v>36</v>
      </c>
      <c r="U353" s="17">
        <v>0</v>
      </c>
      <c r="V353" s="13" t="s">
        <v>35</v>
      </c>
    </row>
    <row r="354" spans="1:22" s="5" customFormat="1" x14ac:dyDescent="0.15">
      <c r="A354" s="10">
        <v>343</v>
      </c>
      <c r="B354" s="12" t="s">
        <v>49</v>
      </c>
      <c r="C354" s="11" t="s">
        <v>97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3" t="s">
        <v>35</v>
      </c>
      <c r="Q354" s="13" t="s">
        <v>35</v>
      </c>
      <c r="R354" s="13" t="s">
        <v>35</v>
      </c>
      <c r="S354" s="16" t="s">
        <v>36</v>
      </c>
      <c r="T354" s="16" t="s">
        <v>36</v>
      </c>
      <c r="U354" s="17">
        <v>0</v>
      </c>
      <c r="V354" s="13" t="s">
        <v>35</v>
      </c>
    </row>
    <row r="355" spans="1:22" s="5" customFormat="1" x14ac:dyDescent="0.15">
      <c r="A355" s="10">
        <v>344</v>
      </c>
      <c r="B355" s="12" t="s">
        <v>49</v>
      </c>
      <c r="C355" s="11" t="s">
        <v>97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3" t="s">
        <v>35</v>
      </c>
      <c r="Q355" s="13" t="s">
        <v>35</v>
      </c>
      <c r="R355" s="13" t="s">
        <v>35</v>
      </c>
      <c r="S355" s="16" t="s">
        <v>36</v>
      </c>
      <c r="T355" s="16" t="s">
        <v>36</v>
      </c>
      <c r="U355" s="17">
        <v>0</v>
      </c>
      <c r="V355" s="13" t="s">
        <v>35</v>
      </c>
    </row>
    <row r="356" spans="1:22" s="5" customFormat="1" x14ac:dyDescent="0.15">
      <c r="A356" s="10">
        <v>345</v>
      </c>
      <c r="B356" s="12" t="s">
        <v>49</v>
      </c>
      <c r="C356" s="11" t="s">
        <v>97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3" t="s">
        <v>35</v>
      </c>
      <c r="Q356" s="13" t="s">
        <v>35</v>
      </c>
      <c r="R356" s="13" t="s">
        <v>35</v>
      </c>
      <c r="S356" s="16" t="s">
        <v>36</v>
      </c>
      <c r="T356" s="16" t="s">
        <v>36</v>
      </c>
      <c r="U356" s="17">
        <v>0</v>
      </c>
      <c r="V356" s="13" t="s">
        <v>35</v>
      </c>
    </row>
    <row r="357" spans="1:22" s="5" customFormat="1" x14ac:dyDescent="0.15">
      <c r="A357" s="10">
        <v>346</v>
      </c>
      <c r="B357" s="12" t="s">
        <v>49</v>
      </c>
      <c r="C357" s="11" t="s">
        <v>97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3" t="s">
        <v>35</v>
      </c>
      <c r="Q357" s="13" t="s">
        <v>35</v>
      </c>
      <c r="R357" s="13" t="s">
        <v>35</v>
      </c>
      <c r="S357" s="16" t="s">
        <v>36</v>
      </c>
      <c r="T357" s="16" t="s">
        <v>36</v>
      </c>
      <c r="U357" s="17">
        <v>0</v>
      </c>
      <c r="V357" s="13" t="s">
        <v>35</v>
      </c>
    </row>
    <row r="358" spans="1:22" s="5" customFormat="1" x14ac:dyDescent="0.15">
      <c r="A358" s="10">
        <v>347</v>
      </c>
      <c r="B358" s="12" t="s">
        <v>49</v>
      </c>
      <c r="C358" s="11" t="s">
        <v>97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3" t="s">
        <v>35</v>
      </c>
      <c r="Q358" s="13" t="s">
        <v>35</v>
      </c>
      <c r="R358" s="13" t="s">
        <v>35</v>
      </c>
      <c r="S358" s="16" t="s">
        <v>36</v>
      </c>
      <c r="T358" s="16" t="s">
        <v>36</v>
      </c>
      <c r="U358" s="17">
        <v>0</v>
      </c>
      <c r="V358" s="13" t="s">
        <v>35</v>
      </c>
    </row>
    <row r="359" spans="1:22" s="5" customFormat="1" x14ac:dyDescent="0.15">
      <c r="A359" s="10">
        <v>348</v>
      </c>
      <c r="B359" s="12" t="s">
        <v>49</v>
      </c>
      <c r="C359" s="11" t="s">
        <v>97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3" t="s">
        <v>35</v>
      </c>
      <c r="Q359" s="13" t="s">
        <v>35</v>
      </c>
      <c r="R359" s="13" t="s">
        <v>35</v>
      </c>
      <c r="S359" s="16" t="s">
        <v>36</v>
      </c>
      <c r="T359" s="16" t="s">
        <v>36</v>
      </c>
      <c r="U359" s="17">
        <v>0</v>
      </c>
      <c r="V359" s="13" t="s">
        <v>35</v>
      </c>
    </row>
    <row r="360" spans="1:22" s="5" customFormat="1" x14ac:dyDescent="0.15">
      <c r="A360" s="10">
        <v>349</v>
      </c>
      <c r="B360" s="12" t="s">
        <v>49</v>
      </c>
      <c r="C360" s="11" t="s">
        <v>97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3" t="s">
        <v>35</v>
      </c>
      <c r="Q360" s="13" t="s">
        <v>35</v>
      </c>
      <c r="R360" s="13" t="s">
        <v>35</v>
      </c>
      <c r="S360" s="16" t="s">
        <v>36</v>
      </c>
      <c r="T360" s="16" t="s">
        <v>36</v>
      </c>
      <c r="U360" s="17">
        <v>0</v>
      </c>
      <c r="V360" s="13" t="s">
        <v>35</v>
      </c>
    </row>
    <row r="361" spans="1:22" s="5" customFormat="1" x14ac:dyDescent="0.15">
      <c r="A361" s="10">
        <v>350</v>
      </c>
      <c r="B361" s="12" t="s">
        <v>49</v>
      </c>
      <c r="C361" s="11" t="s">
        <v>97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3" t="s">
        <v>35</v>
      </c>
      <c r="Q361" s="13" t="s">
        <v>35</v>
      </c>
      <c r="R361" s="13" t="s">
        <v>35</v>
      </c>
      <c r="S361" s="16" t="s">
        <v>36</v>
      </c>
      <c r="T361" s="16" t="s">
        <v>36</v>
      </c>
      <c r="U361" s="17">
        <v>0</v>
      </c>
      <c r="V361" s="13" t="s">
        <v>35</v>
      </c>
    </row>
    <row r="362" spans="1:22" s="5" customFormat="1" x14ac:dyDescent="0.15">
      <c r="A362" s="10">
        <v>351</v>
      </c>
      <c r="B362" s="12" t="s">
        <v>49</v>
      </c>
      <c r="C362" s="11" t="s">
        <v>97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3" t="s">
        <v>35</v>
      </c>
      <c r="Q362" s="13" t="s">
        <v>35</v>
      </c>
      <c r="R362" s="13" t="s">
        <v>35</v>
      </c>
      <c r="S362" s="16" t="s">
        <v>36</v>
      </c>
      <c r="T362" s="16" t="s">
        <v>36</v>
      </c>
      <c r="U362" s="17">
        <v>0</v>
      </c>
      <c r="V362" s="13" t="s">
        <v>35</v>
      </c>
    </row>
    <row r="363" spans="1:22" s="5" customFormat="1" x14ac:dyDescent="0.15">
      <c r="A363" s="10">
        <v>352</v>
      </c>
      <c r="B363" s="12" t="s">
        <v>49</v>
      </c>
      <c r="C363" s="11" t="s">
        <v>97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3" t="s">
        <v>35</v>
      </c>
      <c r="Q363" s="13" t="s">
        <v>35</v>
      </c>
      <c r="R363" s="13" t="s">
        <v>35</v>
      </c>
      <c r="S363" s="16" t="s">
        <v>36</v>
      </c>
      <c r="T363" s="16" t="s">
        <v>36</v>
      </c>
      <c r="U363" s="17">
        <v>0</v>
      </c>
      <c r="V363" s="13" t="s">
        <v>35</v>
      </c>
    </row>
    <row r="364" spans="1:22" s="5" customFormat="1" x14ac:dyDescent="0.15">
      <c r="A364" s="10">
        <v>353</v>
      </c>
      <c r="B364" s="12" t="s">
        <v>49</v>
      </c>
      <c r="C364" s="11" t="s">
        <v>97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3" t="s">
        <v>35</v>
      </c>
      <c r="Q364" s="13" t="s">
        <v>35</v>
      </c>
      <c r="R364" s="13" t="s">
        <v>35</v>
      </c>
      <c r="S364" s="16" t="s">
        <v>36</v>
      </c>
      <c r="T364" s="16" t="s">
        <v>36</v>
      </c>
      <c r="U364" s="17">
        <v>0</v>
      </c>
      <c r="V364" s="13" t="s">
        <v>35</v>
      </c>
    </row>
    <row r="365" spans="1:22" s="5" customFormat="1" x14ac:dyDescent="0.15">
      <c r="A365" s="10">
        <v>354</v>
      </c>
      <c r="B365" s="12" t="s">
        <v>49</v>
      </c>
      <c r="C365" s="11" t="s">
        <v>97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3" t="s">
        <v>35</v>
      </c>
      <c r="Q365" s="13" t="s">
        <v>35</v>
      </c>
      <c r="R365" s="13" t="s">
        <v>35</v>
      </c>
      <c r="S365" s="16" t="s">
        <v>36</v>
      </c>
      <c r="T365" s="16" t="s">
        <v>36</v>
      </c>
      <c r="U365" s="17">
        <v>0</v>
      </c>
      <c r="V365" s="13" t="s">
        <v>35</v>
      </c>
    </row>
    <row r="366" spans="1:22" s="5" customFormat="1" x14ac:dyDescent="0.15">
      <c r="A366" s="10">
        <v>355</v>
      </c>
      <c r="B366" s="12" t="s">
        <v>49</v>
      </c>
      <c r="C366" s="11" t="s">
        <v>97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3" t="s">
        <v>35</v>
      </c>
      <c r="Q366" s="13" t="s">
        <v>35</v>
      </c>
      <c r="R366" s="13" t="s">
        <v>35</v>
      </c>
      <c r="S366" s="16" t="s">
        <v>36</v>
      </c>
      <c r="T366" s="16" t="s">
        <v>36</v>
      </c>
      <c r="U366" s="17">
        <v>0</v>
      </c>
      <c r="V366" s="13" t="s">
        <v>35</v>
      </c>
    </row>
    <row r="367" spans="1:22" s="5" customFormat="1" x14ac:dyDescent="0.15">
      <c r="A367" s="10">
        <v>356</v>
      </c>
      <c r="B367" s="12" t="s">
        <v>49</v>
      </c>
      <c r="C367" s="11" t="s">
        <v>97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3" t="s">
        <v>35</v>
      </c>
      <c r="Q367" s="13" t="s">
        <v>35</v>
      </c>
      <c r="R367" s="13" t="s">
        <v>35</v>
      </c>
      <c r="S367" s="16" t="s">
        <v>36</v>
      </c>
      <c r="T367" s="16" t="s">
        <v>36</v>
      </c>
      <c r="U367" s="17">
        <v>0</v>
      </c>
      <c r="V367" s="13" t="s">
        <v>35</v>
      </c>
    </row>
    <row r="368" spans="1:22" s="5" customFormat="1" x14ac:dyDescent="0.15">
      <c r="A368" s="10">
        <v>357</v>
      </c>
      <c r="B368" s="12" t="s">
        <v>49</v>
      </c>
      <c r="C368" s="11" t="s">
        <v>97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3" t="s">
        <v>35</v>
      </c>
      <c r="Q368" s="13" t="s">
        <v>35</v>
      </c>
      <c r="R368" s="13" t="s">
        <v>35</v>
      </c>
      <c r="S368" s="16" t="s">
        <v>36</v>
      </c>
      <c r="T368" s="16" t="s">
        <v>36</v>
      </c>
      <c r="U368" s="17">
        <v>0</v>
      </c>
      <c r="V368" s="13" t="s">
        <v>35</v>
      </c>
    </row>
    <row r="369" spans="1:22" s="5" customFormat="1" x14ac:dyDescent="0.15">
      <c r="A369" s="10">
        <v>358</v>
      </c>
      <c r="B369" s="12" t="s">
        <v>49</v>
      </c>
      <c r="C369" s="11" t="s">
        <v>97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3" t="s">
        <v>35</v>
      </c>
      <c r="Q369" s="13" t="s">
        <v>35</v>
      </c>
      <c r="R369" s="13" t="s">
        <v>35</v>
      </c>
      <c r="S369" s="16" t="s">
        <v>36</v>
      </c>
      <c r="T369" s="16" t="s">
        <v>36</v>
      </c>
      <c r="U369" s="17">
        <v>0</v>
      </c>
      <c r="V369" s="13" t="s">
        <v>35</v>
      </c>
    </row>
    <row r="370" spans="1:22" s="5" customFormat="1" x14ac:dyDescent="0.15">
      <c r="A370" s="10">
        <v>359</v>
      </c>
      <c r="B370" s="12" t="s">
        <v>49</v>
      </c>
      <c r="C370" s="11" t="s">
        <v>97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3" t="s">
        <v>35</v>
      </c>
      <c r="Q370" s="13" t="s">
        <v>35</v>
      </c>
      <c r="R370" s="13" t="s">
        <v>35</v>
      </c>
      <c r="S370" s="16" t="s">
        <v>36</v>
      </c>
      <c r="T370" s="16" t="s">
        <v>36</v>
      </c>
      <c r="U370" s="17">
        <v>0</v>
      </c>
      <c r="V370" s="13" t="s">
        <v>35</v>
      </c>
    </row>
    <row r="371" spans="1:22" s="5" customFormat="1" x14ac:dyDescent="0.15">
      <c r="A371" s="10">
        <v>360</v>
      </c>
      <c r="B371" s="12" t="s">
        <v>49</v>
      </c>
      <c r="C371" s="11" t="s">
        <v>97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3" t="s">
        <v>35</v>
      </c>
      <c r="Q371" s="13" t="s">
        <v>35</v>
      </c>
      <c r="R371" s="13" t="s">
        <v>35</v>
      </c>
      <c r="S371" s="16" t="s">
        <v>36</v>
      </c>
      <c r="T371" s="16" t="s">
        <v>36</v>
      </c>
      <c r="U371" s="17">
        <v>0</v>
      </c>
      <c r="V371" s="13" t="s">
        <v>35</v>
      </c>
    </row>
    <row r="372" spans="1:22" s="5" customFormat="1" x14ac:dyDescent="0.15">
      <c r="A372" s="10">
        <v>361</v>
      </c>
      <c r="B372" s="12" t="s">
        <v>49</v>
      </c>
      <c r="C372" s="11" t="s">
        <v>97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3" t="s">
        <v>35</v>
      </c>
      <c r="Q372" s="13" t="s">
        <v>35</v>
      </c>
      <c r="R372" s="13" t="s">
        <v>35</v>
      </c>
      <c r="S372" s="16" t="s">
        <v>36</v>
      </c>
      <c r="T372" s="16" t="s">
        <v>36</v>
      </c>
      <c r="U372" s="17">
        <v>0</v>
      </c>
      <c r="V372" s="13" t="s">
        <v>35</v>
      </c>
    </row>
    <row r="373" spans="1:22" s="5" customFormat="1" x14ac:dyDescent="0.15">
      <c r="A373" s="10">
        <v>362</v>
      </c>
      <c r="B373" s="12" t="s">
        <v>49</v>
      </c>
      <c r="C373" s="11" t="s">
        <v>97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3" t="s">
        <v>35</v>
      </c>
      <c r="Q373" s="13" t="s">
        <v>35</v>
      </c>
      <c r="R373" s="13" t="s">
        <v>35</v>
      </c>
      <c r="S373" s="16" t="s">
        <v>36</v>
      </c>
      <c r="T373" s="16" t="s">
        <v>36</v>
      </c>
      <c r="U373" s="17">
        <v>0</v>
      </c>
      <c r="V373" s="13" t="s">
        <v>35</v>
      </c>
    </row>
    <row r="374" spans="1:22" s="5" customFormat="1" x14ac:dyDescent="0.15">
      <c r="A374" s="10">
        <v>363</v>
      </c>
      <c r="B374" s="12" t="s">
        <v>49</v>
      </c>
      <c r="C374" s="11" t="s">
        <v>97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3" t="s">
        <v>35</v>
      </c>
      <c r="Q374" s="13" t="s">
        <v>35</v>
      </c>
      <c r="R374" s="13" t="s">
        <v>35</v>
      </c>
      <c r="S374" s="16" t="s">
        <v>36</v>
      </c>
      <c r="T374" s="16" t="s">
        <v>36</v>
      </c>
      <c r="U374" s="17">
        <v>0</v>
      </c>
      <c r="V374" s="13" t="s">
        <v>35</v>
      </c>
    </row>
    <row r="375" spans="1:22" s="5" customFormat="1" x14ac:dyDescent="0.15">
      <c r="A375" s="10">
        <v>364</v>
      </c>
      <c r="B375" s="12" t="s">
        <v>49</v>
      </c>
      <c r="C375" s="11" t="s">
        <v>97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3" t="s">
        <v>35</v>
      </c>
      <c r="Q375" s="13" t="s">
        <v>35</v>
      </c>
      <c r="R375" s="13" t="s">
        <v>35</v>
      </c>
      <c r="S375" s="16" t="s">
        <v>36</v>
      </c>
      <c r="T375" s="16" t="s">
        <v>36</v>
      </c>
      <c r="U375" s="17">
        <v>0</v>
      </c>
      <c r="V375" s="13" t="s">
        <v>35</v>
      </c>
    </row>
    <row r="376" spans="1:22" s="5" customFormat="1" x14ac:dyDescent="0.15">
      <c r="A376" s="10">
        <v>365</v>
      </c>
      <c r="B376" s="12" t="s">
        <v>49</v>
      </c>
      <c r="C376" s="11" t="s">
        <v>97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3" t="s">
        <v>35</v>
      </c>
      <c r="Q376" s="13" t="s">
        <v>35</v>
      </c>
      <c r="R376" s="13" t="s">
        <v>35</v>
      </c>
      <c r="S376" s="16" t="s">
        <v>36</v>
      </c>
      <c r="T376" s="16" t="s">
        <v>36</v>
      </c>
      <c r="U376" s="17">
        <v>0</v>
      </c>
      <c r="V376" s="13" t="s">
        <v>35</v>
      </c>
    </row>
    <row r="377" spans="1:22" s="5" customFormat="1" x14ac:dyDescent="0.15">
      <c r="A377" s="10">
        <v>366</v>
      </c>
      <c r="B377" s="12" t="s">
        <v>49</v>
      </c>
      <c r="C377" s="11" t="s">
        <v>97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3" t="s">
        <v>35</v>
      </c>
      <c r="Q377" s="13" t="s">
        <v>35</v>
      </c>
      <c r="R377" s="13" t="s">
        <v>35</v>
      </c>
      <c r="S377" s="16" t="s">
        <v>36</v>
      </c>
      <c r="T377" s="16" t="s">
        <v>36</v>
      </c>
      <c r="U377" s="17">
        <v>0</v>
      </c>
      <c r="V377" s="13" t="s">
        <v>35</v>
      </c>
    </row>
    <row r="378" spans="1:22" s="5" customFormat="1" x14ac:dyDescent="0.15">
      <c r="A378" s="10">
        <v>367</v>
      </c>
      <c r="B378" s="12" t="s">
        <v>49</v>
      </c>
      <c r="C378" s="11" t="s">
        <v>97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3" t="s">
        <v>35</v>
      </c>
      <c r="Q378" s="13" t="s">
        <v>35</v>
      </c>
      <c r="R378" s="13" t="s">
        <v>35</v>
      </c>
      <c r="S378" s="16" t="s">
        <v>36</v>
      </c>
      <c r="T378" s="16" t="s">
        <v>36</v>
      </c>
      <c r="U378" s="17">
        <v>0</v>
      </c>
      <c r="V378" s="13" t="s">
        <v>35</v>
      </c>
    </row>
    <row r="379" spans="1:22" s="5" customFormat="1" x14ac:dyDescent="0.15">
      <c r="A379" s="10">
        <v>368</v>
      </c>
      <c r="B379" s="12" t="s">
        <v>49</v>
      </c>
      <c r="C379" s="11" t="s">
        <v>97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3" t="s">
        <v>35</v>
      </c>
      <c r="Q379" s="13" t="s">
        <v>35</v>
      </c>
      <c r="R379" s="13" t="s">
        <v>35</v>
      </c>
      <c r="S379" s="16" t="s">
        <v>36</v>
      </c>
      <c r="T379" s="16" t="s">
        <v>36</v>
      </c>
      <c r="U379" s="17">
        <v>0</v>
      </c>
      <c r="V379" s="13" t="s">
        <v>35</v>
      </c>
    </row>
    <row r="380" spans="1:22" s="5" customFormat="1" x14ac:dyDescent="0.15">
      <c r="A380" s="10">
        <v>369</v>
      </c>
      <c r="B380" s="12" t="s">
        <v>49</v>
      </c>
      <c r="C380" s="11" t="s">
        <v>97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3" t="s">
        <v>35</v>
      </c>
      <c r="Q380" s="13" t="s">
        <v>35</v>
      </c>
      <c r="R380" s="13" t="s">
        <v>35</v>
      </c>
      <c r="S380" s="16" t="s">
        <v>36</v>
      </c>
      <c r="T380" s="16" t="s">
        <v>36</v>
      </c>
      <c r="U380" s="17">
        <v>0</v>
      </c>
      <c r="V380" s="13" t="s">
        <v>35</v>
      </c>
    </row>
    <row r="381" spans="1:22" s="5" customFormat="1" x14ac:dyDescent="0.15">
      <c r="A381" s="10">
        <v>370</v>
      </c>
      <c r="B381" s="12" t="s">
        <v>49</v>
      </c>
      <c r="C381" s="11" t="s">
        <v>97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3" t="s">
        <v>35</v>
      </c>
      <c r="Q381" s="13" t="s">
        <v>35</v>
      </c>
      <c r="R381" s="13" t="s">
        <v>35</v>
      </c>
      <c r="S381" s="16" t="s">
        <v>36</v>
      </c>
      <c r="T381" s="16" t="s">
        <v>36</v>
      </c>
      <c r="U381" s="17">
        <v>0</v>
      </c>
      <c r="V381" s="13" t="s">
        <v>35</v>
      </c>
    </row>
    <row r="382" spans="1:22" s="5" customFormat="1" x14ac:dyDescent="0.15">
      <c r="A382" s="10">
        <v>371</v>
      </c>
      <c r="B382" s="12" t="s">
        <v>49</v>
      </c>
      <c r="C382" s="11" t="s">
        <v>97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3" t="s">
        <v>35</v>
      </c>
      <c r="Q382" s="13" t="s">
        <v>35</v>
      </c>
      <c r="R382" s="13" t="s">
        <v>35</v>
      </c>
      <c r="S382" s="16" t="s">
        <v>36</v>
      </c>
      <c r="T382" s="16" t="s">
        <v>36</v>
      </c>
      <c r="U382" s="17">
        <v>0</v>
      </c>
      <c r="V382" s="13" t="s">
        <v>35</v>
      </c>
    </row>
    <row r="383" spans="1:22" s="5" customFormat="1" x14ac:dyDescent="0.15">
      <c r="A383" s="10">
        <v>372</v>
      </c>
      <c r="B383" s="12" t="s">
        <v>49</v>
      </c>
      <c r="C383" s="11" t="s">
        <v>97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3" t="s">
        <v>35</v>
      </c>
      <c r="Q383" s="13" t="s">
        <v>35</v>
      </c>
      <c r="R383" s="13" t="s">
        <v>35</v>
      </c>
      <c r="S383" s="16" t="s">
        <v>36</v>
      </c>
      <c r="T383" s="16" t="s">
        <v>36</v>
      </c>
      <c r="U383" s="17">
        <v>0</v>
      </c>
      <c r="V383" s="13" t="s">
        <v>35</v>
      </c>
    </row>
    <row r="384" spans="1:22" s="5" customFormat="1" x14ac:dyDescent="0.15">
      <c r="A384" s="10">
        <v>373</v>
      </c>
      <c r="B384" s="12" t="s">
        <v>49</v>
      </c>
      <c r="C384" s="11" t="s">
        <v>97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3" t="s">
        <v>35</v>
      </c>
      <c r="Q384" s="13" t="s">
        <v>35</v>
      </c>
      <c r="R384" s="13" t="s">
        <v>35</v>
      </c>
      <c r="S384" s="16" t="s">
        <v>36</v>
      </c>
      <c r="T384" s="16" t="s">
        <v>36</v>
      </c>
      <c r="U384" s="17">
        <v>0</v>
      </c>
      <c r="V384" s="13" t="s">
        <v>35</v>
      </c>
    </row>
    <row r="385" spans="1:22" s="5" customFormat="1" x14ac:dyDescent="0.15">
      <c r="A385" s="10">
        <v>374</v>
      </c>
      <c r="B385" s="12" t="s">
        <v>49</v>
      </c>
      <c r="C385" s="11" t="s">
        <v>97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3" t="s">
        <v>35</v>
      </c>
      <c r="Q385" s="13" t="s">
        <v>35</v>
      </c>
      <c r="R385" s="13" t="s">
        <v>35</v>
      </c>
      <c r="S385" s="16" t="s">
        <v>36</v>
      </c>
      <c r="T385" s="16" t="s">
        <v>36</v>
      </c>
      <c r="U385" s="17">
        <v>0</v>
      </c>
      <c r="V385" s="13" t="s">
        <v>35</v>
      </c>
    </row>
    <row r="386" spans="1:22" s="5" customFormat="1" x14ac:dyDescent="0.15">
      <c r="A386" s="10">
        <v>375</v>
      </c>
      <c r="B386" s="12" t="s">
        <v>49</v>
      </c>
      <c r="C386" s="11" t="s">
        <v>97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3" t="s">
        <v>35</v>
      </c>
      <c r="Q386" s="13" t="s">
        <v>35</v>
      </c>
      <c r="R386" s="13" t="s">
        <v>35</v>
      </c>
      <c r="S386" s="16" t="s">
        <v>36</v>
      </c>
      <c r="T386" s="16" t="s">
        <v>36</v>
      </c>
      <c r="U386" s="17">
        <v>0</v>
      </c>
      <c r="V386" s="13" t="s">
        <v>35</v>
      </c>
    </row>
    <row r="387" spans="1:22" s="5" customFormat="1" x14ac:dyDescent="0.15">
      <c r="A387" s="10">
        <v>376</v>
      </c>
      <c r="B387" s="12" t="s">
        <v>49</v>
      </c>
      <c r="C387" s="11" t="s">
        <v>97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3" t="s">
        <v>35</v>
      </c>
      <c r="Q387" s="13" t="s">
        <v>35</v>
      </c>
      <c r="R387" s="13" t="s">
        <v>35</v>
      </c>
      <c r="S387" s="16" t="s">
        <v>36</v>
      </c>
      <c r="T387" s="16" t="s">
        <v>36</v>
      </c>
      <c r="U387" s="17">
        <v>0</v>
      </c>
      <c r="V387" s="13" t="s">
        <v>35</v>
      </c>
    </row>
    <row r="388" spans="1:22" s="5" customFormat="1" x14ac:dyDescent="0.15">
      <c r="A388" s="10">
        <v>377</v>
      </c>
      <c r="B388" s="12" t="s">
        <v>49</v>
      </c>
      <c r="C388" s="11" t="s">
        <v>97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3" t="s">
        <v>35</v>
      </c>
      <c r="Q388" s="13" t="s">
        <v>35</v>
      </c>
      <c r="R388" s="13" t="s">
        <v>35</v>
      </c>
      <c r="S388" s="16" t="s">
        <v>36</v>
      </c>
      <c r="T388" s="16" t="s">
        <v>36</v>
      </c>
      <c r="U388" s="17">
        <v>0</v>
      </c>
      <c r="V388" s="13" t="s">
        <v>35</v>
      </c>
    </row>
    <row r="389" spans="1:22" s="5" customFormat="1" x14ac:dyDescent="0.15">
      <c r="A389" s="10">
        <v>378</v>
      </c>
      <c r="B389" s="12" t="s">
        <v>49</v>
      </c>
      <c r="C389" s="11" t="s">
        <v>97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3" t="s">
        <v>35</v>
      </c>
      <c r="Q389" s="13" t="s">
        <v>35</v>
      </c>
      <c r="R389" s="13" t="s">
        <v>35</v>
      </c>
      <c r="S389" s="16" t="s">
        <v>36</v>
      </c>
      <c r="T389" s="16" t="s">
        <v>36</v>
      </c>
      <c r="U389" s="17">
        <v>0</v>
      </c>
      <c r="V389" s="13" t="s">
        <v>35</v>
      </c>
    </row>
    <row r="390" spans="1:22" s="5" customFormat="1" x14ac:dyDescent="0.15">
      <c r="A390" s="10">
        <v>379</v>
      </c>
      <c r="B390" s="12" t="s">
        <v>49</v>
      </c>
      <c r="C390" s="11" t="s">
        <v>97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3" t="s">
        <v>35</v>
      </c>
      <c r="Q390" s="13" t="s">
        <v>35</v>
      </c>
      <c r="R390" s="13" t="s">
        <v>35</v>
      </c>
      <c r="S390" s="16" t="s">
        <v>36</v>
      </c>
      <c r="T390" s="16" t="s">
        <v>36</v>
      </c>
      <c r="U390" s="17">
        <v>0</v>
      </c>
      <c r="V390" s="13" t="s">
        <v>35</v>
      </c>
    </row>
    <row r="391" spans="1:22" s="5" customFormat="1" x14ac:dyDescent="0.15">
      <c r="A391" s="10">
        <v>380</v>
      </c>
      <c r="B391" s="12" t="s">
        <v>49</v>
      </c>
      <c r="C391" s="11" t="s">
        <v>97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3" t="s">
        <v>35</v>
      </c>
      <c r="Q391" s="13" t="s">
        <v>35</v>
      </c>
      <c r="R391" s="13" t="s">
        <v>35</v>
      </c>
      <c r="S391" s="16" t="s">
        <v>36</v>
      </c>
      <c r="T391" s="16" t="s">
        <v>36</v>
      </c>
      <c r="U391" s="17">
        <v>0</v>
      </c>
      <c r="V391" s="13" t="s">
        <v>35</v>
      </c>
    </row>
    <row r="392" spans="1:22" s="5" customFormat="1" x14ac:dyDescent="0.15">
      <c r="A392" s="10">
        <v>381</v>
      </c>
      <c r="B392" s="12" t="s">
        <v>49</v>
      </c>
      <c r="C392" s="11" t="s">
        <v>97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3" t="s">
        <v>35</v>
      </c>
      <c r="Q392" s="13" t="s">
        <v>35</v>
      </c>
      <c r="R392" s="13" t="s">
        <v>35</v>
      </c>
      <c r="S392" s="16" t="s">
        <v>36</v>
      </c>
      <c r="T392" s="16" t="s">
        <v>36</v>
      </c>
      <c r="U392" s="17">
        <v>0</v>
      </c>
      <c r="V392" s="13" t="s">
        <v>35</v>
      </c>
    </row>
    <row r="393" spans="1:22" s="5" customFormat="1" x14ac:dyDescent="0.15">
      <c r="A393" s="10">
        <v>382</v>
      </c>
      <c r="B393" s="12" t="s">
        <v>49</v>
      </c>
      <c r="C393" s="11" t="s">
        <v>97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3" t="s">
        <v>35</v>
      </c>
      <c r="Q393" s="13" t="s">
        <v>35</v>
      </c>
      <c r="R393" s="13" t="s">
        <v>35</v>
      </c>
      <c r="S393" s="16" t="s">
        <v>36</v>
      </c>
      <c r="T393" s="16" t="s">
        <v>36</v>
      </c>
      <c r="U393" s="17">
        <v>0</v>
      </c>
      <c r="V393" s="13" t="s">
        <v>35</v>
      </c>
    </row>
    <row r="394" spans="1:22" s="5" customFormat="1" x14ac:dyDescent="0.15">
      <c r="A394" s="10">
        <v>383</v>
      </c>
      <c r="B394" s="12" t="s">
        <v>49</v>
      </c>
      <c r="C394" s="11" t="s">
        <v>97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3" t="s">
        <v>35</v>
      </c>
      <c r="Q394" s="13" t="s">
        <v>35</v>
      </c>
      <c r="R394" s="13" t="s">
        <v>35</v>
      </c>
      <c r="S394" s="16" t="s">
        <v>36</v>
      </c>
      <c r="T394" s="16" t="s">
        <v>36</v>
      </c>
      <c r="U394" s="17">
        <v>0</v>
      </c>
      <c r="V394" s="13" t="s">
        <v>35</v>
      </c>
    </row>
    <row r="395" spans="1:22" s="5" customFormat="1" x14ac:dyDescent="0.15">
      <c r="A395" s="10">
        <v>384</v>
      </c>
      <c r="B395" s="12" t="s">
        <v>49</v>
      </c>
      <c r="C395" s="11" t="s">
        <v>97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3" t="s">
        <v>35</v>
      </c>
      <c r="Q395" s="13" t="s">
        <v>35</v>
      </c>
      <c r="R395" s="13" t="s">
        <v>35</v>
      </c>
      <c r="S395" s="16" t="s">
        <v>36</v>
      </c>
      <c r="T395" s="16" t="s">
        <v>36</v>
      </c>
      <c r="U395" s="17">
        <v>0</v>
      </c>
      <c r="V395" s="13" t="s">
        <v>35</v>
      </c>
    </row>
    <row r="396" spans="1:22" s="5" customFormat="1" x14ac:dyDescent="0.15">
      <c r="A396" s="10">
        <v>385</v>
      </c>
      <c r="B396" s="12" t="s">
        <v>49</v>
      </c>
      <c r="C396" s="11" t="s">
        <v>97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3" t="s">
        <v>35</v>
      </c>
      <c r="Q396" s="13" t="s">
        <v>35</v>
      </c>
      <c r="R396" s="13" t="s">
        <v>35</v>
      </c>
      <c r="S396" s="16" t="s">
        <v>36</v>
      </c>
      <c r="T396" s="16" t="s">
        <v>36</v>
      </c>
      <c r="U396" s="17">
        <v>0</v>
      </c>
      <c r="V396" s="13" t="s">
        <v>35</v>
      </c>
    </row>
    <row r="397" spans="1:22" s="5" customFormat="1" x14ac:dyDescent="0.15">
      <c r="A397" s="10">
        <v>386</v>
      </c>
      <c r="B397" s="12" t="s">
        <v>49</v>
      </c>
      <c r="C397" s="11" t="s">
        <v>97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3" t="s">
        <v>35</v>
      </c>
      <c r="Q397" s="13" t="s">
        <v>35</v>
      </c>
      <c r="R397" s="13" t="s">
        <v>35</v>
      </c>
      <c r="S397" s="16" t="s">
        <v>36</v>
      </c>
      <c r="T397" s="16" t="s">
        <v>36</v>
      </c>
      <c r="U397" s="17">
        <v>0</v>
      </c>
      <c r="V397" s="13" t="s">
        <v>35</v>
      </c>
    </row>
    <row r="398" spans="1:22" s="5" customFormat="1" x14ac:dyDescent="0.15">
      <c r="A398" s="10">
        <v>387</v>
      </c>
      <c r="B398" s="12" t="s">
        <v>49</v>
      </c>
      <c r="C398" s="11" t="s">
        <v>97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3" t="s">
        <v>35</v>
      </c>
      <c r="Q398" s="13" t="s">
        <v>35</v>
      </c>
      <c r="R398" s="13" t="s">
        <v>35</v>
      </c>
      <c r="S398" s="16" t="s">
        <v>36</v>
      </c>
      <c r="T398" s="16" t="s">
        <v>36</v>
      </c>
      <c r="U398" s="17">
        <v>0</v>
      </c>
      <c r="V398" s="13" t="s">
        <v>35</v>
      </c>
    </row>
    <row r="399" spans="1:22" s="5" customFormat="1" x14ac:dyDescent="0.15">
      <c r="A399" s="10">
        <v>388</v>
      </c>
      <c r="B399" s="12" t="s">
        <v>49</v>
      </c>
      <c r="C399" s="11" t="s">
        <v>97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3" t="s">
        <v>35</v>
      </c>
      <c r="Q399" s="13" t="s">
        <v>35</v>
      </c>
      <c r="R399" s="13" t="s">
        <v>35</v>
      </c>
      <c r="S399" s="16" t="s">
        <v>36</v>
      </c>
      <c r="T399" s="16" t="s">
        <v>36</v>
      </c>
      <c r="U399" s="17">
        <v>0</v>
      </c>
      <c r="V399" s="13" t="s">
        <v>35</v>
      </c>
    </row>
    <row r="400" spans="1:22" s="5" customFormat="1" x14ac:dyDescent="0.15">
      <c r="A400" s="10">
        <v>389</v>
      </c>
      <c r="B400" s="12" t="s">
        <v>49</v>
      </c>
      <c r="C400" s="11" t="s">
        <v>97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3" t="s">
        <v>35</v>
      </c>
      <c r="Q400" s="13" t="s">
        <v>35</v>
      </c>
      <c r="R400" s="13" t="s">
        <v>35</v>
      </c>
      <c r="S400" s="16" t="s">
        <v>36</v>
      </c>
      <c r="T400" s="16" t="s">
        <v>36</v>
      </c>
      <c r="U400" s="17">
        <v>0</v>
      </c>
      <c r="V400" s="13" t="s">
        <v>35</v>
      </c>
    </row>
    <row r="401" spans="1:22" s="5" customFormat="1" x14ac:dyDescent="0.15">
      <c r="A401" s="10">
        <v>390</v>
      </c>
      <c r="B401" s="12" t="s">
        <v>49</v>
      </c>
      <c r="C401" s="11" t="s">
        <v>97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3" t="s">
        <v>35</v>
      </c>
      <c r="Q401" s="13" t="s">
        <v>35</v>
      </c>
      <c r="R401" s="13" t="s">
        <v>35</v>
      </c>
      <c r="S401" s="16" t="s">
        <v>36</v>
      </c>
      <c r="T401" s="16" t="s">
        <v>36</v>
      </c>
      <c r="U401" s="17">
        <v>0</v>
      </c>
      <c r="V401" s="13" t="s">
        <v>35</v>
      </c>
    </row>
    <row r="402" spans="1:22" s="5" customFormat="1" x14ac:dyDescent="0.15">
      <c r="A402" s="10">
        <v>391</v>
      </c>
      <c r="B402" s="12" t="s">
        <v>49</v>
      </c>
      <c r="C402" s="11" t="s">
        <v>97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3" t="s">
        <v>35</v>
      </c>
      <c r="Q402" s="13" t="s">
        <v>35</v>
      </c>
      <c r="R402" s="13" t="s">
        <v>35</v>
      </c>
      <c r="S402" s="16" t="s">
        <v>36</v>
      </c>
      <c r="T402" s="16" t="s">
        <v>36</v>
      </c>
      <c r="U402" s="17">
        <v>0</v>
      </c>
      <c r="V402" s="13" t="s">
        <v>35</v>
      </c>
    </row>
    <row r="403" spans="1:22" s="5" customFormat="1" x14ac:dyDescent="0.15">
      <c r="A403" s="10">
        <v>392</v>
      </c>
      <c r="B403" s="12" t="s">
        <v>49</v>
      </c>
      <c r="C403" s="11" t="s">
        <v>97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3" t="s">
        <v>35</v>
      </c>
      <c r="Q403" s="13" t="s">
        <v>35</v>
      </c>
      <c r="R403" s="13" t="s">
        <v>35</v>
      </c>
      <c r="S403" s="16" t="s">
        <v>36</v>
      </c>
      <c r="T403" s="16" t="s">
        <v>36</v>
      </c>
      <c r="U403" s="17">
        <v>0</v>
      </c>
      <c r="V403" s="13" t="s">
        <v>35</v>
      </c>
    </row>
    <row r="404" spans="1:22" s="5" customFormat="1" x14ac:dyDescent="0.15">
      <c r="A404" s="10">
        <v>393</v>
      </c>
      <c r="B404" s="12" t="s">
        <v>49</v>
      </c>
      <c r="C404" s="11" t="s">
        <v>97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3" t="s">
        <v>35</v>
      </c>
      <c r="Q404" s="13" t="s">
        <v>35</v>
      </c>
      <c r="R404" s="13" t="s">
        <v>35</v>
      </c>
      <c r="S404" s="16" t="s">
        <v>36</v>
      </c>
      <c r="T404" s="16" t="s">
        <v>36</v>
      </c>
      <c r="U404" s="17">
        <v>0</v>
      </c>
      <c r="V404" s="13" t="s">
        <v>35</v>
      </c>
    </row>
    <row r="405" spans="1:22" s="5" customFormat="1" x14ac:dyDescent="0.15">
      <c r="A405" s="10">
        <v>394</v>
      </c>
      <c r="B405" s="12" t="s">
        <v>49</v>
      </c>
      <c r="C405" s="11" t="s">
        <v>97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3" t="s">
        <v>35</v>
      </c>
      <c r="Q405" s="13" t="s">
        <v>35</v>
      </c>
      <c r="R405" s="13" t="s">
        <v>35</v>
      </c>
      <c r="S405" s="16" t="s">
        <v>36</v>
      </c>
      <c r="T405" s="16" t="s">
        <v>36</v>
      </c>
      <c r="U405" s="17">
        <v>0</v>
      </c>
      <c r="V405" s="13" t="s">
        <v>35</v>
      </c>
    </row>
    <row r="406" spans="1:22" s="5" customFormat="1" x14ac:dyDescent="0.15">
      <c r="A406" s="10">
        <v>395</v>
      </c>
      <c r="B406" s="12" t="s">
        <v>49</v>
      </c>
      <c r="C406" s="11" t="s">
        <v>97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3" t="s">
        <v>35</v>
      </c>
      <c r="Q406" s="13" t="s">
        <v>35</v>
      </c>
      <c r="R406" s="13" t="s">
        <v>35</v>
      </c>
      <c r="S406" s="16" t="s">
        <v>36</v>
      </c>
      <c r="T406" s="16" t="s">
        <v>36</v>
      </c>
      <c r="U406" s="17">
        <v>0</v>
      </c>
      <c r="V406" s="13" t="s">
        <v>35</v>
      </c>
    </row>
    <row r="407" spans="1:22" s="5" customFormat="1" x14ac:dyDescent="0.15">
      <c r="A407" s="10">
        <v>396</v>
      </c>
      <c r="B407" s="12" t="s">
        <v>49</v>
      </c>
      <c r="C407" s="11" t="s">
        <v>97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3" t="s">
        <v>35</v>
      </c>
      <c r="Q407" s="13" t="s">
        <v>35</v>
      </c>
      <c r="R407" s="13" t="s">
        <v>35</v>
      </c>
      <c r="S407" s="16" t="s">
        <v>36</v>
      </c>
      <c r="T407" s="16" t="s">
        <v>36</v>
      </c>
      <c r="U407" s="17">
        <v>0</v>
      </c>
      <c r="V407" s="13" t="s">
        <v>35</v>
      </c>
    </row>
    <row r="408" spans="1:22" s="5" customFormat="1" x14ac:dyDescent="0.15">
      <c r="A408" s="10">
        <v>397</v>
      </c>
      <c r="B408" s="12" t="s">
        <v>49</v>
      </c>
      <c r="C408" s="11" t="s">
        <v>97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3" t="s">
        <v>35</v>
      </c>
      <c r="Q408" s="13" t="s">
        <v>35</v>
      </c>
      <c r="R408" s="13" t="s">
        <v>35</v>
      </c>
      <c r="S408" s="16" t="s">
        <v>36</v>
      </c>
      <c r="T408" s="16" t="s">
        <v>36</v>
      </c>
      <c r="U408" s="17">
        <v>0</v>
      </c>
      <c r="V408" s="13" t="s">
        <v>35</v>
      </c>
    </row>
    <row r="409" spans="1:22" s="5" customFormat="1" x14ac:dyDescent="0.15">
      <c r="A409" s="10">
        <v>398</v>
      </c>
      <c r="B409" s="12" t="s">
        <v>49</v>
      </c>
      <c r="C409" s="11" t="s">
        <v>97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3" t="s">
        <v>35</v>
      </c>
      <c r="Q409" s="13" t="s">
        <v>35</v>
      </c>
      <c r="R409" s="13" t="s">
        <v>35</v>
      </c>
      <c r="S409" s="16" t="s">
        <v>36</v>
      </c>
      <c r="T409" s="16" t="s">
        <v>36</v>
      </c>
      <c r="U409" s="17">
        <v>0</v>
      </c>
      <c r="V409" s="13" t="s">
        <v>35</v>
      </c>
    </row>
    <row r="410" spans="1:22" s="5" customFormat="1" x14ac:dyDescent="0.15">
      <c r="A410" s="10">
        <v>399</v>
      </c>
      <c r="B410" s="12" t="s">
        <v>49</v>
      </c>
      <c r="C410" s="11" t="s">
        <v>97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3" t="s">
        <v>35</v>
      </c>
      <c r="Q410" s="13" t="s">
        <v>35</v>
      </c>
      <c r="R410" s="13" t="s">
        <v>35</v>
      </c>
      <c r="S410" s="16" t="s">
        <v>36</v>
      </c>
      <c r="T410" s="16" t="s">
        <v>36</v>
      </c>
      <c r="U410" s="17">
        <v>0</v>
      </c>
      <c r="V410" s="13" t="s">
        <v>35</v>
      </c>
    </row>
    <row r="411" spans="1:22" s="5" customFormat="1" x14ac:dyDescent="0.15">
      <c r="A411" s="10">
        <v>400</v>
      </c>
      <c r="B411" s="12" t="s">
        <v>49</v>
      </c>
      <c r="C411" s="11" t="s">
        <v>97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3" t="s">
        <v>35</v>
      </c>
      <c r="Q411" s="13" t="s">
        <v>35</v>
      </c>
      <c r="R411" s="13" t="s">
        <v>35</v>
      </c>
      <c r="S411" s="16" t="s">
        <v>36</v>
      </c>
      <c r="T411" s="16" t="s">
        <v>36</v>
      </c>
      <c r="U411" s="17">
        <v>0</v>
      </c>
      <c r="V411" s="13" t="s">
        <v>35</v>
      </c>
    </row>
    <row r="412" spans="1:22" s="5" customFormat="1" x14ac:dyDescent="0.15">
      <c r="A412" s="10">
        <v>401</v>
      </c>
      <c r="B412" s="12" t="s">
        <v>49</v>
      </c>
      <c r="C412" s="11" t="s">
        <v>97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3" t="s">
        <v>35</v>
      </c>
      <c r="Q412" s="13" t="s">
        <v>35</v>
      </c>
      <c r="R412" s="13" t="s">
        <v>35</v>
      </c>
      <c r="S412" s="16" t="s">
        <v>36</v>
      </c>
      <c r="T412" s="16" t="s">
        <v>36</v>
      </c>
      <c r="U412" s="17">
        <v>0</v>
      </c>
      <c r="V412" s="13" t="s">
        <v>35</v>
      </c>
    </row>
    <row r="413" spans="1:22" s="5" customFormat="1" x14ac:dyDescent="0.15">
      <c r="A413" s="10">
        <v>402</v>
      </c>
      <c r="B413" s="12" t="s">
        <v>49</v>
      </c>
      <c r="C413" s="11" t="s">
        <v>97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3" t="s">
        <v>35</v>
      </c>
      <c r="Q413" s="13" t="s">
        <v>35</v>
      </c>
      <c r="R413" s="13" t="s">
        <v>35</v>
      </c>
      <c r="S413" s="16" t="s">
        <v>36</v>
      </c>
      <c r="T413" s="16" t="s">
        <v>36</v>
      </c>
      <c r="U413" s="17">
        <v>0</v>
      </c>
      <c r="V413" s="13" t="s">
        <v>35</v>
      </c>
    </row>
    <row r="414" spans="1:22" s="5" customFormat="1" x14ac:dyDescent="0.15">
      <c r="A414" s="10">
        <v>403</v>
      </c>
      <c r="B414" s="12" t="s">
        <v>49</v>
      </c>
      <c r="C414" s="11" t="s">
        <v>97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3" t="s">
        <v>35</v>
      </c>
      <c r="Q414" s="13" t="s">
        <v>35</v>
      </c>
      <c r="R414" s="13" t="s">
        <v>35</v>
      </c>
      <c r="S414" s="16" t="s">
        <v>36</v>
      </c>
      <c r="T414" s="16" t="s">
        <v>36</v>
      </c>
      <c r="U414" s="17">
        <v>0</v>
      </c>
      <c r="V414" s="13" t="s">
        <v>35</v>
      </c>
    </row>
    <row r="415" spans="1:22" s="5" customFormat="1" x14ac:dyDescent="0.15">
      <c r="A415" s="10">
        <v>404</v>
      </c>
      <c r="B415" s="12" t="s">
        <v>49</v>
      </c>
      <c r="C415" s="11" t="s">
        <v>97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3" t="s">
        <v>35</v>
      </c>
      <c r="Q415" s="13" t="s">
        <v>35</v>
      </c>
      <c r="R415" s="13" t="s">
        <v>35</v>
      </c>
      <c r="S415" s="16" t="s">
        <v>36</v>
      </c>
      <c r="T415" s="16" t="s">
        <v>36</v>
      </c>
      <c r="U415" s="17">
        <v>0</v>
      </c>
      <c r="V415" s="13" t="s">
        <v>35</v>
      </c>
    </row>
    <row r="416" spans="1:22" s="5" customFormat="1" x14ac:dyDescent="0.15">
      <c r="A416" s="10">
        <v>405</v>
      </c>
      <c r="B416" s="12" t="s">
        <v>49</v>
      </c>
      <c r="C416" s="11" t="s">
        <v>97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3" t="s">
        <v>35</v>
      </c>
      <c r="Q416" s="13" t="s">
        <v>35</v>
      </c>
      <c r="R416" s="13" t="s">
        <v>35</v>
      </c>
      <c r="S416" s="16" t="s">
        <v>36</v>
      </c>
      <c r="T416" s="16" t="s">
        <v>36</v>
      </c>
      <c r="U416" s="17">
        <v>0</v>
      </c>
      <c r="V416" s="13" t="s">
        <v>35</v>
      </c>
    </row>
    <row r="417" spans="1:22" s="5" customFormat="1" x14ac:dyDescent="0.15">
      <c r="A417" s="10">
        <v>406</v>
      </c>
      <c r="B417" s="12" t="s">
        <v>49</v>
      </c>
      <c r="C417" s="11" t="s">
        <v>97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3" t="s">
        <v>35</v>
      </c>
      <c r="Q417" s="13" t="s">
        <v>35</v>
      </c>
      <c r="R417" s="13" t="s">
        <v>35</v>
      </c>
      <c r="S417" s="16" t="s">
        <v>36</v>
      </c>
      <c r="T417" s="16" t="s">
        <v>36</v>
      </c>
      <c r="U417" s="17">
        <v>0</v>
      </c>
      <c r="V417" s="13" t="s">
        <v>35</v>
      </c>
    </row>
    <row r="418" spans="1:22" s="5" customFormat="1" x14ac:dyDescent="0.15">
      <c r="A418" s="10">
        <v>407</v>
      </c>
      <c r="B418" s="12" t="s">
        <v>49</v>
      </c>
      <c r="C418" s="11" t="s">
        <v>97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3" t="s">
        <v>35</v>
      </c>
      <c r="Q418" s="13" t="s">
        <v>35</v>
      </c>
      <c r="R418" s="13" t="s">
        <v>35</v>
      </c>
      <c r="S418" s="16" t="s">
        <v>36</v>
      </c>
      <c r="T418" s="16" t="s">
        <v>36</v>
      </c>
      <c r="U418" s="17">
        <v>0</v>
      </c>
      <c r="V418" s="13" t="s">
        <v>35</v>
      </c>
    </row>
    <row r="419" spans="1:22" s="5" customFormat="1" x14ac:dyDescent="0.15">
      <c r="A419" s="10">
        <v>408</v>
      </c>
      <c r="B419" s="12" t="s">
        <v>49</v>
      </c>
      <c r="C419" s="11" t="s">
        <v>97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3" t="s">
        <v>35</v>
      </c>
      <c r="Q419" s="13" t="s">
        <v>35</v>
      </c>
      <c r="R419" s="13" t="s">
        <v>35</v>
      </c>
      <c r="S419" s="16" t="s">
        <v>36</v>
      </c>
      <c r="T419" s="16" t="s">
        <v>36</v>
      </c>
      <c r="U419" s="17">
        <v>0</v>
      </c>
      <c r="V419" s="13" t="s">
        <v>35</v>
      </c>
    </row>
    <row r="420" spans="1:22" s="5" customFormat="1" x14ac:dyDescent="0.15">
      <c r="A420" s="10">
        <v>409</v>
      </c>
      <c r="B420" s="12" t="s">
        <v>49</v>
      </c>
      <c r="C420" s="11" t="s">
        <v>97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3" t="s">
        <v>35</v>
      </c>
      <c r="Q420" s="13" t="s">
        <v>35</v>
      </c>
      <c r="R420" s="13" t="s">
        <v>35</v>
      </c>
      <c r="S420" s="16" t="s">
        <v>36</v>
      </c>
      <c r="T420" s="16" t="s">
        <v>36</v>
      </c>
      <c r="U420" s="17">
        <v>0</v>
      </c>
      <c r="V420" s="13" t="s">
        <v>35</v>
      </c>
    </row>
    <row r="421" spans="1:22" s="5" customFormat="1" x14ac:dyDescent="0.15">
      <c r="A421" s="10">
        <v>410</v>
      </c>
      <c r="B421" s="12" t="s">
        <v>49</v>
      </c>
      <c r="C421" s="11" t="s">
        <v>97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3" t="s">
        <v>35</v>
      </c>
      <c r="Q421" s="13" t="s">
        <v>35</v>
      </c>
      <c r="R421" s="13" t="s">
        <v>35</v>
      </c>
      <c r="S421" s="16" t="s">
        <v>36</v>
      </c>
      <c r="T421" s="16" t="s">
        <v>36</v>
      </c>
      <c r="U421" s="17">
        <v>0</v>
      </c>
      <c r="V421" s="13" t="s">
        <v>35</v>
      </c>
    </row>
    <row r="422" spans="1:22" s="5" customFormat="1" x14ac:dyDescent="0.15">
      <c r="A422" s="10">
        <v>411</v>
      </c>
      <c r="B422" s="12" t="s">
        <v>49</v>
      </c>
      <c r="C422" s="11" t="s">
        <v>97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3" t="s">
        <v>35</v>
      </c>
      <c r="Q422" s="13" t="s">
        <v>35</v>
      </c>
      <c r="R422" s="13" t="s">
        <v>35</v>
      </c>
      <c r="S422" s="16" t="s">
        <v>36</v>
      </c>
      <c r="T422" s="16" t="s">
        <v>36</v>
      </c>
      <c r="U422" s="17">
        <v>0</v>
      </c>
      <c r="V422" s="13" t="s">
        <v>35</v>
      </c>
    </row>
    <row r="423" spans="1:22" s="5" customFormat="1" x14ac:dyDescent="0.15">
      <c r="A423" s="10">
        <v>412</v>
      </c>
      <c r="B423" s="12" t="s">
        <v>49</v>
      </c>
      <c r="C423" s="11" t="s">
        <v>97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3" t="s">
        <v>35</v>
      </c>
      <c r="Q423" s="13" t="s">
        <v>35</v>
      </c>
      <c r="R423" s="13" t="s">
        <v>35</v>
      </c>
      <c r="S423" s="16" t="s">
        <v>36</v>
      </c>
      <c r="T423" s="16" t="s">
        <v>36</v>
      </c>
      <c r="U423" s="17">
        <v>0</v>
      </c>
      <c r="V423" s="13" t="s">
        <v>35</v>
      </c>
    </row>
    <row r="424" spans="1:22" s="5" customFormat="1" x14ac:dyDescent="0.15">
      <c r="A424" s="10">
        <v>413</v>
      </c>
      <c r="B424" s="12" t="s">
        <v>49</v>
      </c>
      <c r="C424" s="11" t="s">
        <v>97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3" t="s">
        <v>35</v>
      </c>
      <c r="Q424" s="13" t="s">
        <v>35</v>
      </c>
      <c r="R424" s="13" t="s">
        <v>35</v>
      </c>
      <c r="S424" s="16" t="s">
        <v>36</v>
      </c>
      <c r="T424" s="16" t="s">
        <v>36</v>
      </c>
      <c r="U424" s="17">
        <v>0</v>
      </c>
      <c r="V424" s="13" t="s">
        <v>35</v>
      </c>
    </row>
    <row r="425" spans="1:22" s="5" customFormat="1" x14ac:dyDescent="0.15">
      <c r="A425" s="10">
        <v>414</v>
      </c>
      <c r="B425" s="12" t="s">
        <v>49</v>
      </c>
      <c r="C425" s="11" t="s">
        <v>97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3" t="s">
        <v>35</v>
      </c>
      <c r="Q425" s="13" t="s">
        <v>35</v>
      </c>
      <c r="R425" s="13" t="s">
        <v>35</v>
      </c>
      <c r="S425" s="16" t="s">
        <v>36</v>
      </c>
      <c r="T425" s="16" t="s">
        <v>36</v>
      </c>
      <c r="U425" s="17">
        <v>0</v>
      </c>
      <c r="V425" s="13" t="s">
        <v>35</v>
      </c>
    </row>
    <row r="426" spans="1:22" s="5" customFormat="1" x14ac:dyDescent="0.15">
      <c r="A426" s="10">
        <v>415</v>
      </c>
      <c r="B426" s="12" t="s">
        <v>49</v>
      </c>
      <c r="C426" s="11" t="s">
        <v>97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3" t="s">
        <v>35</v>
      </c>
      <c r="Q426" s="13" t="s">
        <v>35</v>
      </c>
      <c r="R426" s="13" t="s">
        <v>35</v>
      </c>
      <c r="S426" s="16" t="s">
        <v>36</v>
      </c>
      <c r="T426" s="16" t="s">
        <v>36</v>
      </c>
      <c r="U426" s="17">
        <v>0</v>
      </c>
      <c r="V426" s="13" t="s">
        <v>35</v>
      </c>
    </row>
    <row r="427" spans="1:22" s="5" customFormat="1" x14ac:dyDescent="0.15">
      <c r="A427" s="10">
        <v>416</v>
      </c>
      <c r="B427" s="12" t="s">
        <v>49</v>
      </c>
      <c r="C427" s="11" t="s">
        <v>97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3" t="s">
        <v>35</v>
      </c>
      <c r="Q427" s="13" t="s">
        <v>35</v>
      </c>
      <c r="R427" s="13" t="s">
        <v>35</v>
      </c>
      <c r="S427" s="16" t="s">
        <v>36</v>
      </c>
      <c r="T427" s="16" t="s">
        <v>36</v>
      </c>
      <c r="U427" s="17">
        <v>0</v>
      </c>
      <c r="V427" s="13" t="s">
        <v>35</v>
      </c>
    </row>
    <row r="428" spans="1:22" s="5" customFormat="1" x14ac:dyDescent="0.15">
      <c r="A428" s="10">
        <v>417</v>
      </c>
      <c r="B428" s="12" t="s">
        <v>49</v>
      </c>
      <c r="C428" s="11" t="s">
        <v>97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3" t="s">
        <v>35</v>
      </c>
      <c r="Q428" s="13" t="s">
        <v>35</v>
      </c>
      <c r="R428" s="13" t="s">
        <v>35</v>
      </c>
      <c r="S428" s="16" t="s">
        <v>36</v>
      </c>
      <c r="T428" s="16" t="s">
        <v>36</v>
      </c>
      <c r="U428" s="17">
        <v>0</v>
      </c>
      <c r="V428" s="13" t="s">
        <v>35</v>
      </c>
    </row>
    <row r="429" spans="1:22" s="5" customFormat="1" x14ac:dyDescent="0.15">
      <c r="A429" s="10">
        <v>418</v>
      </c>
      <c r="B429" s="12" t="s">
        <v>49</v>
      </c>
      <c r="C429" s="11" t="s">
        <v>97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3" t="s">
        <v>35</v>
      </c>
      <c r="Q429" s="13" t="s">
        <v>35</v>
      </c>
      <c r="R429" s="13" t="s">
        <v>35</v>
      </c>
      <c r="S429" s="16" t="s">
        <v>36</v>
      </c>
      <c r="T429" s="16" t="s">
        <v>36</v>
      </c>
      <c r="U429" s="17">
        <v>0</v>
      </c>
      <c r="V429" s="13" t="s">
        <v>35</v>
      </c>
    </row>
    <row r="430" spans="1:22" s="5" customFormat="1" x14ac:dyDescent="0.15">
      <c r="A430" s="10">
        <v>419</v>
      </c>
      <c r="B430" s="12" t="s">
        <v>49</v>
      </c>
      <c r="C430" s="11" t="s">
        <v>97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3" t="s">
        <v>35</v>
      </c>
      <c r="Q430" s="13" t="s">
        <v>35</v>
      </c>
      <c r="R430" s="13" t="s">
        <v>35</v>
      </c>
      <c r="S430" s="16" t="s">
        <v>36</v>
      </c>
      <c r="T430" s="16" t="s">
        <v>36</v>
      </c>
      <c r="U430" s="17">
        <v>0</v>
      </c>
      <c r="V430" s="13" t="s">
        <v>35</v>
      </c>
    </row>
    <row r="431" spans="1:22" s="5" customFormat="1" x14ac:dyDescent="0.15">
      <c r="A431" s="10">
        <v>420</v>
      </c>
      <c r="B431" s="12" t="s">
        <v>49</v>
      </c>
      <c r="C431" s="11" t="s">
        <v>97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3" t="s">
        <v>35</v>
      </c>
      <c r="Q431" s="13" t="s">
        <v>35</v>
      </c>
      <c r="R431" s="13" t="s">
        <v>35</v>
      </c>
      <c r="S431" s="16" t="s">
        <v>36</v>
      </c>
      <c r="T431" s="16" t="s">
        <v>36</v>
      </c>
      <c r="U431" s="17">
        <v>0</v>
      </c>
      <c r="V431" s="13" t="s">
        <v>35</v>
      </c>
    </row>
    <row r="432" spans="1:22" s="5" customFormat="1" x14ac:dyDescent="0.15">
      <c r="A432" s="10">
        <v>421</v>
      </c>
      <c r="B432" s="12" t="s">
        <v>49</v>
      </c>
      <c r="C432" s="11" t="s">
        <v>97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3" t="s">
        <v>35</v>
      </c>
      <c r="Q432" s="13" t="s">
        <v>35</v>
      </c>
      <c r="R432" s="13" t="s">
        <v>35</v>
      </c>
      <c r="S432" s="16" t="s">
        <v>36</v>
      </c>
      <c r="T432" s="16" t="s">
        <v>36</v>
      </c>
      <c r="U432" s="17">
        <v>0</v>
      </c>
      <c r="V432" s="13" t="s">
        <v>35</v>
      </c>
    </row>
    <row r="433" spans="1:22" s="5" customFormat="1" x14ac:dyDescent="0.15">
      <c r="A433" s="10">
        <v>422</v>
      </c>
      <c r="B433" s="12" t="s">
        <v>49</v>
      </c>
      <c r="C433" s="11" t="s">
        <v>97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3" t="s">
        <v>35</v>
      </c>
      <c r="Q433" s="13" t="s">
        <v>35</v>
      </c>
      <c r="R433" s="13" t="s">
        <v>35</v>
      </c>
      <c r="S433" s="16" t="s">
        <v>36</v>
      </c>
      <c r="T433" s="16" t="s">
        <v>36</v>
      </c>
      <c r="U433" s="17">
        <v>0</v>
      </c>
      <c r="V433" s="13" t="s">
        <v>35</v>
      </c>
    </row>
    <row r="434" spans="1:22" s="5" customFormat="1" x14ac:dyDescent="0.15">
      <c r="A434" s="10">
        <v>423</v>
      </c>
      <c r="B434" s="12" t="s">
        <v>49</v>
      </c>
      <c r="C434" s="11" t="s">
        <v>97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3" t="s">
        <v>35</v>
      </c>
      <c r="Q434" s="13" t="s">
        <v>35</v>
      </c>
      <c r="R434" s="13" t="s">
        <v>35</v>
      </c>
      <c r="S434" s="16" t="s">
        <v>36</v>
      </c>
      <c r="T434" s="16" t="s">
        <v>36</v>
      </c>
      <c r="U434" s="17">
        <v>0</v>
      </c>
      <c r="V434" s="13" t="s">
        <v>35</v>
      </c>
    </row>
    <row r="435" spans="1:22" s="5" customFormat="1" x14ac:dyDescent="0.15">
      <c r="A435" s="10">
        <v>424</v>
      </c>
      <c r="B435" s="12" t="s">
        <v>49</v>
      </c>
      <c r="C435" s="11" t="s">
        <v>97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3" t="s">
        <v>35</v>
      </c>
      <c r="Q435" s="13" t="s">
        <v>35</v>
      </c>
      <c r="R435" s="13" t="s">
        <v>35</v>
      </c>
      <c r="S435" s="16" t="s">
        <v>36</v>
      </c>
      <c r="T435" s="16" t="s">
        <v>36</v>
      </c>
      <c r="U435" s="17">
        <v>0</v>
      </c>
      <c r="V435" s="13" t="s">
        <v>35</v>
      </c>
    </row>
    <row r="436" spans="1:22" s="5" customFormat="1" x14ac:dyDescent="0.15">
      <c r="A436" s="10">
        <v>425</v>
      </c>
      <c r="B436" s="12" t="s">
        <v>49</v>
      </c>
      <c r="C436" s="11" t="s">
        <v>97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3" t="s">
        <v>35</v>
      </c>
      <c r="Q436" s="13" t="s">
        <v>35</v>
      </c>
      <c r="R436" s="13" t="s">
        <v>35</v>
      </c>
      <c r="S436" s="16" t="s">
        <v>36</v>
      </c>
      <c r="T436" s="16" t="s">
        <v>36</v>
      </c>
      <c r="U436" s="17">
        <v>0</v>
      </c>
      <c r="V436" s="13" t="s">
        <v>35</v>
      </c>
    </row>
    <row r="437" spans="1:22" s="5" customFormat="1" x14ac:dyDescent="0.15">
      <c r="A437" s="10">
        <v>426</v>
      </c>
      <c r="B437" s="12" t="s">
        <v>49</v>
      </c>
      <c r="C437" s="11" t="s">
        <v>97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3" t="s">
        <v>35</v>
      </c>
      <c r="Q437" s="13" t="s">
        <v>35</v>
      </c>
      <c r="R437" s="13" t="s">
        <v>35</v>
      </c>
      <c r="S437" s="16" t="s">
        <v>36</v>
      </c>
      <c r="T437" s="16" t="s">
        <v>36</v>
      </c>
      <c r="U437" s="17">
        <v>0</v>
      </c>
      <c r="V437" s="13" t="s">
        <v>35</v>
      </c>
    </row>
    <row r="438" spans="1:22" s="5" customFormat="1" x14ac:dyDescent="0.15">
      <c r="A438" s="10">
        <v>427</v>
      </c>
      <c r="B438" s="12" t="s">
        <v>49</v>
      </c>
      <c r="C438" s="11" t="s">
        <v>97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3" t="s">
        <v>35</v>
      </c>
      <c r="Q438" s="13" t="s">
        <v>35</v>
      </c>
      <c r="R438" s="13" t="s">
        <v>35</v>
      </c>
      <c r="S438" s="16" t="s">
        <v>36</v>
      </c>
      <c r="T438" s="16" t="s">
        <v>36</v>
      </c>
      <c r="U438" s="17">
        <v>0</v>
      </c>
      <c r="V438" s="13" t="s">
        <v>35</v>
      </c>
    </row>
    <row r="439" spans="1:22" s="5" customFormat="1" x14ac:dyDescent="0.15">
      <c r="A439" s="10">
        <v>428</v>
      </c>
      <c r="B439" s="12" t="s">
        <v>49</v>
      </c>
      <c r="C439" s="11" t="s">
        <v>97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3" t="s">
        <v>35</v>
      </c>
      <c r="Q439" s="13" t="s">
        <v>35</v>
      </c>
      <c r="R439" s="13" t="s">
        <v>35</v>
      </c>
      <c r="S439" s="16" t="s">
        <v>36</v>
      </c>
      <c r="T439" s="16" t="s">
        <v>36</v>
      </c>
      <c r="U439" s="17">
        <v>0</v>
      </c>
      <c r="V439" s="13" t="s">
        <v>35</v>
      </c>
    </row>
    <row r="440" spans="1:22" s="5" customFormat="1" x14ac:dyDescent="0.15">
      <c r="A440" s="10">
        <v>429</v>
      </c>
      <c r="B440" s="12" t="s">
        <v>49</v>
      </c>
      <c r="C440" s="11" t="s">
        <v>97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3" t="s">
        <v>35</v>
      </c>
      <c r="Q440" s="13" t="s">
        <v>35</v>
      </c>
      <c r="R440" s="13" t="s">
        <v>35</v>
      </c>
      <c r="S440" s="16" t="s">
        <v>36</v>
      </c>
      <c r="T440" s="16" t="s">
        <v>36</v>
      </c>
      <c r="U440" s="17">
        <v>0</v>
      </c>
      <c r="V440" s="13" t="s">
        <v>35</v>
      </c>
    </row>
    <row r="441" spans="1:22" s="5" customFormat="1" x14ac:dyDescent="0.15">
      <c r="A441" s="10">
        <v>430</v>
      </c>
      <c r="B441" s="12" t="s">
        <v>49</v>
      </c>
      <c r="C441" s="11" t="s">
        <v>97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3" t="s">
        <v>35</v>
      </c>
      <c r="Q441" s="13" t="s">
        <v>35</v>
      </c>
      <c r="R441" s="13" t="s">
        <v>35</v>
      </c>
      <c r="S441" s="16" t="s">
        <v>36</v>
      </c>
      <c r="T441" s="16" t="s">
        <v>36</v>
      </c>
      <c r="U441" s="17">
        <v>0</v>
      </c>
      <c r="V441" s="13" t="s">
        <v>35</v>
      </c>
    </row>
    <row r="442" spans="1:22" s="5" customFormat="1" x14ac:dyDescent="0.15">
      <c r="A442" s="10">
        <v>431</v>
      </c>
      <c r="B442" s="12" t="s">
        <v>49</v>
      </c>
      <c r="C442" s="11" t="s">
        <v>97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3" t="s">
        <v>35</v>
      </c>
      <c r="Q442" s="13" t="s">
        <v>35</v>
      </c>
      <c r="R442" s="13" t="s">
        <v>35</v>
      </c>
      <c r="S442" s="16" t="s">
        <v>36</v>
      </c>
      <c r="T442" s="16" t="s">
        <v>36</v>
      </c>
      <c r="U442" s="17">
        <v>0</v>
      </c>
      <c r="V442" s="13" t="s">
        <v>35</v>
      </c>
    </row>
    <row r="443" spans="1:22" s="5" customFormat="1" x14ac:dyDescent="0.15">
      <c r="A443" s="10">
        <v>432</v>
      </c>
      <c r="B443" s="12" t="s">
        <v>49</v>
      </c>
      <c r="C443" s="11" t="s">
        <v>97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3" t="s">
        <v>35</v>
      </c>
      <c r="Q443" s="13" t="s">
        <v>35</v>
      </c>
      <c r="R443" s="13" t="s">
        <v>35</v>
      </c>
      <c r="S443" s="16" t="s">
        <v>36</v>
      </c>
      <c r="T443" s="16" t="s">
        <v>36</v>
      </c>
      <c r="U443" s="17">
        <v>0</v>
      </c>
      <c r="V443" s="13" t="s">
        <v>35</v>
      </c>
    </row>
    <row r="444" spans="1:22" s="5" customFormat="1" x14ac:dyDescent="0.15">
      <c r="A444" s="10">
        <v>433</v>
      </c>
      <c r="B444" s="12" t="s">
        <v>49</v>
      </c>
      <c r="C444" s="11" t="s">
        <v>97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3" t="s">
        <v>35</v>
      </c>
      <c r="Q444" s="13" t="s">
        <v>35</v>
      </c>
      <c r="R444" s="13" t="s">
        <v>35</v>
      </c>
      <c r="S444" s="16" t="s">
        <v>36</v>
      </c>
      <c r="T444" s="16" t="s">
        <v>36</v>
      </c>
      <c r="U444" s="17">
        <v>0</v>
      </c>
      <c r="V444" s="13" t="s">
        <v>35</v>
      </c>
    </row>
    <row r="445" spans="1:22" s="5" customFormat="1" x14ac:dyDescent="0.15">
      <c r="A445" s="10">
        <v>434</v>
      </c>
      <c r="B445" s="12" t="s">
        <v>49</v>
      </c>
      <c r="C445" s="11" t="s">
        <v>97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3" t="s">
        <v>35</v>
      </c>
      <c r="Q445" s="13" t="s">
        <v>35</v>
      </c>
      <c r="R445" s="13" t="s">
        <v>35</v>
      </c>
      <c r="S445" s="16" t="s">
        <v>36</v>
      </c>
      <c r="T445" s="16" t="s">
        <v>36</v>
      </c>
      <c r="U445" s="17">
        <v>0</v>
      </c>
      <c r="V445" s="13" t="s">
        <v>35</v>
      </c>
    </row>
    <row r="446" spans="1:22" s="5" customFormat="1" x14ac:dyDescent="0.15">
      <c r="A446" s="10">
        <v>435</v>
      </c>
      <c r="B446" s="12" t="s">
        <v>49</v>
      </c>
      <c r="C446" s="11" t="s">
        <v>97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3" t="s">
        <v>35</v>
      </c>
      <c r="Q446" s="13" t="s">
        <v>35</v>
      </c>
      <c r="R446" s="13" t="s">
        <v>35</v>
      </c>
      <c r="S446" s="16" t="s">
        <v>36</v>
      </c>
      <c r="T446" s="16" t="s">
        <v>36</v>
      </c>
      <c r="U446" s="17">
        <v>0</v>
      </c>
      <c r="V446" s="13" t="s">
        <v>35</v>
      </c>
    </row>
    <row r="447" spans="1:22" s="5" customFormat="1" x14ac:dyDescent="0.15">
      <c r="A447" s="10">
        <v>436</v>
      </c>
      <c r="B447" s="12" t="s">
        <v>49</v>
      </c>
      <c r="C447" s="11" t="s">
        <v>97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3" t="s">
        <v>35</v>
      </c>
      <c r="Q447" s="13" t="s">
        <v>35</v>
      </c>
      <c r="R447" s="13" t="s">
        <v>35</v>
      </c>
      <c r="S447" s="16" t="s">
        <v>36</v>
      </c>
      <c r="T447" s="16" t="s">
        <v>36</v>
      </c>
      <c r="U447" s="17">
        <v>0</v>
      </c>
      <c r="V447" s="13" t="s">
        <v>35</v>
      </c>
    </row>
    <row r="448" spans="1:22" s="5" customFormat="1" x14ac:dyDescent="0.15">
      <c r="A448" s="10">
        <v>437</v>
      </c>
      <c r="B448" s="12" t="s">
        <v>49</v>
      </c>
      <c r="C448" s="11" t="s">
        <v>97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3" t="s">
        <v>35</v>
      </c>
      <c r="Q448" s="13" t="s">
        <v>35</v>
      </c>
      <c r="R448" s="13" t="s">
        <v>35</v>
      </c>
      <c r="S448" s="16" t="s">
        <v>36</v>
      </c>
      <c r="T448" s="16" t="s">
        <v>36</v>
      </c>
      <c r="U448" s="17">
        <v>0</v>
      </c>
      <c r="V448" s="13" t="s">
        <v>35</v>
      </c>
    </row>
    <row r="449" spans="1:22" s="5" customFormat="1" x14ac:dyDescent="0.15">
      <c r="A449" s="10">
        <v>438</v>
      </c>
      <c r="B449" s="12" t="s">
        <v>49</v>
      </c>
      <c r="C449" s="11" t="s">
        <v>97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3" t="s">
        <v>35</v>
      </c>
      <c r="Q449" s="13" t="s">
        <v>35</v>
      </c>
      <c r="R449" s="13" t="s">
        <v>35</v>
      </c>
      <c r="S449" s="16" t="s">
        <v>36</v>
      </c>
      <c r="T449" s="16" t="s">
        <v>36</v>
      </c>
      <c r="U449" s="17">
        <v>0</v>
      </c>
      <c r="V449" s="13" t="s">
        <v>35</v>
      </c>
    </row>
    <row r="450" spans="1:22" s="5" customFormat="1" x14ac:dyDescent="0.15">
      <c r="A450" s="10">
        <v>439</v>
      </c>
      <c r="B450" s="12" t="s">
        <v>49</v>
      </c>
      <c r="C450" s="11" t="s">
        <v>97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3" t="s">
        <v>35</v>
      </c>
      <c r="Q450" s="13" t="s">
        <v>35</v>
      </c>
      <c r="R450" s="13" t="s">
        <v>35</v>
      </c>
      <c r="S450" s="16" t="s">
        <v>36</v>
      </c>
      <c r="T450" s="16" t="s">
        <v>36</v>
      </c>
      <c r="U450" s="17">
        <v>0</v>
      </c>
      <c r="V450" s="13" t="s">
        <v>35</v>
      </c>
    </row>
    <row r="451" spans="1:22" s="5" customFormat="1" x14ac:dyDescent="0.15">
      <c r="A451" s="10">
        <v>440</v>
      </c>
      <c r="B451" s="12" t="s">
        <v>49</v>
      </c>
      <c r="C451" s="11" t="s">
        <v>97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3" t="s">
        <v>35</v>
      </c>
      <c r="Q451" s="13" t="s">
        <v>35</v>
      </c>
      <c r="R451" s="13" t="s">
        <v>35</v>
      </c>
      <c r="S451" s="16" t="s">
        <v>36</v>
      </c>
      <c r="T451" s="16" t="s">
        <v>36</v>
      </c>
      <c r="U451" s="17">
        <v>0</v>
      </c>
      <c r="V451" s="13" t="s">
        <v>35</v>
      </c>
    </row>
    <row r="452" spans="1:22" s="5" customFormat="1" x14ac:dyDescent="0.15">
      <c r="A452" s="10">
        <v>441</v>
      </c>
      <c r="B452" s="12" t="s">
        <v>49</v>
      </c>
      <c r="C452" s="11" t="s">
        <v>97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3" t="s">
        <v>35</v>
      </c>
      <c r="Q452" s="13" t="s">
        <v>35</v>
      </c>
      <c r="R452" s="13" t="s">
        <v>35</v>
      </c>
      <c r="S452" s="16" t="s">
        <v>36</v>
      </c>
      <c r="T452" s="16" t="s">
        <v>36</v>
      </c>
      <c r="U452" s="17">
        <v>0</v>
      </c>
      <c r="V452" s="13" t="s">
        <v>35</v>
      </c>
    </row>
    <row r="453" spans="1:22" s="5" customFormat="1" x14ac:dyDescent="0.15">
      <c r="A453" s="10">
        <v>442</v>
      </c>
      <c r="B453" s="12" t="s">
        <v>49</v>
      </c>
      <c r="C453" s="11" t="s">
        <v>97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3" t="s">
        <v>35</v>
      </c>
      <c r="Q453" s="13" t="s">
        <v>35</v>
      </c>
      <c r="R453" s="13" t="s">
        <v>35</v>
      </c>
      <c r="S453" s="16" t="s">
        <v>36</v>
      </c>
      <c r="T453" s="16" t="s">
        <v>36</v>
      </c>
      <c r="U453" s="17">
        <v>0</v>
      </c>
      <c r="V453" s="13" t="s">
        <v>35</v>
      </c>
    </row>
    <row r="454" spans="1:22" s="5" customFormat="1" x14ac:dyDescent="0.15">
      <c r="A454" s="10">
        <v>443</v>
      </c>
      <c r="B454" s="12" t="s">
        <v>49</v>
      </c>
      <c r="C454" s="11" t="s">
        <v>97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3" t="s">
        <v>35</v>
      </c>
      <c r="Q454" s="13" t="s">
        <v>35</v>
      </c>
      <c r="R454" s="13" t="s">
        <v>35</v>
      </c>
      <c r="S454" s="16" t="s">
        <v>36</v>
      </c>
      <c r="T454" s="16" t="s">
        <v>36</v>
      </c>
      <c r="U454" s="17">
        <v>0</v>
      </c>
      <c r="V454" s="13" t="s">
        <v>35</v>
      </c>
    </row>
    <row r="455" spans="1:22" s="5" customFormat="1" x14ac:dyDescent="0.15">
      <c r="A455" s="10">
        <v>444</v>
      </c>
      <c r="B455" s="12" t="s">
        <v>49</v>
      </c>
      <c r="C455" s="11" t="s">
        <v>97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3" t="s">
        <v>35</v>
      </c>
      <c r="Q455" s="13" t="s">
        <v>35</v>
      </c>
      <c r="R455" s="13" t="s">
        <v>35</v>
      </c>
      <c r="S455" s="16" t="s">
        <v>36</v>
      </c>
      <c r="T455" s="16" t="s">
        <v>36</v>
      </c>
      <c r="U455" s="17">
        <v>0</v>
      </c>
      <c r="V455" s="13" t="s">
        <v>35</v>
      </c>
    </row>
    <row r="456" spans="1:22" s="5" customFormat="1" x14ac:dyDescent="0.15">
      <c r="A456" s="10">
        <v>445</v>
      </c>
      <c r="B456" s="12" t="s">
        <v>49</v>
      </c>
      <c r="C456" s="11" t="s">
        <v>97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3" t="s">
        <v>35</v>
      </c>
      <c r="Q456" s="13" t="s">
        <v>35</v>
      </c>
      <c r="R456" s="13" t="s">
        <v>35</v>
      </c>
      <c r="S456" s="16" t="s">
        <v>36</v>
      </c>
      <c r="T456" s="16" t="s">
        <v>36</v>
      </c>
      <c r="U456" s="17">
        <v>0</v>
      </c>
      <c r="V456" s="13" t="s">
        <v>35</v>
      </c>
    </row>
    <row r="457" spans="1:22" s="5" customFormat="1" x14ac:dyDescent="0.15">
      <c r="A457" s="10">
        <v>446</v>
      </c>
      <c r="B457" s="12" t="s">
        <v>49</v>
      </c>
      <c r="C457" s="11" t="s">
        <v>97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3" t="s">
        <v>35</v>
      </c>
      <c r="Q457" s="13" t="s">
        <v>35</v>
      </c>
      <c r="R457" s="13" t="s">
        <v>35</v>
      </c>
      <c r="S457" s="16" t="s">
        <v>36</v>
      </c>
      <c r="T457" s="16" t="s">
        <v>36</v>
      </c>
      <c r="U457" s="17">
        <v>0</v>
      </c>
      <c r="V457" s="13" t="s">
        <v>35</v>
      </c>
    </row>
    <row r="458" spans="1:22" s="5" customFormat="1" x14ac:dyDescent="0.15">
      <c r="A458" s="10">
        <v>447</v>
      </c>
      <c r="B458" s="12" t="s">
        <v>49</v>
      </c>
      <c r="C458" s="11" t="s">
        <v>97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3" t="s">
        <v>35</v>
      </c>
      <c r="Q458" s="13" t="s">
        <v>35</v>
      </c>
      <c r="R458" s="13" t="s">
        <v>35</v>
      </c>
      <c r="S458" s="16" t="s">
        <v>36</v>
      </c>
      <c r="T458" s="16" t="s">
        <v>36</v>
      </c>
      <c r="U458" s="17">
        <v>0</v>
      </c>
      <c r="V458" s="13" t="s">
        <v>35</v>
      </c>
    </row>
    <row r="459" spans="1:22" s="5" customFormat="1" x14ac:dyDescent="0.15">
      <c r="A459" s="10">
        <v>448</v>
      </c>
      <c r="B459" s="12" t="s">
        <v>49</v>
      </c>
      <c r="C459" s="11" t="s">
        <v>97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3" t="s">
        <v>35</v>
      </c>
      <c r="Q459" s="13" t="s">
        <v>35</v>
      </c>
      <c r="R459" s="13" t="s">
        <v>35</v>
      </c>
      <c r="S459" s="16" t="s">
        <v>36</v>
      </c>
      <c r="T459" s="16" t="s">
        <v>36</v>
      </c>
      <c r="U459" s="17">
        <v>0</v>
      </c>
      <c r="V459" s="13" t="s">
        <v>35</v>
      </c>
    </row>
    <row r="460" spans="1:22" s="5" customFormat="1" x14ac:dyDescent="0.15">
      <c r="A460" s="10">
        <v>449</v>
      </c>
      <c r="B460" s="12" t="s">
        <v>49</v>
      </c>
      <c r="C460" s="11" t="s">
        <v>97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3" t="s">
        <v>35</v>
      </c>
      <c r="Q460" s="13" t="s">
        <v>35</v>
      </c>
      <c r="R460" s="13" t="s">
        <v>35</v>
      </c>
      <c r="S460" s="16" t="s">
        <v>36</v>
      </c>
      <c r="T460" s="16" t="s">
        <v>36</v>
      </c>
      <c r="U460" s="17">
        <v>0</v>
      </c>
      <c r="V460" s="13" t="s">
        <v>35</v>
      </c>
    </row>
    <row r="461" spans="1:22" s="5" customFormat="1" x14ac:dyDescent="0.15">
      <c r="A461" s="10">
        <v>450</v>
      </c>
      <c r="B461" s="12" t="s">
        <v>49</v>
      </c>
      <c r="C461" s="11" t="s">
        <v>97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3" t="s">
        <v>35</v>
      </c>
      <c r="Q461" s="13" t="s">
        <v>35</v>
      </c>
      <c r="R461" s="13" t="s">
        <v>35</v>
      </c>
      <c r="S461" s="16" t="s">
        <v>36</v>
      </c>
      <c r="T461" s="16" t="s">
        <v>36</v>
      </c>
      <c r="U461" s="17">
        <v>0</v>
      </c>
      <c r="V461" s="13" t="s">
        <v>35</v>
      </c>
    </row>
    <row r="462" spans="1:22" s="5" customFormat="1" x14ac:dyDescent="0.15">
      <c r="A462" s="10">
        <v>451</v>
      </c>
      <c r="B462" s="12" t="s">
        <v>49</v>
      </c>
      <c r="C462" s="11" t="s">
        <v>97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3" t="s">
        <v>35</v>
      </c>
      <c r="Q462" s="13" t="s">
        <v>35</v>
      </c>
      <c r="R462" s="13" t="s">
        <v>35</v>
      </c>
      <c r="S462" s="16" t="s">
        <v>36</v>
      </c>
      <c r="T462" s="16" t="s">
        <v>36</v>
      </c>
      <c r="U462" s="17">
        <v>0</v>
      </c>
      <c r="V462" s="13" t="s">
        <v>35</v>
      </c>
    </row>
    <row r="463" spans="1:22" s="5" customFormat="1" x14ac:dyDescent="0.15">
      <c r="A463" s="10">
        <v>452</v>
      </c>
      <c r="B463" s="12" t="s">
        <v>49</v>
      </c>
      <c r="C463" s="11" t="s">
        <v>97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3" t="s">
        <v>35</v>
      </c>
      <c r="Q463" s="13" t="s">
        <v>35</v>
      </c>
      <c r="R463" s="13" t="s">
        <v>35</v>
      </c>
      <c r="S463" s="16" t="s">
        <v>36</v>
      </c>
      <c r="T463" s="16" t="s">
        <v>36</v>
      </c>
      <c r="U463" s="17">
        <v>0</v>
      </c>
      <c r="V463" s="13" t="s">
        <v>35</v>
      </c>
    </row>
    <row r="464" spans="1:22" s="5" customFormat="1" x14ac:dyDescent="0.15">
      <c r="A464" s="10">
        <v>453</v>
      </c>
      <c r="B464" s="12" t="s">
        <v>49</v>
      </c>
      <c r="C464" s="11" t="s">
        <v>97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3" t="s">
        <v>35</v>
      </c>
      <c r="Q464" s="13" t="s">
        <v>35</v>
      </c>
      <c r="R464" s="13" t="s">
        <v>35</v>
      </c>
      <c r="S464" s="16" t="s">
        <v>36</v>
      </c>
      <c r="T464" s="16" t="s">
        <v>36</v>
      </c>
      <c r="U464" s="17">
        <v>0</v>
      </c>
      <c r="V464" s="13" t="s">
        <v>35</v>
      </c>
    </row>
    <row r="465" spans="1:22" s="5" customFormat="1" x14ac:dyDescent="0.15">
      <c r="A465" s="10">
        <v>454</v>
      </c>
      <c r="B465" s="12" t="s">
        <v>49</v>
      </c>
      <c r="C465" s="11" t="s">
        <v>97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3" t="s">
        <v>35</v>
      </c>
      <c r="Q465" s="13" t="s">
        <v>35</v>
      </c>
      <c r="R465" s="13" t="s">
        <v>35</v>
      </c>
      <c r="S465" s="16" t="s">
        <v>36</v>
      </c>
      <c r="T465" s="16" t="s">
        <v>36</v>
      </c>
      <c r="U465" s="17">
        <v>0</v>
      </c>
      <c r="V465" s="13" t="s">
        <v>35</v>
      </c>
    </row>
    <row r="466" spans="1:22" s="5" customFormat="1" x14ac:dyDescent="0.15">
      <c r="A466" s="10">
        <v>455</v>
      </c>
      <c r="B466" s="12" t="s">
        <v>49</v>
      </c>
      <c r="C466" s="11" t="s">
        <v>97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3" t="s">
        <v>35</v>
      </c>
      <c r="Q466" s="13" t="s">
        <v>35</v>
      </c>
      <c r="R466" s="13" t="s">
        <v>35</v>
      </c>
      <c r="S466" s="16" t="s">
        <v>36</v>
      </c>
      <c r="T466" s="16" t="s">
        <v>36</v>
      </c>
      <c r="U466" s="17">
        <v>0</v>
      </c>
      <c r="V466" s="13" t="s">
        <v>35</v>
      </c>
    </row>
    <row r="467" spans="1:22" s="5" customFormat="1" x14ac:dyDescent="0.15">
      <c r="A467" s="10">
        <v>456</v>
      </c>
      <c r="B467" s="12" t="s">
        <v>49</v>
      </c>
      <c r="C467" s="11" t="s">
        <v>97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3" t="s">
        <v>35</v>
      </c>
      <c r="Q467" s="13" t="s">
        <v>35</v>
      </c>
      <c r="R467" s="13" t="s">
        <v>35</v>
      </c>
      <c r="S467" s="16" t="s">
        <v>36</v>
      </c>
      <c r="T467" s="16" t="s">
        <v>36</v>
      </c>
      <c r="U467" s="17">
        <v>0</v>
      </c>
      <c r="V467" s="13" t="s">
        <v>35</v>
      </c>
    </row>
    <row r="468" spans="1:22" s="5" customFormat="1" x14ac:dyDescent="0.15">
      <c r="A468" s="10">
        <v>457</v>
      </c>
      <c r="B468" s="12" t="s">
        <v>49</v>
      </c>
      <c r="C468" s="11" t="s">
        <v>97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3" t="s">
        <v>35</v>
      </c>
      <c r="Q468" s="13" t="s">
        <v>35</v>
      </c>
      <c r="R468" s="13" t="s">
        <v>35</v>
      </c>
      <c r="S468" s="16" t="s">
        <v>36</v>
      </c>
      <c r="T468" s="16" t="s">
        <v>36</v>
      </c>
      <c r="U468" s="17">
        <v>0</v>
      </c>
      <c r="V468" s="13" t="s">
        <v>35</v>
      </c>
    </row>
    <row r="469" spans="1:22" s="5" customFormat="1" x14ac:dyDescent="0.15">
      <c r="A469" s="10">
        <v>458</v>
      </c>
      <c r="B469" s="12" t="s">
        <v>49</v>
      </c>
      <c r="C469" s="11" t="s">
        <v>97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3" t="s">
        <v>35</v>
      </c>
      <c r="Q469" s="13" t="s">
        <v>35</v>
      </c>
      <c r="R469" s="13" t="s">
        <v>35</v>
      </c>
      <c r="S469" s="16" t="s">
        <v>36</v>
      </c>
      <c r="T469" s="16" t="s">
        <v>36</v>
      </c>
      <c r="U469" s="17">
        <v>0</v>
      </c>
      <c r="V469" s="13" t="s">
        <v>35</v>
      </c>
    </row>
    <row r="470" spans="1:22" s="5" customFormat="1" x14ac:dyDescent="0.15">
      <c r="A470" s="10">
        <v>459</v>
      </c>
      <c r="B470" s="12" t="s">
        <v>49</v>
      </c>
      <c r="C470" s="11" t="s">
        <v>97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3" t="s">
        <v>35</v>
      </c>
      <c r="Q470" s="13" t="s">
        <v>35</v>
      </c>
      <c r="R470" s="13" t="s">
        <v>35</v>
      </c>
      <c r="S470" s="16" t="s">
        <v>36</v>
      </c>
      <c r="T470" s="16" t="s">
        <v>36</v>
      </c>
      <c r="U470" s="17">
        <v>0</v>
      </c>
      <c r="V470" s="13" t="s">
        <v>35</v>
      </c>
    </row>
    <row r="471" spans="1:22" s="5" customFormat="1" x14ac:dyDescent="0.15">
      <c r="A471" s="10">
        <v>460</v>
      </c>
      <c r="B471" s="12" t="s">
        <v>49</v>
      </c>
      <c r="C471" s="11" t="s">
        <v>97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3" t="s">
        <v>35</v>
      </c>
      <c r="Q471" s="13" t="s">
        <v>35</v>
      </c>
      <c r="R471" s="13" t="s">
        <v>35</v>
      </c>
      <c r="S471" s="16" t="s">
        <v>36</v>
      </c>
      <c r="T471" s="16" t="s">
        <v>36</v>
      </c>
      <c r="U471" s="17">
        <v>0</v>
      </c>
      <c r="V471" s="13" t="s">
        <v>35</v>
      </c>
    </row>
    <row r="472" spans="1:22" s="5" customFormat="1" x14ac:dyDescent="0.15">
      <c r="A472" s="10">
        <v>461</v>
      </c>
      <c r="B472" s="12" t="s">
        <v>49</v>
      </c>
      <c r="C472" s="11" t="s">
        <v>97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3" t="s">
        <v>35</v>
      </c>
      <c r="Q472" s="13" t="s">
        <v>35</v>
      </c>
      <c r="R472" s="13" t="s">
        <v>35</v>
      </c>
      <c r="S472" s="16" t="s">
        <v>36</v>
      </c>
      <c r="T472" s="16" t="s">
        <v>36</v>
      </c>
      <c r="U472" s="17">
        <v>0</v>
      </c>
      <c r="V472" s="13" t="s">
        <v>35</v>
      </c>
    </row>
    <row r="473" spans="1:22" s="5" customFormat="1" x14ac:dyDescent="0.15">
      <c r="A473" s="10">
        <v>462</v>
      </c>
      <c r="B473" s="12" t="s">
        <v>49</v>
      </c>
      <c r="C473" s="11" t="s">
        <v>97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3" t="s">
        <v>35</v>
      </c>
      <c r="Q473" s="13" t="s">
        <v>35</v>
      </c>
      <c r="R473" s="13" t="s">
        <v>35</v>
      </c>
      <c r="S473" s="16" t="s">
        <v>36</v>
      </c>
      <c r="T473" s="16" t="s">
        <v>36</v>
      </c>
      <c r="U473" s="17">
        <v>0</v>
      </c>
      <c r="V473" s="13" t="s">
        <v>35</v>
      </c>
    </row>
    <row r="474" spans="1:22" s="5" customFormat="1" x14ac:dyDescent="0.15">
      <c r="A474" s="10">
        <v>463</v>
      </c>
      <c r="B474" s="12" t="s">
        <v>49</v>
      </c>
      <c r="C474" s="11" t="s">
        <v>97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3" t="s">
        <v>35</v>
      </c>
      <c r="Q474" s="13" t="s">
        <v>35</v>
      </c>
      <c r="R474" s="13" t="s">
        <v>35</v>
      </c>
      <c r="S474" s="16" t="s">
        <v>36</v>
      </c>
      <c r="T474" s="16" t="s">
        <v>36</v>
      </c>
      <c r="U474" s="17">
        <v>0</v>
      </c>
      <c r="V474" s="13" t="s">
        <v>35</v>
      </c>
    </row>
    <row r="475" spans="1:22" s="5" customFormat="1" x14ac:dyDescent="0.15">
      <c r="A475" s="10">
        <v>464</v>
      </c>
      <c r="B475" s="12" t="s">
        <v>49</v>
      </c>
      <c r="C475" s="11" t="s">
        <v>97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3" t="s">
        <v>35</v>
      </c>
      <c r="Q475" s="13" t="s">
        <v>35</v>
      </c>
      <c r="R475" s="13" t="s">
        <v>35</v>
      </c>
      <c r="S475" s="16" t="s">
        <v>36</v>
      </c>
      <c r="T475" s="16" t="s">
        <v>36</v>
      </c>
      <c r="U475" s="17">
        <v>0</v>
      </c>
      <c r="V475" s="13" t="s">
        <v>35</v>
      </c>
    </row>
    <row r="476" spans="1:22" s="5" customFormat="1" x14ac:dyDescent="0.15">
      <c r="A476" s="10">
        <v>465</v>
      </c>
      <c r="B476" s="12" t="s">
        <v>49</v>
      </c>
      <c r="C476" s="11" t="s">
        <v>97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3" t="s">
        <v>35</v>
      </c>
      <c r="Q476" s="13" t="s">
        <v>35</v>
      </c>
      <c r="R476" s="13" t="s">
        <v>35</v>
      </c>
      <c r="S476" s="16" t="s">
        <v>36</v>
      </c>
      <c r="T476" s="16" t="s">
        <v>36</v>
      </c>
      <c r="U476" s="17">
        <v>0</v>
      </c>
      <c r="V476" s="13" t="s">
        <v>35</v>
      </c>
    </row>
    <row r="477" spans="1:22" s="5" customFormat="1" x14ac:dyDescent="0.15">
      <c r="A477" s="10">
        <v>466</v>
      </c>
      <c r="B477" s="12" t="s">
        <v>49</v>
      </c>
      <c r="C477" s="11" t="s">
        <v>97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3" t="s">
        <v>35</v>
      </c>
      <c r="Q477" s="13" t="s">
        <v>35</v>
      </c>
      <c r="R477" s="13" t="s">
        <v>35</v>
      </c>
      <c r="S477" s="16" t="s">
        <v>36</v>
      </c>
      <c r="T477" s="16" t="s">
        <v>36</v>
      </c>
      <c r="U477" s="17">
        <v>0</v>
      </c>
      <c r="V477" s="13" t="s">
        <v>35</v>
      </c>
    </row>
    <row r="478" spans="1:22" s="5" customFormat="1" x14ac:dyDescent="0.15">
      <c r="A478" s="10">
        <v>467</v>
      </c>
      <c r="B478" s="12" t="s">
        <v>49</v>
      </c>
      <c r="C478" s="11" t="s">
        <v>97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3" t="s">
        <v>35</v>
      </c>
      <c r="Q478" s="13" t="s">
        <v>35</v>
      </c>
      <c r="R478" s="13" t="s">
        <v>35</v>
      </c>
      <c r="S478" s="16" t="s">
        <v>36</v>
      </c>
      <c r="T478" s="16" t="s">
        <v>36</v>
      </c>
      <c r="U478" s="17">
        <v>0</v>
      </c>
      <c r="V478" s="13" t="s">
        <v>35</v>
      </c>
    </row>
    <row r="479" spans="1:22" s="5" customFormat="1" x14ac:dyDescent="0.15">
      <c r="A479" s="10">
        <v>468</v>
      </c>
      <c r="B479" s="12" t="s">
        <v>49</v>
      </c>
      <c r="C479" s="11" t="s">
        <v>97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3" t="s">
        <v>35</v>
      </c>
      <c r="Q479" s="13" t="s">
        <v>35</v>
      </c>
      <c r="R479" s="13" t="s">
        <v>35</v>
      </c>
      <c r="S479" s="16" t="s">
        <v>36</v>
      </c>
      <c r="T479" s="16" t="s">
        <v>36</v>
      </c>
      <c r="U479" s="17">
        <v>0</v>
      </c>
      <c r="V479" s="13" t="s">
        <v>35</v>
      </c>
    </row>
    <row r="480" spans="1:22" s="5" customFormat="1" x14ac:dyDescent="0.15">
      <c r="A480" s="10">
        <v>469</v>
      </c>
      <c r="B480" s="12" t="s">
        <v>49</v>
      </c>
      <c r="C480" s="11" t="s">
        <v>97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3" t="s">
        <v>35</v>
      </c>
      <c r="Q480" s="13" t="s">
        <v>35</v>
      </c>
      <c r="R480" s="13" t="s">
        <v>35</v>
      </c>
      <c r="S480" s="16" t="s">
        <v>36</v>
      </c>
      <c r="T480" s="16" t="s">
        <v>36</v>
      </c>
      <c r="U480" s="17">
        <v>0</v>
      </c>
      <c r="V480" s="13" t="s">
        <v>35</v>
      </c>
    </row>
    <row r="481" spans="1:22" s="5" customFormat="1" x14ac:dyDescent="0.15">
      <c r="A481" s="10">
        <v>470</v>
      </c>
      <c r="B481" s="12" t="s">
        <v>49</v>
      </c>
      <c r="C481" s="11" t="s">
        <v>97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3" t="s">
        <v>35</v>
      </c>
      <c r="Q481" s="13" t="s">
        <v>35</v>
      </c>
      <c r="R481" s="13" t="s">
        <v>35</v>
      </c>
      <c r="S481" s="16" t="s">
        <v>36</v>
      </c>
      <c r="T481" s="16" t="s">
        <v>36</v>
      </c>
      <c r="U481" s="17">
        <v>0</v>
      </c>
      <c r="V481" s="13" t="s">
        <v>35</v>
      </c>
    </row>
    <row r="482" spans="1:22" s="5" customFormat="1" x14ac:dyDescent="0.15">
      <c r="A482" s="10">
        <v>471</v>
      </c>
      <c r="B482" s="12" t="s">
        <v>49</v>
      </c>
      <c r="C482" s="11" t="s">
        <v>97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3" t="s">
        <v>35</v>
      </c>
      <c r="Q482" s="13" t="s">
        <v>35</v>
      </c>
      <c r="R482" s="13" t="s">
        <v>35</v>
      </c>
      <c r="S482" s="16" t="s">
        <v>36</v>
      </c>
      <c r="T482" s="16" t="s">
        <v>36</v>
      </c>
      <c r="U482" s="17">
        <v>0</v>
      </c>
      <c r="V482" s="13" t="s">
        <v>35</v>
      </c>
    </row>
    <row r="483" spans="1:22" s="5" customFormat="1" x14ac:dyDescent="0.15">
      <c r="A483" s="10">
        <v>472</v>
      </c>
      <c r="B483" s="12" t="s">
        <v>49</v>
      </c>
      <c r="C483" s="11" t="s">
        <v>97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3" t="s">
        <v>35</v>
      </c>
      <c r="Q483" s="13" t="s">
        <v>35</v>
      </c>
      <c r="R483" s="13" t="s">
        <v>35</v>
      </c>
      <c r="S483" s="16" t="s">
        <v>36</v>
      </c>
      <c r="T483" s="16" t="s">
        <v>36</v>
      </c>
      <c r="U483" s="17">
        <v>0</v>
      </c>
      <c r="V483" s="13" t="s">
        <v>35</v>
      </c>
    </row>
    <row r="484" spans="1:22" s="5" customFormat="1" x14ac:dyDescent="0.15">
      <c r="A484" s="10">
        <v>473</v>
      </c>
      <c r="B484" s="12" t="s">
        <v>49</v>
      </c>
      <c r="C484" s="11" t="s">
        <v>97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3" t="s">
        <v>35</v>
      </c>
      <c r="Q484" s="13" t="s">
        <v>35</v>
      </c>
      <c r="R484" s="13" t="s">
        <v>35</v>
      </c>
      <c r="S484" s="16" t="s">
        <v>36</v>
      </c>
      <c r="T484" s="16" t="s">
        <v>36</v>
      </c>
      <c r="U484" s="17">
        <v>0</v>
      </c>
      <c r="V484" s="13" t="s">
        <v>35</v>
      </c>
    </row>
    <row r="485" spans="1:22" s="5" customFormat="1" x14ac:dyDescent="0.15">
      <c r="A485" s="10">
        <v>474</v>
      </c>
      <c r="B485" s="12" t="s">
        <v>49</v>
      </c>
      <c r="C485" s="11" t="s">
        <v>97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3" t="s">
        <v>35</v>
      </c>
      <c r="Q485" s="13" t="s">
        <v>35</v>
      </c>
      <c r="R485" s="13" t="s">
        <v>35</v>
      </c>
      <c r="S485" s="16" t="s">
        <v>36</v>
      </c>
      <c r="T485" s="16" t="s">
        <v>36</v>
      </c>
      <c r="U485" s="17">
        <v>0</v>
      </c>
      <c r="V485" s="13" t="s">
        <v>35</v>
      </c>
    </row>
    <row r="486" spans="1:22" s="5" customFormat="1" x14ac:dyDescent="0.15">
      <c r="A486" s="10">
        <v>475</v>
      </c>
      <c r="B486" s="12" t="s">
        <v>49</v>
      </c>
      <c r="C486" s="11" t="s">
        <v>97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3" t="s">
        <v>35</v>
      </c>
      <c r="Q486" s="13" t="s">
        <v>35</v>
      </c>
      <c r="R486" s="13" t="s">
        <v>35</v>
      </c>
      <c r="S486" s="16" t="s">
        <v>36</v>
      </c>
      <c r="T486" s="16" t="s">
        <v>36</v>
      </c>
      <c r="U486" s="17">
        <v>0</v>
      </c>
      <c r="V486" s="13" t="s">
        <v>35</v>
      </c>
    </row>
    <row r="487" spans="1:22" s="5" customFormat="1" x14ac:dyDescent="0.15">
      <c r="A487" s="10">
        <v>476</v>
      </c>
      <c r="B487" s="12" t="s">
        <v>49</v>
      </c>
      <c r="C487" s="11" t="s">
        <v>97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3" t="s">
        <v>35</v>
      </c>
      <c r="Q487" s="13" t="s">
        <v>35</v>
      </c>
      <c r="R487" s="13" t="s">
        <v>35</v>
      </c>
      <c r="S487" s="16" t="s">
        <v>36</v>
      </c>
      <c r="T487" s="16" t="s">
        <v>36</v>
      </c>
      <c r="U487" s="17">
        <v>0</v>
      </c>
      <c r="V487" s="13" t="s">
        <v>35</v>
      </c>
    </row>
    <row r="488" spans="1:22" s="5" customFormat="1" x14ac:dyDescent="0.15">
      <c r="A488" s="10">
        <v>477</v>
      </c>
      <c r="B488" s="12" t="s">
        <v>49</v>
      </c>
      <c r="C488" s="11" t="s">
        <v>97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3" t="s">
        <v>35</v>
      </c>
      <c r="Q488" s="13" t="s">
        <v>35</v>
      </c>
      <c r="R488" s="13" t="s">
        <v>35</v>
      </c>
      <c r="S488" s="16" t="s">
        <v>36</v>
      </c>
      <c r="T488" s="16" t="s">
        <v>36</v>
      </c>
      <c r="U488" s="17">
        <v>0</v>
      </c>
      <c r="V488" s="13" t="s">
        <v>35</v>
      </c>
    </row>
    <row r="489" spans="1:22" s="5" customFormat="1" x14ac:dyDescent="0.15">
      <c r="A489" s="10">
        <v>478</v>
      </c>
      <c r="B489" s="12" t="s">
        <v>49</v>
      </c>
      <c r="C489" s="11" t="s">
        <v>97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3" t="s">
        <v>35</v>
      </c>
      <c r="Q489" s="13" t="s">
        <v>35</v>
      </c>
      <c r="R489" s="13" t="s">
        <v>35</v>
      </c>
      <c r="S489" s="16" t="s">
        <v>36</v>
      </c>
      <c r="T489" s="16" t="s">
        <v>36</v>
      </c>
      <c r="U489" s="17">
        <v>0</v>
      </c>
      <c r="V489" s="13" t="s">
        <v>35</v>
      </c>
    </row>
    <row r="490" spans="1:22" s="5" customFormat="1" x14ac:dyDescent="0.15">
      <c r="A490" s="10">
        <v>479</v>
      </c>
      <c r="B490" s="12" t="s">
        <v>49</v>
      </c>
      <c r="C490" s="11" t="s">
        <v>97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3" t="s">
        <v>35</v>
      </c>
      <c r="Q490" s="13" t="s">
        <v>35</v>
      </c>
      <c r="R490" s="13" t="s">
        <v>35</v>
      </c>
      <c r="S490" s="16" t="s">
        <v>36</v>
      </c>
      <c r="T490" s="16" t="s">
        <v>36</v>
      </c>
      <c r="U490" s="17">
        <v>0</v>
      </c>
      <c r="V490" s="13" t="s">
        <v>35</v>
      </c>
    </row>
    <row r="491" spans="1:22" s="5" customFormat="1" x14ac:dyDescent="0.15">
      <c r="A491" s="10">
        <v>480</v>
      </c>
      <c r="B491" s="12" t="s">
        <v>49</v>
      </c>
      <c r="C491" s="11" t="s">
        <v>97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3" t="s">
        <v>35</v>
      </c>
      <c r="Q491" s="13" t="s">
        <v>35</v>
      </c>
      <c r="R491" s="13" t="s">
        <v>35</v>
      </c>
      <c r="S491" s="16" t="s">
        <v>36</v>
      </c>
      <c r="T491" s="16" t="s">
        <v>36</v>
      </c>
      <c r="U491" s="17">
        <v>0</v>
      </c>
      <c r="V491" s="13" t="s">
        <v>35</v>
      </c>
    </row>
    <row r="492" spans="1:22" s="5" customFormat="1" x14ac:dyDescent="0.15">
      <c r="A492" s="10">
        <v>481</v>
      </c>
      <c r="B492" s="12" t="s">
        <v>49</v>
      </c>
      <c r="C492" s="11" t="s">
        <v>97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3" t="s">
        <v>35</v>
      </c>
      <c r="Q492" s="13" t="s">
        <v>35</v>
      </c>
      <c r="R492" s="13" t="s">
        <v>35</v>
      </c>
      <c r="S492" s="16" t="s">
        <v>36</v>
      </c>
      <c r="T492" s="16" t="s">
        <v>36</v>
      </c>
      <c r="U492" s="17">
        <v>0</v>
      </c>
      <c r="V492" s="13" t="s">
        <v>35</v>
      </c>
    </row>
    <row r="493" spans="1:22" s="5" customFormat="1" x14ac:dyDescent="0.15">
      <c r="A493" s="10">
        <v>482</v>
      </c>
      <c r="B493" s="12" t="s">
        <v>49</v>
      </c>
      <c r="C493" s="11" t="s">
        <v>97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3" t="s">
        <v>35</v>
      </c>
      <c r="Q493" s="13" t="s">
        <v>35</v>
      </c>
      <c r="R493" s="13" t="s">
        <v>35</v>
      </c>
      <c r="S493" s="16" t="s">
        <v>36</v>
      </c>
      <c r="T493" s="16" t="s">
        <v>36</v>
      </c>
      <c r="U493" s="17">
        <v>0</v>
      </c>
      <c r="V493" s="13" t="s">
        <v>35</v>
      </c>
    </row>
    <row r="494" spans="1:22" s="5" customFormat="1" x14ac:dyDescent="0.15">
      <c r="A494" s="10">
        <v>483</v>
      </c>
      <c r="B494" s="12" t="s">
        <v>49</v>
      </c>
      <c r="C494" s="11" t="s">
        <v>97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3" t="s">
        <v>35</v>
      </c>
      <c r="Q494" s="13" t="s">
        <v>35</v>
      </c>
      <c r="R494" s="13" t="s">
        <v>35</v>
      </c>
      <c r="S494" s="16" t="s">
        <v>36</v>
      </c>
      <c r="T494" s="16" t="s">
        <v>36</v>
      </c>
      <c r="U494" s="17">
        <v>0</v>
      </c>
      <c r="V494" s="13" t="s">
        <v>35</v>
      </c>
    </row>
    <row r="495" spans="1:22" s="5" customFormat="1" x14ac:dyDescent="0.15">
      <c r="A495" s="10">
        <v>484</v>
      </c>
      <c r="B495" s="12" t="s">
        <v>49</v>
      </c>
      <c r="C495" s="11" t="s">
        <v>97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3" t="s">
        <v>35</v>
      </c>
      <c r="Q495" s="13" t="s">
        <v>35</v>
      </c>
      <c r="R495" s="13" t="s">
        <v>35</v>
      </c>
      <c r="S495" s="16" t="s">
        <v>36</v>
      </c>
      <c r="T495" s="16" t="s">
        <v>36</v>
      </c>
      <c r="U495" s="17">
        <v>0</v>
      </c>
      <c r="V495" s="13" t="s">
        <v>35</v>
      </c>
    </row>
    <row r="496" spans="1:22" s="5" customFormat="1" x14ac:dyDescent="0.15">
      <c r="A496" s="10">
        <v>485</v>
      </c>
      <c r="B496" s="12" t="s">
        <v>49</v>
      </c>
      <c r="C496" s="11" t="s">
        <v>97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3" t="s">
        <v>35</v>
      </c>
      <c r="Q496" s="13" t="s">
        <v>35</v>
      </c>
      <c r="R496" s="13" t="s">
        <v>35</v>
      </c>
      <c r="S496" s="16" t="s">
        <v>36</v>
      </c>
      <c r="T496" s="16" t="s">
        <v>36</v>
      </c>
      <c r="U496" s="17">
        <v>0</v>
      </c>
      <c r="V496" s="13" t="s">
        <v>35</v>
      </c>
    </row>
    <row r="497" spans="1:24" s="5" customFormat="1" x14ac:dyDescent="0.15">
      <c r="A497" s="10">
        <v>486</v>
      </c>
      <c r="B497" s="12" t="s">
        <v>49</v>
      </c>
      <c r="C497" s="11" t="s">
        <v>97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3" t="s">
        <v>35</v>
      </c>
      <c r="Q497" s="13" t="s">
        <v>35</v>
      </c>
      <c r="R497" s="13" t="s">
        <v>35</v>
      </c>
      <c r="S497" s="16" t="s">
        <v>36</v>
      </c>
      <c r="T497" s="16" t="s">
        <v>36</v>
      </c>
      <c r="U497" s="17">
        <v>0</v>
      </c>
      <c r="V497" s="13" t="s">
        <v>35</v>
      </c>
    </row>
    <row r="498" spans="1:24" s="5" customFormat="1" x14ac:dyDescent="0.15">
      <c r="A498" s="10">
        <v>487</v>
      </c>
      <c r="B498" s="12" t="s">
        <v>49</v>
      </c>
      <c r="C498" s="11" t="s">
        <v>97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3" t="s">
        <v>35</v>
      </c>
      <c r="Q498" s="13" t="s">
        <v>35</v>
      </c>
      <c r="R498" s="13" t="s">
        <v>35</v>
      </c>
      <c r="S498" s="16" t="s">
        <v>36</v>
      </c>
      <c r="T498" s="16" t="s">
        <v>36</v>
      </c>
      <c r="U498" s="17">
        <v>0</v>
      </c>
      <c r="V498" s="13" t="s">
        <v>35</v>
      </c>
    </row>
    <row r="499" spans="1:24" s="5" customFormat="1" x14ac:dyDescent="0.15">
      <c r="A499" s="10">
        <v>488</v>
      </c>
      <c r="B499" s="12" t="s">
        <v>49</v>
      </c>
      <c r="C499" s="11" t="s">
        <v>97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3" t="s">
        <v>35</v>
      </c>
      <c r="Q499" s="13" t="s">
        <v>35</v>
      </c>
      <c r="R499" s="13" t="s">
        <v>35</v>
      </c>
      <c r="S499" s="16" t="s">
        <v>36</v>
      </c>
      <c r="T499" s="16" t="s">
        <v>36</v>
      </c>
      <c r="U499" s="17">
        <v>0</v>
      </c>
      <c r="V499" s="13" t="s">
        <v>35</v>
      </c>
    </row>
    <row r="500" spans="1:24" s="5" customFormat="1" x14ac:dyDescent="0.15">
      <c r="A500" s="10">
        <v>489</v>
      </c>
      <c r="B500" s="12" t="s">
        <v>49</v>
      </c>
      <c r="C500" s="11" t="s">
        <v>97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3" t="s">
        <v>35</v>
      </c>
      <c r="Q500" s="13" t="s">
        <v>35</v>
      </c>
      <c r="R500" s="13" t="s">
        <v>35</v>
      </c>
      <c r="S500" s="16" t="s">
        <v>36</v>
      </c>
      <c r="T500" s="16" t="s">
        <v>36</v>
      </c>
      <c r="U500" s="17">
        <v>0</v>
      </c>
      <c r="V500" s="13" t="s">
        <v>35</v>
      </c>
    </row>
    <row r="501" spans="1:24" x14ac:dyDescent="0.15">
      <c r="A501" s="10">
        <v>490</v>
      </c>
      <c r="B501" s="12" t="s">
        <v>49</v>
      </c>
      <c r="C501" s="11" t="s">
        <v>97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3" t="s">
        <v>35</v>
      </c>
      <c r="Q501" s="13" t="s">
        <v>35</v>
      </c>
      <c r="R501" s="13" t="s">
        <v>35</v>
      </c>
      <c r="S501" s="16" t="s">
        <v>36</v>
      </c>
      <c r="T501" s="16" t="s">
        <v>36</v>
      </c>
      <c r="U501" s="17">
        <v>0</v>
      </c>
      <c r="V501" s="13" t="s">
        <v>35</v>
      </c>
      <c r="W501" s="6"/>
      <c r="X501" s="6"/>
    </row>
    <row r="502" spans="1:24" ht="9.6" customHeight="1" x14ac:dyDescent="0.15">
      <c r="A502" s="10">
        <v>491</v>
      </c>
      <c r="B502" s="12" t="s">
        <v>49</v>
      </c>
      <c r="C502" s="11" t="s">
        <v>97</v>
      </c>
      <c r="D502" s="11"/>
      <c r="E502" s="10"/>
      <c r="F502" s="10"/>
      <c r="G502" s="10"/>
      <c r="H502" s="11" t="s">
        <v>30</v>
      </c>
      <c r="I502" s="11" t="s">
        <v>30</v>
      </c>
      <c r="J502" s="11" t="s">
        <v>30</v>
      </c>
      <c r="K502" s="11" t="s">
        <v>30</v>
      </c>
      <c r="L502" s="11" t="s">
        <v>30</v>
      </c>
      <c r="M502" s="11" t="s">
        <v>30</v>
      </c>
      <c r="N502" s="11" t="s">
        <v>30</v>
      </c>
      <c r="O502" s="11" t="s">
        <v>30</v>
      </c>
      <c r="P502" s="13" t="s">
        <v>35</v>
      </c>
      <c r="Q502" s="13" t="s">
        <v>35</v>
      </c>
      <c r="R502" s="13" t="s">
        <v>35</v>
      </c>
      <c r="S502" s="16" t="s">
        <v>36</v>
      </c>
      <c r="T502" s="16" t="s">
        <v>36</v>
      </c>
      <c r="U502" s="17">
        <v>0</v>
      </c>
      <c r="V502" s="13" t="s">
        <v>35</v>
      </c>
      <c r="W502" s="6"/>
      <c r="X502" s="6"/>
    </row>
    <row r="503" spans="1:24" ht="9.6" customHeight="1" x14ac:dyDescent="0.15">
      <c r="A503" s="10">
        <v>492</v>
      </c>
      <c r="B503" s="12" t="s">
        <v>49</v>
      </c>
      <c r="C503" s="11" t="s">
        <v>97</v>
      </c>
      <c r="D503" s="11"/>
      <c r="E503" s="10"/>
      <c r="F503" s="10"/>
      <c r="G503" s="10"/>
      <c r="H503" s="11" t="s">
        <v>30</v>
      </c>
      <c r="I503" s="11" t="s">
        <v>30</v>
      </c>
      <c r="J503" s="11" t="s">
        <v>30</v>
      </c>
      <c r="K503" s="11" t="s">
        <v>30</v>
      </c>
      <c r="L503" s="11" t="s">
        <v>30</v>
      </c>
      <c r="M503" s="11" t="s">
        <v>30</v>
      </c>
      <c r="N503" s="11" t="s">
        <v>30</v>
      </c>
      <c r="O503" s="11" t="s">
        <v>30</v>
      </c>
      <c r="P503" s="13" t="s">
        <v>35</v>
      </c>
      <c r="Q503" s="13" t="s">
        <v>35</v>
      </c>
      <c r="R503" s="13" t="s">
        <v>35</v>
      </c>
      <c r="S503" s="16" t="s">
        <v>36</v>
      </c>
      <c r="T503" s="16" t="s">
        <v>36</v>
      </c>
      <c r="U503" s="17">
        <v>0</v>
      </c>
      <c r="V503" s="13" t="s">
        <v>35</v>
      </c>
      <c r="W503" s="6"/>
      <c r="X503" s="6"/>
    </row>
    <row r="504" spans="1:24" ht="9.6" customHeight="1" x14ac:dyDescent="0.15">
      <c r="A504" s="10">
        <v>493</v>
      </c>
      <c r="B504" s="12" t="s">
        <v>49</v>
      </c>
      <c r="C504" s="11" t="s">
        <v>97</v>
      </c>
      <c r="D504" s="11"/>
      <c r="E504" s="10"/>
      <c r="F504" s="10"/>
      <c r="G504" s="10"/>
      <c r="H504" s="11" t="s">
        <v>30</v>
      </c>
      <c r="I504" s="11" t="s">
        <v>30</v>
      </c>
      <c r="J504" s="11" t="s">
        <v>30</v>
      </c>
      <c r="K504" s="11" t="s">
        <v>30</v>
      </c>
      <c r="L504" s="11" t="s">
        <v>30</v>
      </c>
      <c r="M504" s="11" t="s">
        <v>30</v>
      </c>
      <c r="N504" s="11" t="s">
        <v>30</v>
      </c>
      <c r="O504" s="11" t="s">
        <v>30</v>
      </c>
      <c r="P504" s="13" t="s">
        <v>35</v>
      </c>
      <c r="Q504" s="13" t="s">
        <v>35</v>
      </c>
      <c r="R504" s="13" t="s">
        <v>35</v>
      </c>
      <c r="S504" s="16" t="s">
        <v>36</v>
      </c>
      <c r="T504" s="16" t="s">
        <v>36</v>
      </c>
      <c r="U504" s="17">
        <v>0</v>
      </c>
      <c r="V504" s="13" t="s">
        <v>35</v>
      </c>
      <c r="W504" s="6"/>
      <c r="X504" s="6"/>
    </row>
    <row r="505" spans="1:24" ht="9.6" customHeight="1" x14ac:dyDescent="0.15">
      <c r="A505" s="10">
        <v>494</v>
      </c>
      <c r="B505" s="12" t="s">
        <v>49</v>
      </c>
      <c r="C505" s="11" t="s">
        <v>97</v>
      </c>
      <c r="D505" s="11"/>
      <c r="E505" s="10"/>
      <c r="F505" s="10"/>
      <c r="G505" s="10"/>
      <c r="H505" s="11" t="s">
        <v>30</v>
      </c>
      <c r="I505" s="11" t="s">
        <v>30</v>
      </c>
      <c r="J505" s="11" t="s">
        <v>30</v>
      </c>
      <c r="K505" s="11" t="s">
        <v>30</v>
      </c>
      <c r="L505" s="11" t="s">
        <v>30</v>
      </c>
      <c r="M505" s="11" t="s">
        <v>30</v>
      </c>
      <c r="N505" s="11" t="s">
        <v>30</v>
      </c>
      <c r="O505" s="11" t="s">
        <v>30</v>
      </c>
      <c r="P505" s="13" t="s">
        <v>35</v>
      </c>
      <c r="Q505" s="13" t="s">
        <v>35</v>
      </c>
      <c r="R505" s="13" t="s">
        <v>35</v>
      </c>
      <c r="S505" s="16" t="s">
        <v>36</v>
      </c>
      <c r="T505" s="16" t="s">
        <v>36</v>
      </c>
      <c r="U505" s="17">
        <v>0</v>
      </c>
      <c r="V505" s="13" t="s">
        <v>35</v>
      </c>
      <c r="W505" s="6"/>
      <c r="X505" s="6"/>
    </row>
    <row r="506" spans="1:24" ht="9.6" customHeight="1" x14ac:dyDescent="0.15">
      <c r="A506" s="10">
        <v>495</v>
      </c>
      <c r="B506" s="12" t="s">
        <v>49</v>
      </c>
      <c r="C506" s="11" t="s">
        <v>97</v>
      </c>
      <c r="D506" s="11"/>
      <c r="E506" s="10"/>
      <c r="F506" s="10"/>
      <c r="G506" s="10"/>
      <c r="H506" s="11" t="s">
        <v>30</v>
      </c>
      <c r="I506" s="11" t="s">
        <v>30</v>
      </c>
      <c r="J506" s="11" t="s">
        <v>30</v>
      </c>
      <c r="K506" s="11" t="s">
        <v>30</v>
      </c>
      <c r="L506" s="11" t="s">
        <v>30</v>
      </c>
      <c r="M506" s="11" t="s">
        <v>30</v>
      </c>
      <c r="N506" s="11" t="s">
        <v>30</v>
      </c>
      <c r="O506" s="11" t="s">
        <v>30</v>
      </c>
      <c r="P506" s="13" t="s">
        <v>35</v>
      </c>
      <c r="Q506" s="13" t="s">
        <v>35</v>
      </c>
      <c r="R506" s="13" t="s">
        <v>35</v>
      </c>
      <c r="S506" s="16" t="s">
        <v>36</v>
      </c>
      <c r="T506" s="16" t="s">
        <v>36</v>
      </c>
      <c r="U506" s="17">
        <v>0</v>
      </c>
      <c r="V506" s="13" t="s">
        <v>35</v>
      </c>
      <c r="W506" s="6"/>
      <c r="X506" s="6"/>
    </row>
    <row r="507" spans="1:24" ht="9.6" customHeight="1" x14ac:dyDescent="0.15">
      <c r="A507" s="10">
        <v>496</v>
      </c>
      <c r="B507" s="12" t="s">
        <v>49</v>
      </c>
      <c r="C507" s="11" t="s">
        <v>97</v>
      </c>
      <c r="D507" s="11"/>
      <c r="E507" s="10"/>
      <c r="F507" s="10"/>
      <c r="G507" s="10"/>
      <c r="H507" s="11" t="s">
        <v>30</v>
      </c>
      <c r="I507" s="11" t="s">
        <v>30</v>
      </c>
      <c r="J507" s="11" t="s">
        <v>30</v>
      </c>
      <c r="K507" s="11" t="s">
        <v>30</v>
      </c>
      <c r="L507" s="11" t="s">
        <v>30</v>
      </c>
      <c r="M507" s="11" t="s">
        <v>30</v>
      </c>
      <c r="N507" s="11" t="s">
        <v>30</v>
      </c>
      <c r="O507" s="11" t="s">
        <v>30</v>
      </c>
      <c r="P507" s="13" t="s">
        <v>35</v>
      </c>
      <c r="Q507" s="13" t="s">
        <v>35</v>
      </c>
      <c r="R507" s="13" t="s">
        <v>35</v>
      </c>
      <c r="S507" s="16" t="s">
        <v>36</v>
      </c>
      <c r="T507" s="16" t="s">
        <v>36</v>
      </c>
      <c r="U507" s="17">
        <v>0</v>
      </c>
      <c r="V507" s="13" t="s">
        <v>35</v>
      </c>
      <c r="W507" s="6"/>
      <c r="X507" s="6"/>
    </row>
    <row r="508" spans="1:24" ht="9.6" customHeight="1" x14ac:dyDescent="0.15">
      <c r="A508" s="10">
        <v>497</v>
      </c>
      <c r="B508" s="12" t="s">
        <v>49</v>
      </c>
      <c r="C508" s="11" t="s">
        <v>97</v>
      </c>
      <c r="D508" s="11"/>
      <c r="E508" s="10"/>
      <c r="F508" s="10"/>
      <c r="G508" s="10"/>
      <c r="H508" s="11" t="s">
        <v>30</v>
      </c>
      <c r="I508" s="11" t="s">
        <v>30</v>
      </c>
      <c r="J508" s="11" t="s">
        <v>30</v>
      </c>
      <c r="K508" s="11" t="s">
        <v>30</v>
      </c>
      <c r="L508" s="11" t="s">
        <v>30</v>
      </c>
      <c r="M508" s="11" t="s">
        <v>30</v>
      </c>
      <c r="N508" s="11" t="s">
        <v>30</v>
      </c>
      <c r="O508" s="11" t="s">
        <v>30</v>
      </c>
      <c r="P508" s="13" t="s">
        <v>35</v>
      </c>
      <c r="Q508" s="13" t="s">
        <v>35</v>
      </c>
      <c r="R508" s="13" t="s">
        <v>35</v>
      </c>
      <c r="S508" s="16" t="s">
        <v>36</v>
      </c>
      <c r="T508" s="16" t="s">
        <v>36</v>
      </c>
      <c r="U508" s="17">
        <v>0</v>
      </c>
      <c r="V508" s="13" t="s">
        <v>35</v>
      </c>
      <c r="W508" s="6"/>
      <c r="X508" s="6"/>
    </row>
    <row r="509" spans="1:24" ht="9.6" customHeight="1" x14ac:dyDescent="0.15">
      <c r="A509" s="10">
        <v>498</v>
      </c>
      <c r="B509" s="12" t="s">
        <v>49</v>
      </c>
      <c r="C509" s="11" t="s">
        <v>97</v>
      </c>
      <c r="D509" s="11"/>
      <c r="E509" s="10"/>
      <c r="F509" s="10"/>
      <c r="G509" s="10"/>
      <c r="H509" s="11" t="s">
        <v>30</v>
      </c>
      <c r="I509" s="11" t="s">
        <v>30</v>
      </c>
      <c r="J509" s="11" t="s">
        <v>30</v>
      </c>
      <c r="K509" s="11" t="s">
        <v>30</v>
      </c>
      <c r="L509" s="11" t="s">
        <v>30</v>
      </c>
      <c r="M509" s="11" t="s">
        <v>30</v>
      </c>
      <c r="N509" s="11" t="s">
        <v>30</v>
      </c>
      <c r="O509" s="11" t="s">
        <v>30</v>
      </c>
      <c r="P509" s="13" t="s">
        <v>35</v>
      </c>
      <c r="Q509" s="13" t="s">
        <v>35</v>
      </c>
      <c r="R509" s="13" t="s">
        <v>35</v>
      </c>
      <c r="S509" s="16" t="s">
        <v>36</v>
      </c>
      <c r="T509" s="16" t="s">
        <v>36</v>
      </c>
      <c r="U509" s="17">
        <v>0</v>
      </c>
      <c r="V509" s="13" t="s">
        <v>35</v>
      </c>
      <c r="W509" s="6"/>
      <c r="X509" s="6"/>
    </row>
    <row r="510" spans="1:24" ht="9.6" customHeight="1" x14ac:dyDescent="0.15">
      <c r="A510" s="10">
        <v>499</v>
      </c>
      <c r="B510" s="12" t="s">
        <v>49</v>
      </c>
      <c r="C510" s="11" t="s">
        <v>97</v>
      </c>
      <c r="D510" s="11"/>
      <c r="E510" s="10"/>
      <c r="F510" s="10"/>
      <c r="G510" s="10"/>
      <c r="H510" s="11" t="s">
        <v>30</v>
      </c>
      <c r="I510" s="11" t="s">
        <v>30</v>
      </c>
      <c r="J510" s="11" t="s">
        <v>30</v>
      </c>
      <c r="K510" s="11" t="s">
        <v>30</v>
      </c>
      <c r="L510" s="11" t="s">
        <v>30</v>
      </c>
      <c r="M510" s="11" t="s">
        <v>30</v>
      </c>
      <c r="N510" s="11" t="s">
        <v>30</v>
      </c>
      <c r="O510" s="11" t="s">
        <v>30</v>
      </c>
      <c r="P510" s="13" t="s">
        <v>35</v>
      </c>
      <c r="Q510" s="13" t="s">
        <v>35</v>
      </c>
      <c r="R510" s="13" t="s">
        <v>35</v>
      </c>
      <c r="S510" s="16" t="s">
        <v>36</v>
      </c>
      <c r="T510" s="16" t="s">
        <v>36</v>
      </c>
      <c r="U510" s="17">
        <v>0</v>
      </c>
      <c r="V510" s="13" t="s">
        <v>35</v>
      </c>
      <c r="W510" s="6"/>
      <c r="X510" s="6"/>
    </row>
    <row r="511" spans="1:24" ht="9.6" customHeight="1" x14ac:dyDescent="0.15">
      <c r="A511" s="10">
        <v>500</v>
      </c>
      <c r="B511" s="12" t="s">
        <v>49</v>
      </c>
      <c r="C511" s="11" t="s">
        <v>97</v>
      </c>
      <c r="D511" s="11"/>
      <c r="E511" s="10"/>
      <c r="F511" s="10"/>
      <c r="G511" s="10"/>
      <c r="H511" s="11" t="s">
        <v>30</v>
      </c>
      <c r="I511" s="11" t="s">
        <v>30</v>
      </c>
      <c r="J511" s="11" t="s">
        <v>30</v>
      </c>
      <c r="K511" s="11" t="s">
        <v>30</v>
      </c>
      <c r="L511" s="11" t="s">
        <v>30</v>
      </c>
      <c r="M511" s="11" t="s">
        <v>30</v>
      </c>
      <c r="N511" s="11" t="s">
        <v>30</v>
      </c>
      <c r="O511" s="11" t="s">
        <v>30</v>
      </c>
      <c r="P511" s="13" t="s">
        <v>35</v>
      </c>
      <c r="Q511" s="13" t="s">
        <v>35</v>
      </c>
      <c r="R511" s="13" t="s">
        <v>35</v>
      </c>
      <c r="S511" s="16" t="s">
        <v>36</v>
      </c>
      <c r="T511" s="16" t="s">
        <v>36</v>
      </c>
      <c r="U511" s="17">
        <v>0</v>
      </c>
      <c r="V511" s="13" t="s">
        <v>35</v>
      </c>
      <c r="W511" s="6"/>
      <c r="X511" s="6"/>
    </row>
    <row r="512" spans="1:24" hidden="1" x14ac:dyDescent="0.15"/>
  </sheetData>
  <phoneticPr fontId="1"/>
  <conditionalFormatting sqref="A12:V511">
    <cfRule type="expression" dxfId="5" priority="1">
      <formula>$C12="★★☆"</formula>
    </cfRule>
    <cfRule type="expression" dxfId="4" priority="2">
      <formula>$C12="★★★"</formula>
    </cfRule>
    <cfRule type="expression" dxfId="3" priority="22">
      <formula>AND($F12&lt;&gt;"",$B12="TODO保")</formula>
    </cfRule>
    <cfRule type="expression" dxfId="2" priority="23">
      <formula>AND($F12&lt;&gt;"",$B12="TODO完")</formula>
    </cfRule>
    <cfRule type="expression" dxfId="1" priority="24">
      <formula>AND($F12&lt;&gt;"",$B12="TODO未")</formula>
    </cfRule>
    <cfRule type="expression" dxfId="0" priority="26">
      <formula>AND($F12&lt;&gt;"",$B12="MEMO")</formula>
    </cfRule>
  </conditionalFormatting>
  <dataValidations count="3">
    <dataValidation type="list" allowBlank="1" showInputMessage="1" showErrorMessage="1" sqref="H12:R511" xr:uid="{ECD1FE9C-B088-493E-8AD0-1085143B5B29}">
      <formula1>"★,☆,-"</formula1>
    </dataValidation>
    <dataValidation type="list" allowBlank="1" showInputMessage="1" showErrorMessage="1" sqref="C12:C511" xr:uid="{515C2FFE-78A1-4A7F-A34D-C1C950D99DAE}">
      <formula1>"―――,★☆☆,★★☆,★★★"</formula1>
    </dataValidation>
    <dataValidation type="list" allowBlank="1" showInputMessage="1" showErrorMessage="1" sqref="B12:B51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297180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10</xdr:row>
                    <xdr:rowOff>175260</xdr:rowOff>
                  </from>
                  <to>
                    <xdr:col>0</xdr:col>
                    <xdr:colOff>228600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182880</xdr:rowOff>
                  </from>
                  <to>
                    <xdr:col>3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175260</xdr:rowOff>
                  </from>
                  <to>
                    <xdr:col>2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358140</xdr:rowOff>
                  </from>
                  <to>
                    <xdr:col>2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518160</xdr:rowOff>
                  </from>
                  <to>
                    <xdr:col>2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678180</xdr:rowOff>
                  </from>
                  <to>
                    <xdr:col>2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548640</xdr:rowOff>
                  </from>
                  <to>
                    <xdr:col>3</xdr:col>
                    <xdr:colOff>662940</xdr:colOff>
                    <xdr:row>10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7" name="Button 9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2</xdr:row>
                    <xdr:rowOff>15240</xdr:rowOff>
                  </from>
                  <to>
                    <xdr:col>3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8" name="Button 10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15240</xdr:rowOff>
                  </from>
                  <to>
                    <xdr:col>3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9" name="Button 10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15240</xdr:rowOff>
                  </from>
                  <to>
                    <xdr:col>3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0" name="Button 10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15240</xdr:rowOff>
                  </from>
                  <to>
                    <xdr:col>3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1" name="Button 10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15240</xdr:rowOff>
                  </from>
                  <to>
                    <xdr:col>3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2" name="Button 10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15240</xdr:rowOff>
                  </from>
                  <to>
                    <xdr:col>3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3" name="Button 105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15240</xdr:rowOff>
                  </from>
                  <to>
                    <xdr:col>3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4" name="Button 106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15240</xdr:rowOff>
                  </from>
                  <to>
                    <xdr:col>3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25" name="Button 10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3</xdr:row>
                    <xdr:rowOff>0</xdr:rowOff>
                  </from>
                  <to>
                    <xdr:col>2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26" name="Button 109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4</xdr:row>
                    <xdr:rowOff>0</xdr:rowOff>
                  </from>
                  <to>
                    <xdr:col>2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27" name="Button 11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5</xdr:row>
                    <xdr:rowOff>0</xdr:rowOff>
                  </from>
                  <to>
                    <xdr:col>2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28" name="Button 11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6</xdr:row>
                    <xdr:rowOff>0</xdr:rowOff>
                  </from>
                  <to>
                    <xdr:col>2</xdr:col>
                    <xdr:colOff>449580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29" name="Button 11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7</xdr:row>
                    <xdr:rowOff>0</xdr:rowOff>
                  </from>
                  <to>
                    <xdr:col>2</xdr:col>
                    <xdr:colOff>449580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0" name="Button 11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8</xdr:row>
                    <xdr:rowOff>0</xdr:rowOff>
                  </from>
                  <to>
                    <xdr:col>2</xdr:col>
                    <xdr:colOff>449580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1" name="Button 114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9</xdr:row>
                    <xdr:rowOff>0</xdr:rowOff>
                  </from>
                  <to>
                    <xdr:col>2</xdr:col>
                    <xdr:colOff>449580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32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10</xdr:row>
                    <xdr:rowOff>541020</xdr:rowOff>
                  </from>
                  <to>
                    <xdr:col>1</xdr:col>
                    <xdr:colOff>579120</xdr:colOff>
                    <xdr:row>10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33" name="Button 15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5</xdr:row>
                    <xdr:rowOff>0</xdr:rowOff>
                  </from>
                  <to>
                    <xdr:col>1</xdr:col>
                    <xdr:colOff>464820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34" name="Button 154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6</xdr:row>
                    <xdr:rowOff>0</xdr:rowOff>
                  </from>
                  <to>
                    <xdr:col>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35" name="Button 15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7</xdr:row>
                    <xdr:rowOff>0</xdr:rowOff>
                  </from>
                  <to>
                    <xdr:col>1</xdr:col>
                    <xdr:colOff>464820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36" name="Button 156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8</xdr:row>
                    <xdr:rowOff>0</xdr:rowOff>
                  </from>
                  <to>
                    <xdr:col>1</xdr:col>
                    <xdr:colOff>464820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37" name="Button 15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9</xdr:row>
                    <xdr:rowOff>0</xdr:rowOff>
                  </from>
                  <to>
                    <xdr:col>1</xdr:col>
                    <xdr:colOff>464820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3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改訂履歴</vt:lpstr>
      <vt:lpstr>SRCパス</vt:lpstr>
      <vt:lpstr>進捗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2020-02-29T09:11:58Z</dcterms:modified>
</cp:coreProperties>
</file>