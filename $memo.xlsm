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filterPrivacy="1" codeName="ThisWorkbook" defaultThemeVersion="124226"/>
  <xr:revisionPtr revIDLastSave="0" documentId="13_ncr:1_{E9E6090B-B353-4B35-A1AD-77F46C0B4B46}" xr6:coauthVersionLast="45" xr6:coauthVersionMax="45" xr10:uidLastSave="{00000000-0000-0000-0000-000000000000}"/>
  <bookViews>
    <workbookView xWindow="-108" yWindow="-108" windowWidth="21684" windowHeight="13176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MEMO!$A$11:$V$511</definedName>
    <definedName name="testname01">#REF!</definedName>
    <definedName name="testname03">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6" l="1"/>
  <c r="C18" i="6"/>
  <c r="E18" i="6" s="1"/>
  <c r="C17" i="6"/>
  <c r="E17" i="6" s="1"/>
  <c r="B21" i="6"/>
  <c r="C16" i="6"/>
  <c r="C19" i="6"/>
  <c r="C15" i="6"/>
  <c r="C14" i="6"/>
  <c r="C21" i="6" l="1"/>
  <c r="E16" i="6"/>
  <c r="E19" i="6"/>
  <c r="E15" i="6"/>
  <c r="E14" i="6" l="1"/>
  <c r="E21" i="6" s="1"/>
  <c r="B7" i="6" l="1"/>
  <c r="B8" i="6" l="1"/>
  <c r="B9" i="6" s="1"/>
</calcChain>
</file>

<file path=xl/sharedStrings.xml><?xml version="1.0" encoding="utf-8"?>
<sst xmlns="http://schemas.openxmlformats.org/spreadsheetml/2006/main" count="8092" uniqueCount="97">
  <si>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</si>
  <si>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</si>
  <si>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</si>
  <si>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</si>
  <si>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</si>
  <si>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</si>
  <si>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</si>
  <si>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</si>
  <si>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</si>
  <si>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</si>
  <si>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</si>
  <si>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</si>
  <si>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</si>
  <si>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</si>
  <si>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</si>
  <si>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</si>
  <si>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</si>
  <si>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</si>
  <si>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</si>
  <si>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</si>
  <si>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</si>
  <si>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</si>
  <si>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</si>
  <si>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</si>
  <si>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</si>
  <si>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</si>
  <si>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</si>
  <si>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</si>
  <si>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</si>
  <si>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</si>
  <si>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</si>
  <si>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</si>
  <si>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</si>
  <si>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</si>
  <si>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</si>
  <si>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</si>
  <si>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</si>
  <si>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</si>
  <si>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</si>
  <si>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</si>
  <si>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</si>
  <si>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</si>
  <si>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</si>
  <si>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</si>
  <si>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</si>
  <si>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</si>
  <si>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</si>
  <si>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</si>
  <si>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</si>
  <si>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</si>
  <si>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</si>
  <si>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</si>
  <si>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</si>
  <si>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</si>
  <si>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</si>
  <si>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</si>
  <si>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</si>
  <si>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</si>
  <si>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</si>
  <si>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</si>
  <si>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</si>
  <si>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</si>
  <si>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</si>
  <si>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</si>
  <si>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</si>
  <si>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</si>
  <si>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</si>
  <si>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</si>
  <si>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</si>
  <si>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</si>
  <si>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</si>
  <si>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</si>
  <si>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</si>
  <si>
    <t>作業</t>
    <rPh sb="0" eb="2">
      <t>サギョウ</t>
    </rPh>
    <phoneticPr fontId="9"/>
  </si>
  <si>
    <t>AAA</t>
    <phoneticPr fontId="9"/>
  </si>
  <si>
    <t>BBB</t>
    <phoneticPr fontId="9"/>
  </si>
  <si>
    <t>見積</t>
    <rPh sb="0" eb="2">
      <t>ミツモリ</t>
    </rPh>
    <phoneticPr fontId="9"/>
  </si>
  <si>
    <t>実績</t>
    <rPh sb="0" eb="2">
      <t>ジッセキ</t>
    </rPh>
    <phoneticPr fontId="9"/>
  </si>
  <si>
    <t>CCC</t>
    <phoneticPr fontId="9"/>
  </si>
  <si>
    <t>DDD</t>
    <phoneticPr fontId="9"/>
  </si>
  <si>
    <t>開始日</t>
    <rPh sb="0" eb="3">
      <t>カイシビ</t>
    </rPh>
    <phoneticPr fontId="9"/>
  </si>
  <si>
    <t>終了日</t>
    <rPh sb="0" eb="3">
      <t>シュウリョウビ</t>
    </rPh>
    <phoneticPr fontId="9"/>
  </si>
  <si>
    <t>現在(作業終了時点)</t>
    <rPh sb="0" eb="2">
      <t>ゲンザイ</t>
    </rPh>
    <rPh sb="3" eb="5">
      <t>サギョウ</t>
    </rPh>
    <rPh sb="5" eb="7">
      <t>シュウリョウ</t>
    </rPh>
    <rPh sb="7" eb="9">
      <t>ジテン</t>
    </rPh>
    <phoneticPr fontId="9"/>
  </si>
  <si>
    <t>進捗[%]</t>
    <rPh sb="0" eb="2">
      <t>シンチョク</t>
    </rPh>
    <phoneticPr fontId="9"/>
  </si>
  <si>
    <t>進捗率[%]</t>
    <rPh sb="0" eb="2">
      <t>シンチョク</t>
    </rPh>
    <rPh sb="2" eb="3">
      <t>リツ</t>
    </rPh>
    <phoneticPr fontId="9"/>
  </si>
  <si>
    <t>進捗率(計画)[%]</t>
    <rPh sb="0" eb="2">
      <t>シンチョク</t>
    </rPh>
    <rPh sb="2" eb="3">
      <t>リツ</t>
    </rPh>
    <phoneticPr fontId="9"/>
  </si>
  <si>
    <t>進捗率(実績)[%]</t>
    <rPh sb="0" eb="2">
      <t>シンチョク</t>
    </rPh>
    <rPh sb="2" eb="3">
      <t>リツ</t>
    </rPh>
    <rPh sb="4" eb="6">
      <t>ジッセキ</t>
    </rPh>
    <phoneticPr fontId="9"/>
  </si>
  <si>
    <t>進捗率差分[%]</t>
    <rPh sb="0" eb="2">
      <t>シンチョク</t>
    </rPh>
    <rPh sb="2" eb="3">
      <t>リツ</t>
    </rPh>
    <rPh sb="3" eb="5">
      <t>サブン</t>
    </rPh>
    <phoneticPr fontId="9"/>
  </si>
  <si>
    <t>進捗[日]</t>
    <rPh sb="0" eb="2">
      <t>シンチョク</t>
    </rPh>
    <rPh sb="3" eb="4">
      <t>ニチ</t>
    </rPh>
    <phoneticPr fontId="9"/>
  </si>
  <si>
    <t>日数[日]</t>
    <rPh sb="0" eb="2">
      <t>ニッスウ</t>
    </rPh>
    <rPh sb="3" eb="4">
      <t>ニチ</t>
    </rPh>
    <phoneticPr fontId="9"/>
  </si>
  <si>
    <t>-</t>
    <phoneticPr fontId="9"/>
  </si>
  <si>
    <t>割合[%]</t>
    <rPh sb="0" eb="2">
      <t>ワリアイ</t>
    </rPh>
    <phoneticPr fontId="9"/>
  </si>
  <si>
    <t>合計</t>
    <rPh sb="0" eb="2">
      <t>ゴウケイ</t>
    </rPh>
    <phoneticPr fontId="9"/>
  </si>
  <si>
    <t>残日数[日]</t>
    <rPh sb="0" eb="1">
      <t>ザン</t>
    </rPh>
    <rPh sb="1" eb="3">
      <t>ニッスウ</t>
    </rPh>
    <phoneticPr fontId="9"/>
  </si>
  <si>
    <t>総日数[日]</t>
    <rPh sb="0" eb="1">
      <t>ソウ</t>
    </rPh>
    <rPh sb="1" eb="3">
      <t>ニッスウ</t>
    </rPh>
    <phoneticPr fontId="9"/>
  </si>
  <si>
    <t>1.4.1</t>
    <phoneticPr fontId="1"/>
  </si>
  <si>
    <t>・進捗シート追加</t>
    <rPh sb="1" eb="3">
      <t>シンチョク</t>
    </rPh>
    <rPh sb="6" eb="8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</si>
</sst>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m/d\(aaa\)"/>
    <numFmt numFmtId="177" formatCode="0.00_ "/>
    <numFmt numFmtId="178" formatCode="yyyy/mm/dd"/>
    <numFmt numFmtId="184" formatCode="0.0_ "/>
    <numFmt numFmtId="185" formatCode="0.0%"/>
  </numFmts>
  <fonts count="11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56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4" fontId="0" fillId="0" borderId="2" xfId="0" applyNumberFormat="1" applyBorder="1">
      <alignment vertical="top"/>
    </xf>
    <xf numFmtId="185" fontId="0" fillId="0" borderId="2" xfId="0" applyNumberFormat="1" applyBorder="1">
      <alignment vertical="top"/>
    </xf>
    <xf numFmtId="0" fontId="0" fillId="0" borderId="2" xfId="0" applyBorder="1">
      <alignment vertical="top"/>
    </xf>
    <xf numFmtId="178" fontId="0" fillId="0" borderId="2" xfId="0" applyNumberFormat="1" applyBorder="1">
      <alignment vertical="top"/>
    </xf>
    <xf numFmtId="0" fontId="0" fillId="2" borderId="2" xfId="0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5" fontId="0" fillId="4" borderId="2" xfId="0" applyNumberFormat="1" applyFill="1" applyBorder="1">
      <alignment vertical="top"/>
    </xf>
    <xf numFmtId="184" fontId="0" fillId="4" borderId="2" xfId="0" applyNumberFormat="1" applyFill="1" applyBorder="1">
      <alignment vertical="top"/>
    </xf>
    <xf numFmtId="185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2" fillId="0" borderId="0" xfId="1" applyFill="1">
      <alignment vertical="top"/>
    </xf>
    <xf numFmtId="0" fontId="0" fillId="4" borderId="2" xfId="0" applyFill="1" applyBorder="1">
      <alignment vertical="top"/>
    </xf>
  </cellXfs>
  <cellStyles count="2">
    <cellStyle name="標準" xfId="0" builtinId="0" customBuiltin="1"/>
    <cellStyle name="標準 2" xfId="1" xr:uid="{35ABB0CB-344E-4DEC-8669-9E136E673071}"/>
  </cellStyles>
  <dxfs count="51"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0" dataDxfId="39" totalsRowDxfId="38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6" xr3:uid="{8544C34A-4524-4384-949C-238FA1CC1876}" name="期限" dataDxfId="19" totalsRowDxfId="18"/>
    <tableColumn id="8" xr3:uid="{00000000-0010-0000-0000-000008000000}" name="追加日" dataDxfId="17" totalsRowDxfId="16"/>
    <tableColumn id="10" xr3:uid="{00000000-0010-0000-0000-00000A000000}" name="工数[h]" dataDxfId="15" totalsRow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19"/>
  <sheetViews>
    <sheetView showGridLines="0" tabSelected="1" workbookViewId="0">
      <selection activeCell="A2" sqref="A2"/>
    </sheetView>
  </sheetViews>
  <sheetFormatPr defaultColWidth="0" defaultRowHeight="10.8" zeroHeight="1" x14ac:dyDescent="0.15"/>
  <cols>
    <col min="1" max="1" width="9.140625" style="1" customWidth="1"/>
    <col min="2" max="2" width="12.28515625" style="1" customWidth="1"/>
    <col min="3" max="3" width="46.140625" style="1" customWidth="1"/>
    <col min="4" max="16384" width="9.140625" style="1" hidden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42</v>
      </c>
      <c r="B10" s="26">
        <v>43623</v>
      </c>
      <c r="C10" s="9" t="s">
        <v>43</v>
      </c>
    </row>
    <row r="11" spans="1:3" x14ac:dyDescent="0.15">
      <c r="A11" s="24" t="s">
        <v>49</v>
      </c>
      <c r="B11" s="26">
        <v>43631</v>
      </c>
      <c r="C11" s="25" t="s">
        <v>50</v>
      </c>
    </row>
    <row r="12" spans="1:3" ht="48" x14ac:dyDescent="0.15">
      <c r="A12" s="24" t="s">
        <v>56</v>
      </c>
      <c r="B12" s="26">
        <v>43636</v>
      </c>
      <c r="C12" s="9" t="s">
        <v>57</v>
      </c>
    </row>
    <row r="13" spans="1:3" ht="48" x14ac:dyDescent="0.15">
      <c r="A13" s="4" t="s">
        <v>63</v>
      </c>
      <c r="B13" s="26">
        <v>43639</v>
      </c>
      <c r="C13" s="9" t="s">
        <v>64</v>
      </c>
    </row>
    <row r="14" spans="1:3" ht="19.2" x14ac:dyDescent="0.15">
      <c r="A14" s="24" t="s">
        <v>69</v>
      </c>
      <c r="B14" s="26">
        <v>43706</v>
      </c>
      <c r="C14" s="9" t="s">
        <v>70</v>
      </c>
    </row>
    <row r="15" spans="1:3" x14ac:dyDescent="0.15">
      <c r="A15" s="24" t="s">
        <v>95</v>
      </c>
      <c r="B15" s="26">
        <v>43766</v>
      </c>
      <c r="C15" s="25" t="s">
        <v>96</v>
      </c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D202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0" defaultRowHeight="10.8" zeroHeight="1" x14ac:dyDescent="0.15"/>
  <cols>
    <col min="1" max="1" width="21" style="29" bestFit="1" customWidth="1"/>
    <col min="2" max="4" width="57.140625" style="29" customWidth="1"/>
    <col min="5" max="16384" width="9.140625" style="29" hidden="1"/>
  </cols>
  <sheetData>
    <row r="1" spans="1:4" s="52" customFormat="1" x14ac:dyDescent="0.15"/>
    <row r="2" spans="1:4" s="52" customFormat="1" x14ac:dyDescent="0.15"/>
    <row r="3" spans="1:4" ht="25.8" customHeight="1" x14ac:dyDescent="0.15"/>
    <row r="4" spans="1:4" ht="3.6" customHeight="1" x14ac:dyDescent="0.15"/>
    <row r="5" spans="1:4" x14ac:dyDescent="0.15">
      <c r="A5" s="33" t="s">
        <v>68</v>
      </c>
      <c r="B5" s="30"/>
      <c r="C5" s="30"/>
      <c r="D5" s="30"/>
    </row>
    <row r="6" spans="1:4" s="54" customFormat="1" ht="3.6" customHeight="1" x14ac:dyDescent="0.15"/>
    <row r="7" spans="1:4" x14ac:dyDescent="0.15">
      <c r="A7" s="33" t="s">
        <v>65</v>
      </c>
      <c r="B7" s="51"/>
      <c r="C7" s="51"/>
      <c r="D7" s="51"/>
    </row>
    <row r="8" spans="1:4" x14ac:dyDescent="0.15">
      <c r="A8" s="33" t="s">
        <v>66</v>
      </c>
      <c r="B8" s="51"/>
      <c r="C8" s="51"/>
      <c r="D8" s="51"/>
    </row>
    <row r="9" spans="1:4" s="54" customFormat="1" ht="3.6" customHeight="1" x14ac:dyDescent="0.15"/>
    <row r="10" spans="1:4" x14ac:dyDescent="0.15">
      <c r="A10" s="34" t="s">
        <v>67</v>
      </c>
      <c r="B10" s="53"/>
      <c r="C10" s="53"/>
      <c r="D10" s="53"/>
    </row>
    <row r="11" spans="1:4" x14ac:dyDescent="0.15">
      <c r="A11" s="31"/>
      <c r="B11" s="53"/>
      <c r="C11" s="53"/>
      <c r="D11" s="53"/>
    </row>
    <row r="12" spans="1:4" x14ac:dyDescent="0.15">
      <c r="A12" s="31"/>
      <c r="B12" s="53"/>
      <c r="C12" s="53"/>
      <c r="D12" s="53"/>
    </row>
    <row r="13" spans="1:4" x14ac:dyDescent="0.15">
      <c r="A13" s="31"/>
      <c r="B13" s="53"/>
      <c r="C13" s="53"/>
      <c r="D13" s="53"/>
    </row>
    <row r="14" spans="1:4" x14ac:dyDescent="0.15">
      <c r="A14" s="31"/>
      <c r="B14" s="53"/>
      <c r="C14" s="53"/>
      <c r="D14" s="53"/>
    </row>
    <row r="15" spans="1:4" x14ac:dyDescent="0.15">
      <c r="A15" s="31"/>
      <c r="B15" s="53"/>
      <c r="C15" s="53"/>
      <c r="D15" s="53"/>
    </row>
    <row r="16" spans="1:4" x14ac:dyDescent="0.15">
      <c r="A16" s="31"/>
      <c r="B16" s="53"/>
      <c r="C16" s="53"/>
      <c r="D16" s="53"/>
    </row>
    <row r="17" spans="1:4" x14ac:dyDescent="0.15">
      <c r="A17" s="31"/>
      <c r="B17" s="53"/>
      <c r="C17" s="53"/>
      <c r="D17" s="53"/>
    </row>
    <row r="18" spans="1:4" x14ac:dyDescent="0.15">
      <c r="A18" s="31"/>
      <c r="B18" s="53"/>
      <c r="C18" s="53"/>
      <c r="D18" s="53"/>
    </row>
    <row r="19" spans="1:4" x14ac:dyDescent="0.15">
      <c r="A19" s="31"/>
      <c r="B19" s="53"/>
      <c r="C19" s="53"/>
      <c r="D19" s="53"/>
    </row>
    <row r="20" spans="1:4" x14ac:dyDescent="0.15">
      <c r="A20" s="31"/>
      <c r="B20" s="53"/>
      <c r="C20" s="53"/>
      <c r="D20" s="53"/>
    </row>
    <row r="21" spans="1:4" x14ac:dyDescent="0.15">
      <c r="A21" s="31"/>
      <c r="B21" s="53"/>
      <c r="C21" s="53"/>
      <c r="D21" s="53"/>
    </row>
    <row r="22" spans="1:4" x14ac:dyDescent="0.15">
      <c r="A22" s="31"/>
      <c r="B22" s="53"/>
      <c r="C22" s="53"/>
      <c r="D22" s="53"/>
    </row>
    <row r="23" spans="1:4" x14ac:dyDescent="0.15">
      <c r="A23" s="31"/>
      <c r="B23" s="53"/>
      <c r="C23" s="53"/>
      <c r="D23" s="53"/>
    </row>
    <row r="24" spans="1:4" x14ac:dyDescent="0.15">
      <c r="A24" s="31"/>
      <c r="B24" s="53"/>
      <c r="C24" s="53"/>
      <c r="D24" s="53"/>
    </row>
    <row r="25" spans="1:4" x14ac:dyDescent="0.15">
      <c r="A25" s="31"/>
      <c r="B25" s="53"/>
      <c r="C25" s="53"/>
      <c r="D25" s="53"/>
    </row>
    <row r="26" spans="1:4" x14ac:dyDescent="0.15">
      <c r="A26" s="31"/>
      <c r="B26" s="53"/>
      <c r="C26" s="53"/>
      <c r="D26" s="53"/>
    </row>
    <row r="27" spans="1:4" x14ac:dyDescent="0.15">
      <c r="A27" s="31"/>
      <c r="B27" s="53"/>
      <c r="C27" s="53"/>
      <c r="D27" s="53"/>
    </row>
    <row r="28" spans="1:4" x14ac:dyDescent="0.15">
      <c r="A28" s="31"/>
      <c r="B28" s="53"/>
      <c r="C28" s="53"/>
      <c r="D28" s="53"/>
    </row>
    <row r="29" spans="1:4" x14ac:dyDescent="0.15">
      <c r="A29" s="31"/>
      <c r="B29" s="53"/>
      <c r="C29" s="53"/>
      <c r="D29" s="53"/>
    </row>
    <row r="30" spans="1:4" x14ac:dyDescent="0.15">
      <c r="A30" s="31"/>
      <c r="B30" s="53"/>
      <c r="C30" s="53"/>
      <c r="D30" s="53"/>
    </row>
    <row r="31" spans="1:4" x14ac:dyDescent="0.15">
      <c r="A31" s="31"/>
      <c r="B31" s="53"/>
      <c r="C31" s="53"/>
      <c r="D31" s="53"/>
    </row>
    <row r="32" spans="1:4" x14ac:dyDescent="0.15">
      <c r="A32" s="31"/>
      <c r="B32" s="53"/>
      <c r="C32" s="53"/>
      <c r="D32" s="53"/>
    </row>
    <row r="33" spans="1:4" x14ac:dyDescent="0.15">
      <c r="A33" s="31"/>
      <c r="B33" s="53"/>
      <c r="C33" s="53"/>
      <c r="D33" s="53"/>
    </row>
    <row r="34" spans="1:4" x14ac:dyDescent="0.15">
      <c r="A34" s="31"/>
      <c r="B34" s="53"/>
      <c r="C34" s="53"/>
      <c r="D34" s="53"/>
    </row>
    <row r="35" spans="1:4" x14ac:dyDescent="0.15">
      <c r="A35" s="31"/>
      <c r="B35" s="53"/>
      <c r="C35" s="53"/>
      <c r="D35" s="53"/>
    </row>
    <row r="36" spans="1:4" x14ac:dyDescent="0.15">
      <c r="A36" s="31"/>
      <c r="B36" s="53"/>
      <c r="C36" s="53"/>
      <c r="D36" s="53"/>
    </row>
    <row r="37" spans="1:4" x14ac:dyDescent="0.15">
      <c r="A37" s="31"/>
      <c r="B37" s="53"/>
      <c r="C37" s="53"/>
      <c r="D37" s="53"/>
    </row>
    <row r="38" spans="1:4" x14ac:dyDescent="0.15">
      <c r="A38" s="31"/>
      <c r="B38" s="53"/>
      <c r="C38" s="53"/>
      <c r="D38" s="53"/>
    </row>
    <row r="39" spans="1:4" x14ac:dyDescent="0.15">
      <c r="A39" s="31"/>
      <c r="B39" s="53"/>
      <c r="C39" s="53"/>
      <c r="D39" s="53"/>
    </row>
    <row r="40" spans="1:4" x14ac:dyDescent="0.15">
      <c r="A40" s="31"/>
      <c r="B40" s="53"/>
      <c r="C40" s="53"/>
      <c r="D40" s="53"/>
    </row>
    <row r="41" spans="1:4" x14ac:dyDescent="0.15">
      <c r="A41" s="31"/>
      <c r="B41" s="53"/>
      <c r="C41" s="53"/>
      <c r="D41" s="53"/>
    </row>
    <row r="42" spans="1:4" x14ac:dyDescent="0.15">
      <c r="A42" s="31"/>
      <c r="B42" s="53"/>
      <c r="C42" s="53"/>
      <c r="D42" s="53"/>
    </row>
    <row r="43" spans="1:4" x14ac:dyDescent="0.15">
      <c r="A43" s="31"/>
      <c r="B43" s="53"/>
      <c r="C43" s="53"/>
      <c r="D43" s="53"/>
    </row>
    <row r="44" spans="1:4" x14ac:dyDescent="0.15">
      <c r="A44" s="31"/>
      <c r="B44" s="53"/>
      <c r="C44" s="53"/>
      <c r="D44" s="53"/>
    </row>
    <row r="45" spans="1:4" x14ac:dyDescent="0.15">
      <c r="A45" s="31"/>
      <c r="B45" s="53"/>
      <c r="C45" s="53"/>
      <c r="D45" s="53"/>
    </row>
    <row r="46" spans="1:4" x14ac:dyDescent="0.15">
      <c r="A46" s="31"/>
      <c r="B46" s="53"/>
      <c r="C46" s="53"/>
      <c r="D46" s="53"/>
    </row>
    <row r="47" spans="1:4" x14ac:dyDescent="0.15">
      <c r="A47" s="31"/>
      <c r="B47" s="53"/>
      <c r="C47" s="53"/>
      <c r="D47" s="53"/>
    </row>
    <row r="48" spans="1:4" x14ac:dyDescent="0.15">
      <c r="A48" s="31"/>
      <c r="B48" s="53"/>
      <c r="C48" s="53"/>
      <c r="D48" s="53"/>
    </row>
    <row r="49" spans="1:4" x14ac:dyDescent="0.15">
      <c r="A49" s="31"/>
      <c r="B49" s="53"/>
      <c r="C49" s="53"/>
      <c r="D49" s="53"/>
    </row>
    <row r="50" spans="1:4" x14ac:dyDescent="0.15">
      <c r="A50" s="31"/>
      <c r="B50" s="53"/>
      <c r="C50" s="53"/>
      <c r="D50" s="53"/>
    </row>
    <row r="51" spans="1:4" x14ac:dyDescent="0.15">
      <c r="A51" s="31"/>
      <c r="B51" s="53"/>
      <c r="C51" s="53"/>
      <c r="D51" s="53"/>
    </row>
    <row r="52" spans="1:4" x14ac:dyDescent="0.15">
      <c r="A52" s="31"/>
      <c r="B52" s="53"/>
      <c r="C52" s="53"/>
      <c r="D52" s="53"/>
    </row>
    <row r="53" spans="1:4" x14ac:dyDescent="0.15">
      <c r="A53" s="31"/>
      <c r="B53" s="53"/>
      <c r="C53" s="53"/>
      <c r="D53" s="53"/>
    </row>
    <row r="54" spans="1:4" x14ac:dyDescent="0.15">
      <c r="A54" s="31"/>
      <c r="B54" s="53"/>
      <c r="C54" s="53"/>
      <c r="D54" s="53"/>
    </row>
    <row r="55" spans="1:4" x14ac:dyDescent="0.15">
      <c r="A55" s="31"/>
      <c r="B55" s="53"/>
      <c r="C55" s="53"/>
      <c r="D55" s="53"/>
    </row>
    <row r="56" spans="1:4" x14ac:dyDescent="0.15">
      <c r="A56" s="31"/>
      <c r="B56" s="53"/>
      <c r="C56" s="53"/>
      <c r="D56" s="53"/>
    </row>
    <row r="57" spans="1:4" x14ac:dyDescent="0.15">
      <c r="A57" s="31"/>
      <c r="B57" s="53"/>
      <c r="C57" s="53"/>
      <c r="D57" s="53"/>
    </row>
    <row r="58" spans="1:4" x14ac:dyDescent="0.15">
      <c r="A58" s="31"/>
      <c r="B58" s="53"/>
      <c r="C58" s="53"/>
      <c r="D58" s="53"/>
    </row>
    <row r="59" spans="1:4" x14ac:dyDescent="0.15">
      <c r="A59" s="31"/>
      <c r="B59" s="53"/>
      <c r="C59" s="53"/>
      <c r="D59" s="53"/>
    </row>
    <row r="60" spans="1:4" x14ac:dyDescent="0.15">
      <c r="A60" s="31"/>
      <c r="B60" s="53"/>
      <c r="C60" s="53"/>
      <c r="D60" s="53"/>
    </row>
    <row r="61" spans="1:4" x14ac:dyDescent="0.15">
      <c r="A61" s="31"/>
      <c r="B61" s="53"/>
      <c r="C61" s="53"/>
      <c r="D61" s="53"/>
    </row>
    <row r="62" spans="1:4" x14ac:dyDescent="0.15">
      <c r="A62" s="31"/>
      <c r="B62" s="53"/>
      <c r="C62" s="53"/>
      <c r="D62" s="53"/>
    </row>
    <row r="63" spans="1:4" x14ac:dyDescent="0.15">
      <c r="A63" s="31"/>
      <c r="B63" s="53"/>
      <c r="C63" s="53"/>
      <c r="D63" s="53"/>
    </row>
    <row r="64" spans="1:4" x14ac:dyDescent="0.15">
      <c r="A64" s="31"/>
      <c r="B64" s="53"/>
      <c r="C64" s="53"/>
      <c r="D64" s="53"/>
    </row>
    <row r="65" spans="1:4" x14ac:dyDescent="0.15">
      <c r="A65" s="31"/>
      <c r="B65" s="53"/>
      <c r="C65" s="53"/>
      <c r="D65" s="53"/>
    </row>
    <row r="66" spans="1:4" x14ac:dyDescent="0.15">
      <c r="A66" s="31"/>
      <c r="B66" s="53"/>
      <c r="C66" s="53"/>
      <c r="D66" s="53"/>
    </row>
    <row r="67" spans="1:4" x14ac:dyDescent="0.15">
      <c r="A67" s="31"/>
      <c r="B67" s="53"/>
      <c r="C67" s="53"/>
      <c r="D67" s="53"/>
    </row>
    <row r="68" spans="1:4" x14ac:dyDescent="0.15">
      <c r="A68" s="31"/>
      <c r="B68" s="53"/>
      <c r="C68" s="53"/>
      <c r="D68" s="53"/>
    </row>
    <row r="69" spans="1:4" x14ac:dyDescent="0.15">
      <c r="A69" s="31"/>
      <c r="B69" s="53"/>
      <c r="C69" s="53"/>
      <c r="D69" s="53"/>
    </row>
    <row r="70" spans="1:4" x14ac:dyDescent="0.15">
      <c r="A70" s="31"/>
      <c r="B70" s="53"/>
      <c r="C70" s="53"/>
      <c r="D70" s="53"/>
    </row>
    <row r="71" spans="1:4" x14ac:dyDescent="0.15">
      <c r="A71" s="31"/>
      <c r="B71" s="53"/>
      <c r="C71" s="53"/>
      <c r="D71" s="53"/>
    </row>
    <row r="72" spans="1:4" x14ac:dyDescent="0.15">
      <c r="A72" s="31"/>
      <c r="B72" s="53"/>
      <c r="C72" s="53"/>
      <c r="D72" s="53"/>
    </row>
    <row r="73" spans="1:4" x14ac:dyDescent="0.15">
      <c r="A73" s="31"/>
      <c r="B73" s="53"/>
      <c r="C73" s="53"/>
      <c r="D73" s="53"/>
    </row>
    <row r="74" spans="1:4" x14ac:dyDescent="0.15">
      <c r="A74" s="31"/>
      <c r="B74" s="53"/>
      <c r="C74" s="53"/>
      <c r="D74" s="53"/>
    </row>
    <row r="75" spans="1:4" x14ac:dyDescent="0.15">
      <c r="A75" s="31"/>
      <c r="B75" s="53"/>
      <c r="C75" s="53"/>
      <c r="D75" s="53"/>
    </row>
    <row r="76" spans="1:4" x14ac:dyDescent="0.15">
      <c r="A76" s="31"/>
      <c r="B76" s="53"/>
      <c r="C76" s="53"/>
      <c r="D76" s="53"/>
    </row>
    <row r="77" spans="1:4" x14ac:dyDescent="0.15">
      <c r="A77" s="31"/>
      <c r="B77" s="53"/>
      <c r="C77" s="53"/>
      <c r="D77" s="53"/>
    </row>
    <row r="78" spans="1:4" x14ac:dyDescent="0.15">
      <c r="A78" s="31"/>
      <c r="B78" s="53"/>
      <c r="C78" s="53"/>
      <c r="D78" s="53"/>
    </row>
    <row r="79" spans="1:4" x14ac:dyDescent="0.15">
      <c r="A79" s="31"/>
      <c r="B79" s="53"/>
      <c r="C79" s="53"/>
      <c r="D79" s="53"/>
    </row>
    <row r="80" spans="1:4" x14ac:dyDescent="0.15">
      <c r="A80" s="31"/>
      <c r="B80" s="53"/>
      <c r="C80" s="53"/>
      <c r="D80" s="53"/>
    </row>
    <row r="81" spans="1:4" x14ac:dyDescent="0.15">
      <c r="A81" s="31"/>
      <c r="B81" s="53"/>
      <c r="C81" s="53"/>
      <c r="D81" s="53"/>
    </row>
    <row r="82" spans="1:4" x14ac:dyDescent="0.15">
      <c r="A82" s="31"/>
      <c r="B82" s="53"/>
      <c r="C82" s="53"/>
      <c r="D82" s="53"/>
    </row>
    <row r="83" spans="1:4" x14ac:dyDescent="0.15">
      <c r="A83" s="31"/>
      <c r="B83" s="53"/>
      <c r="C83" s="53"/>
      <c r="D83" s="53"/>
    </row>
    <row r="84" spans="1:4" x14ac:dyDescent="0.15">
      <c r="A84" s="31"/>
      <c r="B84" s="53"/>
      <c r="C84" s="53"/>
      <c r="D84" s="53"/>
    </row>
    <row r="85" spans="1:4" x14ac:dyDescent="0.15">
      <c r="A85" s="31"/>
      <c r="B85" s="53"/>
      <c r="C85" s="53"/>
      <c r="D85" s="53"/>
    </row>
    <row r="86" spans="1:4" x14ac:dyDescent="0.15">
      <c r="A86" s="31"/>
      <c r="B86" s="53"/>
      <c r="C86" s="53"/>
      <c r="D86" s="53"/>
    </row>
    <row r="87" spans="1:4" x14ac:dyDescent="0.15">
      <c r="A87" s="31"/>
      <c r="B87" s="53"/>
      <c r="C87" s="53"/>
      <c r="D87" s="53"/>
    </row>
    <row r="88" spans="1:4" x14ac:dyDescent="0.15">
      <c r="A88" s="31"/>
      <c r="B88" s="53"/>
      <c r="C88" s="53"/>
      <c r="D88" s="53"/>
    </row>
    <row r="89" spans="1:4" x14ac:dyDescent="0.15">
      <c r="A89" s="31"/>
      <c r="B89" s="53"/>
      <c r="C89" s="53"/>
      <c r="D89" s="53"/>
    </row>
    <row r="90" spans="1:4" x14ac:dyDescent="0.15">
      <c r="A90" s="31"/>
      <c r="B90" s="53"/>
      <c r="C90" s="53"/>
      <c r="D90" s="53"/>
    </row>
    <row r="91" spans="1:4" x14ac:dyDescent="0.15">
      <c r="A91" s="31"/>
      <c r="B91" s="53"/>
      <c r="C91" s="53"/>
      <c r="D91" s="53"/>
    </row>
    <row r="92" spans="1:4" x14ac:dyDescent="0.15">
      <c r="A92" s="31"/>
      <c r="B92" s="53"/>
      <c r="C92" s="53"/>
      <c r="D92" s="53"/>
    </row>
    <row r="93" spans="1:4" x14ac:dyDescent="0.15">
      <c r="A93" s="31"/>
      <c r="B93" s="53"/>
      <c r="C93" s="53"/>
      <c r="D93" s="53"/>
    </row>
    <row r="94" spans="1:4" x14ac:dyDescent="0.15">
      <c r="A94" s="31"/>
      <c r="B94" s="53"/>
      <c r="C94" s="53"/>
      <c r="D94" s="53"/>
    </row>
    <row r="95" spans="1:4" x14ac:dyDescent="0.15">
      <c r="A95" s="31"/>
      <c r="B95" s="53"/>
      <c r="C95" s="53"/>
      <c r="D95" s="53"/>
    </row>
    <row r="96" spans="1:4" x14ac:dyDescent="0.15">
      <c r="A96" s="31"/>
      <c r="B96" s="53"/>
      <c r="C96" s="53"/>
      <c r="D96" s="53"/>
    </row>
    <row r="97" spans="1:4" x14ac:dyDescent="0.15">
      <c r="A97" s="31"/>
      <c r="B97" s="53"/>
      <c r="C97" s="53"/>
      <c r="D97" s="53"/>
    </row>
    <row r="98" spans="1:4" x14ac:dyDescent="0.15">
      <c r="A98" s="31"/>
      <c r="B98" s="53"/>
      <c r="C98" s="53"/>
      <c r="D98" s="53"/>
    </row>
    <row r="99" spans="1:4" x14ac:dyDescent="0.15">
      <c r="A99" s="31"/>
      <c r="B99" s="53"/>
      <c r="C99" s="53"/>
      <c r="D99" s="53"/>
    </row>
    <row r="100" spans="1:4" x14ac:dyDescent="0.15">
      <c r="A100" s="31"/>
      <c r="B100" s="53"/>
      <c r="C100" s="53"/>
      <c r="D100" s="53"/>
    </row>
    <row r="101" spans="1:4" x14ac:dyDescent="0.15">
      <c r="A101" s="31"/>
      <c r="B101" s="53"/>
      <c r="C101" s="53"/>
      <c r="D101" s="53"/>
    </row>
    <row r="102" spans="1:4" x14ac:dyDescent="0.15">
      <c r="A102" s="31"/>
      <c r="B102" s="53"/>
      <c r="C102" s="53"/>
      <c r="D102" s="53"/>
    </row>
    <row r="103" spans="1:4" x14ac:dyDescent="0.15">
      <c r="A103" s="31"/>
      <c r="B103" s="53"/>
      <c r="C103" s="53"/>
      <c r="D103" s="53"/>
    </row>
    <row r="104" spans="1:4" x14ac:dyDescent="0.15">
      <c r="A104" s="31"/>
      <c r="B104" s="53"/>
      <c r="C104" s="53"/>
      <c r="D104" s="53"/>
    </row>
    <row r="105" spans="1:4" x14ac:dyDescent="0.15">
      <c r="A105" s="31"/>
      <c r="B105" s="53"/>
      <c r="C105" s="53"/>
      <c r="D105" s="53"/>
    </row>
    <row r="106" spans="1:4" x14ac:dyDescent="0.15">
      <c r="A106" s="31"/>
      <c r="B106" s="53"/>
      <c r="C106" s="53"/>
      <c r="D106" s="53"/>
    </row>
    <row r="107" spans="1:4" x14ac:dyDescent="0.15">
      <c r="A107" s="31"/>
      <c r="B107" s="53"/>
      <c r="C107" s="53"/>
      <c r="D107" s="53"/>
    </row>
    <row r="108" spans="1:4" x14ac:dyDescent="0.15">
      <c r="A108" s="31"/>
      <c r="B108" s="53"/>
      <c r="C108" s="53"/>
      <c r="D108" s="53"/>
    </row>
    <row r="109" spans="1:4" x14ac:dyDescent="0.15">
      <c r="A109" s="31"/>
      <c r="B109" s="53"/>
      <c r="C109" s="53"/>
      <c r="D109" s="53"/>
    </row>
    <row r="110" spans="1:4" x14ac:dyDescent="0.15">
      <c r="A110" s="31"/>
      <c r="B110" s="53"/>
      <c r="C110" s="53"/>
      <c r="D110" s="53"/>
    </row>
    <row r="111" spans="1:4" x14ac:dyDescent="0.15">
      <c r="A111" s="31"/>
      <c r="B111" s="53"/>
      <c r="C111" s="53"/>
      <c r="D111" s="53"/>
    </row>
    <row r="112" spans="1:4" x14ac:dyDescent="0.15">
      <c r="A112" s="31"/>
      <c r="B112" s="53"/>
      <c r="C112" s="53"/>
      <c r="D112" s="53"/>
    </row>
    <row r="113" spans="1:4" x14ac:dyDescent="0.15">
      <c r="A113" s="31"/>
      <c r="B113" s="53"/>
      <c r="C113" s="53"/>
      <c r="D113" s="53"/>
    </row>
    <row r="114" spans="1:4" x14ac:dyDescent="0.15">
      <c r="A114" s="31"/>
      <c r="B114" s="53"/>
      <c r="C114" s="53"/>
      <c r="D114" s="53"/>
    </row>
    <row r="115" spans="1:4" x14ac:dyDescent="0.15">
      <c r="A115" s="31"/>
      <c r="B115" s="53"/>
      <c r="C115" s="53"/>
      <c r="D115" s="53"/>
    </row>
    <row r="116" spans="1:4" x14ac:dyDescent="0.15">
      <c r="A116" s="31"/>
      <c r="B116" s="53"/>
      <c r="C116" s="53"/>
      <c r="D116" s="53"/>
    </row>
    <row r="117" spans="1:4" x14ac:dyDescent="0.15">
      <c r="A117" s="31"/>
      <c r="B117" s="53"/>
      <c r="C117" s="53"/>
      <c r="D117" s="53"/>
    </row>
    <row r="118" spans="1:4" x14ac:dyDescent="0.15">
      <c r="A118" s="31"/>
      <c r="B118" s="53"/>
      <c r="C118" s="53"/>
      <c r="D118" s="53"/>
    </row>
    <row r="119" spans="1:4" x14ac:dyDescent="0.15">
      <c r="A119" s="31"/>
      <c r="B119" s="53"/>
      <c r="C119" s="53"/>
      <c r="D119" s="53"/>
    </row>
    <row r="120" spans="1:4" x14ac:dyDescent="0.15">
      <c r="A120" s="31"/>
      <c r="B120" s="53"/>
      <c r="C120" s="53"/>
      <c r="D120" s="53"/>
    </row>
    <row r="121" spans="1:4" x14ac:dyDescent="0.15">
      <c r="A121" s="31"/>
      <c r="B121" s="53"/>
      <c r="C121" s="53"/>
      <c r="D121" s="53"/>
    </row>
    <row r="122" spans="1:4" x14ac:dyDescent="0.15">
      <c r="A122" s="31"/>
      <c r="B122" s="53"/>
      <c r="C122" s="53"/>
      <c r="D122" s="53"/>
    </row>
    <row r="123" spans="1:4" x14ac:dyDescent="0.15">
      <c r="A123" s="31"/>
      <c r="B123" s="53"/>
      <c r="C123" s="53"/>
      <c r="D123" s="53"/>
    </row>
    <row r="124" spans="1:4" x14ac:dyDescent="0.15">
      <c r="A124" s="31"/>
      <c r="B124" s="53"/>
      <c r="C124" s="53"/>
      <c r="D124" s="53"/>
    </row>
    <row r="125" spans="1:4" x14ac:dyDescent="0.15">
      <c r="A125" s="31"/>
      <c r="B125" s="53"/>
      <c r="C125" s="53"/>
      <c r="D125" s="53"/>
    </row>
    <row r="126" spans="1:4" x14ac:dyDescent="0.15">
      <c r="A126" s="31"/>
      <c r="B126" s="53"/>
      <c r="C126" s="53"/>
      <c r="D126" s="53"/>
    </row>
    <row r="127" spans="1:4" x14ac:dyDescent="0.15">
      <c r="A127" s="31"/>
      <c r="B127" s="53"/>
      <c r="C127" s="53"/>
      <c r="D127" s="53"/>
    </row>
    <row r="128" spans="1:4" x14ac:dyDescent="0.15">
      <c r="A128" s="31"/>
      <c r="B128" s="53"/>
      <c r="C128" s="53"/>
      <c r="D128" s="53"/>
    </row>
    <row r="129" spans="1:4" x14ac:dyDescent="0.15">
      <c r="A129" s="31"/>
      <c r="B129" s="53"/>
      <c r="C129" s="53"/>
      <c r="D129" s="53"/>
    </row>
    <row r="130" spans="1:4" x14ac:dyDescent="0.15">
      <c r="A130" s="31"/>
      <c r="B130" s="53"/>
      <c r="C130" s="53"/>
      <c r="D130" s="53"/>
    </row>
    <row r="131" spans="1:4" x14ac:dyDescent="0.15">
      <c r="A131" s="31"/>
      <c r="B131" s="53"/>
      <c r="C131" s="53"/>
      <c r="D131" s="53"/>
    </row>
    <row r="132" spans="1:4" x14ac:dyDescent="0.15">
      <c r="A132" s="31"/>
      <c r="B132" s="53"/>
      <c r="C132" s="53"/>
      <c r="D132" s="53"/>
    </row>
    <row r="133" spans="1:4" x14ac:dyDescent="0.15">
      <c r="A133" s="31"/>
      <c r="B133" s="53"/>
      <c r="C133" s="53"/>
      <c r="D133" s="53"/>
    </row>
    <row r="134" spans="1:4" x14ac:dyDescent="0.15">
      <c r="A134" s="31"/>
      <c r="B134" s="53"/>
      <c r="C134" s="53"/>
      <c r="D134" s="53"/>
    </row>
    <row r="135" spans="1:4" x14ac:dyDescent="0.15">
      <c r="A135" s="31"/>
      <c r="B135" s="53"/>
      <c r="C135" s="53"/>
      <c r="D135" s="53"/>
    </row>
    <row r="136" spans="1:4" x14ac:dyDescent="0.15">
      <c r="A136" s="31"/>
      <c r="B136" s="53"/>
      <c r="C136" s="53"/>
      <c r="D136" s="53"/>
    </row>
    <row r="137" spans="1:4" x14ac:dyDescent="0.15">
      <c r="A137" s="31"/>
      <c r="B137" s="53"/>
      <c r="C137" s="53"/>
      <c r="D137" s="53"/>
    </row>
    <row r="138" spans="1:4" x14ac:dyDescent="0.15">
      <c r="A138" s="31"/>
      <c r="B138" s="53"/>
      <c r="C138" s="53"/>
      <c r="D138" s="53"/>
    </row>
    <row r="139" spans="1:4" x14ac:dyDescent="0.15">
      <c r="A139" s="31"/>
      <c r="B139" s="53"/>
      <c r="C139" s="53"/>
      <c r="D139" s="53"/>
    </row>
    <row r="140" spans="1:4" x14ac:dyDescent="0.15">
      <c r="A140" s="31"/>
      <c r="B140" s="53"/>
      <c r="C140" s="53"/>
      <c r="D140" s="53"/>
    </row>
    <row r="141" spans="1:4" x14ac:dyDescent="0.15">
      <c r="A141" s="31"/>
      <c r="B141" s="53"/>
      <c r="C141" s="53"/>
      <c r="D141" s="53"/>
    </row>
    <row r="142" spans="1:4" x14ac:dyDescent="0.15">
      <c r="A142" s="31"/>
      <c r="B142" s="53"/>
      <c r="C142" s="53"/>
      <c r="D142" s="53"/>
    </row>
    <row r="143" spans="1:4" x14ac:dyDescent="0.15">
      <c r="A143" s="31"/>
      <c r="B143" s="53"/>
      <c r="C143" s="53"/>
      <c r="D143" s="53"/>
    </row>
    <row r="144" spans="1:4" x14ac:dyDescent="0.15">
      <c r="A144" s="31"/>
      <c r="B144" s="53"/>
      <c r="C144" s="53"/>
      <c r="D144" s="53"/>
    </row>
    <row r="145" spans="1:4" x14ac:dyDescent="0.15">
      <c r="A145" s="31"/>
      <c r="B145" s="53"/>
      <c r="C145" s="53"/>
      <c r="D145" s="53"/>
    </row>
    <row r="146" spans="1:4" x14ac:dyDescent="0.15">
      <c r="A146" s="31"/>
      <c r="B146" s="53"/>
      <c r="C146" s="53"/>
      <c r="D146" s="53"/>
    </row>
    <row r="147" spans="1:4" x14ac:dyDescent="0.15">
      <c r="A147" s="31"/>
      <c r="B147" s="53"/>
      <c r="C147" s="53"/>
      <c r="D147" s="53"/>
    </row>
    <row r="148" spans="1:4" x14ac:dyDescent="0.15">
      <c r="A148" s="31"/>
      <c r="B148" s="53"/>
      <c r="C148" s="53"/>
      <c r="D148" s="53"/>
    </row>
    <row r="149" spans="1:4" x14ac:dyDescent="0.15">
      <c r="A149" s="31"/>
      <c r="B149" s="53"/>
      <c r="C149" s="53"/>
      <c r="D149" s="53"/>
    </row>
    <row r="150" spans="1:4" x14ac:dyDescent="0.15">
      <c r="A150" s="31"/>
      <c r="B150" s="53"/>
      <c r="C150" s="53"/>
      <c r="D150" s="53"/>
    </row>
    <row r="151" spans="1:4" x14ac:dyDescent="0.15">
      <c r="A151" s="31"/>
      <c r="B151" s="53"/>
      <c r="C151" s="53"/>
      <c r="D151" s="53"/>
    </row>
    <row r="152" spans="1:4" x14ac:dyDescent="0.15">
      <c r="A152" s="31"/>
      <c r="B152" s="53"/>
      <c r="C152" s="53"/>
      <c r="D152" s="53"/>
    </row>
    <row r="153" spans="1:4" x14ac:dyDescent="0.15">
      <c r="A153" s="31"/>
      <c r="B153" s="53"/>
      <c r="C153" s="53"/>
      <c r="D153" s="53"/>
    </row>
    <row r="154" spans="1:4" x14ac:dyDescent="0.15">
      <c r="A154" s="31"/>
      <c r="B154" s="53"/>
      <c r="C154" s="53"/>
      <c r="D154" s="53"/>
    </row>
    <row r="155" spans="1:4" x14ac:dyDescent="0.15">
      <c r="A155" s="31"/>
      <c r="B155" s="53"/>
      <c r="C155" s="53"/>
      <c r="D155" s="53"/>
    </row>
    <row r="156" spans="1:4" x14ac:dyDescent="0.15">
      <c r="A156" s="31"/>
      <c r="B156" s="53"/>
      <c r="C156" s="53"/>
      <c r="D156" s="53"/>
    </row>
    <row r="157" spans="1:4" x14ac:dyDescent="0.15">
      <c r="A157" s="31"/>
      <c r="B157" s="53"/>
      <c r="C157" s="53"/>
      <c r="D157" s="53"/>
    </row>
    <row r="158" spans="1:4" x14ac:dyDescent="0.15">
      <c r="A158" s="31"/>
      <c r="B158" s="53"/>
      <c r="C158" s="53"/>
      <c r="D158" s="53"/>
    </row>
    <row r="159" spans="1:4" x14ac:dyDescent="0.15">
      <c r="A159" s="31"/>
      <c r="B159" s="53"/>
      <c r="C159" s="53"/>
      <c r="D159" s="53"/>
    </row>
    <row r="160" spans="1:4" x14ac:dyDescent="0.15">
      <c r="A160" s="31"/>
      <c r="B160" s="53"/>
      <c r="C160" s="53"/>
      <c r="D160" s="53"/>
    </row>
    <row r="161" spans="1:4" x14ac:dyDescent="0.15">
      <c r="A161" s="31"/>
      <c r="B161" s="53"/>
      <c r="C161" s="53"/>
      <c r="D161" s="53"/>
    </row>
    <row r="162" spans="1:4" x14ac:dyDescent="0.15">
      <c r="A162" s="31"/>
      <c r="B162" s="53"/>
      <c r="C162" s="53"/>
      <c r="D162" s="53"/>
    </row>
    <row r="163" spans="1:4" x14ac:dyDescent="0.15">
      <c r="A163" s="31"/>
      <c r="B163" s="53"/>
      <c r="C163" s="53"/>
      <c r="D163" s="53"/>
    </row>
    <row r="164" spans="1:4" x14ac:dyDescent="0.15">
      <c r="A164" s="31"/>
      <c r="B164" s="53"/>
      <c r="C164" s="53"/>
      <c r="D164" s="53"/>
    </row>
    <row r="165" spans="1:4" x14ac:dyDescent="0.15">
      <c r="A165" s="31"/>
      <c r="B165" s="53"/>
      <c r="C165" s="53"/>
      <c r="D165" s="53"/>
    </row>
    <row r="166" spans="1:4" x14ac:dyDescent="0.15">
      <c r="A166" s="31"/>
      <c r="B166" s="53"/>
      <c r="C166" s="53"/>
      <c r="D166" s="53"/>
    </row>
    <row r="167" spans="1:4" x14ac:dyDescent="0.15">
      <c r="A167" s="31"/>
      <c r="B167" s="53"/>
      <c r="C167" s="53"/>
      <c r="D167" s="53"/>
    </row>
    <row r="168" spans="1:4" x14ac:dyDescent="0.15">
      <c r="A168" s="31"/>
      <c r="B168" s="53"/>
      <c r="C168" s="53"/>
      <c r="D168" s="53"/>
    </row>
    <row r="169" spans="1:4" x14ac:dyDescent="0.15">
      <c r="A169" s="31"/>
      <c r="B169" s="53"/>
      <c r="C169" s="53"/>
      <c r="D169" s="53"/>
    </row>
    <row r="170" spans="1:4" x14ac:dyDescent="0.15">
      <c r="A170" s="31"/>
      <c r="B170" s="53"/>
      <c r="C170" s="53"/>
      <c r="D170" s="53"/>
    </row>
    <row r="171" spans="1:4" x14ac:dyDescent="0.15">
      <c r="A171" s="31"/>
      <c r="B171" s="53"/>
      <c r="C171" s="53"/>
      <c r="D171" s="53"/>
    </row>
    <row r="172" spans="1:4" x14ac:dyDescent="0.15">
      <c r="A172" s="31"/>
      <c r="B172" s="53"/>
      <c r="C172" s="53"/>
      <c r="D172" s="53"/>
    </row>
    <row r="173" spans="1:4" x14ac:dyDescent="0.15">
      <c r="A173" s="31"/>
      <c r="B173" s="53"/>
      <c r="C173" s="53"/>
      <c r="D173" s="53"/>
    </row>
    <row r="174" spans="1:4" x14ac:dyDescent="0.15">
      <c r="A174" s="31"/>
      <c r="B174" s="53"/>
      <c r="C174" s="53"/>
      <c r="D174" s="53"/>
    </row>
    <row r="175" spans="1:4" x14ac:dyDescent="0.15">
      <c r="A175" s="31"/>
      <c r="B175" s="53"/>
      <c r="C175" s="53"/>
      <c r="D175" s="53"/>
    </row>
    <row r="176" spans="1:4" x14ac:dyDescent="0.15">
      <c r="A176" s="31"/>
      <c r="B176" s="53"/>
      <c r="C176" s="53"/>
      <c r="D176" s="53"/>
    </row>
    <row r="177" spans="1:4" x14ac:dyDescent="0.15">
      <c r="A177" s="31"/>
      <c r="B177" s="53"/>
      <c r="C177" s="53"/>
      <c r="D177" s="53"/>
    </row>
    <row r="178" spans="1:4" x14ac:dyDescent="0.15">
      <c r="A178" s="31"/>
      <c r="B178" s="53"/>
      <c r="C178" s="53"/>
      <c r="D178" s="53"/>
    </row>
    <row r="179" spans="1:4" x14ac:dyDescent="0.15">
      <c r="A179" s="31"/>
      <c r="B179" s="53"/>
      <c r="C179" s="53"/>
      <c r="D179" s="53"/>
    </row>
    <row r="180" spans="1:4" x14ac:dyDescent="0.15">
      <c r="A180" s="31"/>
      <c r="B180" s="53"/>
      <c r="C180" s="53"/>
      <c r="D180" s="53"/>
    </row>
    <row r="181" spans="1:4" x14ac:dyDescent="0.15">
      <c r="A181" s="31"/>
      <c r="B181" s="53"/>
      <c r="C181" s="53"/>
      <c r="D181" s="53"/>
    </row>
    <row r="182" spans="1:4" x14ac:dyDescent="0.15">
      <c r="A182" s="31"/>
      <c r="B182" s="53"/>
      <c r="C182" s="53"/>
      <c r="D182" s="53"/>
    </row>
    <row r="183" spans="1:4" x14ac:dyDescent="0.15">
      <c r="A183" s="31"/>
      <c r="B183" s="53"/>
      <c r="C183" s="53"/>
      <c r="D183" s="53"/>
    </row>
    <row r="184" spans="1:4" x14ac:dyDescent="0.15">
      <c r="A184" s="31"/>
      <c r="B184" s="53"/>
      <c r="C184" s="53"/>
      <c r="D184" s="53"/>
    </row>
    <row r="185" spans="1:4" x14ac:dyDescent="0.15">
      <c r="A185" s="31"/>
      <c r="B185" s="53"/>
      <c r="C185" s="53"/>
      <c r="D185" s="53"/>
    </row>
    <row r="186" spans="1:4" x14ac:dyDescent="0.15">
      <c r="A186" s="31"/>
      <c r="B186" s="53"/>
      <c r="C186" s="53"/>
      <c r="D186" s="53"/>
    </row>
    <row r="187" spans="1:4" x14ac:dyDescent="0.15">
      <c r="A187" s="31"/>
      <c r="B187" s="53"/>
      <c r="C187" s="53"/>
      <c r="D187" s="53"/>
    </row>
    <row r="188" spans="1:4" x14ac:dyDescent="0.15">
      <c r="A188" s="31"/>
      <c r="B188" s="53"/>
      <c r="C188" s="53"/>
      <c r="D188" s="53"/>
    </row>
    <row r="189" spans="1:4" x14ac:dyDescent="0.15">
      <c r="A189" s="31"/>
      <c r="B189" s="53"/>
      <c r="C189" s="53"/>
      <c r="D189" s="53"/>
    </row>
    <row r="190" spans="1:4" x14ac:dyDescent="0.15">
      <c r="A190" s="31"/>
      <c r="B190" s="53"/>
      <c r="C190" s="53"/>
      <c r="D190" s="53"/>
    </row>
    <row r="191" spans="1:4" x14ac:dyDescent="0.15">
      <c r="A191" s="31"/>
      <c r="B191" s="53"/>
      <c r="C191" s="53"/>
      <c r="D191" s="53"/>
    </row>
    <row r="192" spans="1:4" x14ac:dyDescent="0.15">
      <c r="A192" s="31"/>
      <c r="B192" s="53"/>
      <c r="C192" s="53"/>
      <c r="D192" s="53"/>
    </row>
    <row r="193" spans="1:4" x14ac:dyDescent="0.15">
      <c r="A193" s="31"/>
      <c r="B193" s="53"/>
      <c r="C193" s="53"/>
      <c r="D193" s="53"/>
    </row>
    <row r="194" spans="1:4" x14ac:dyDescent="0.15">
      <c r="A194" s="31"/>
      <c r="B194" s="53"/>
      <c r="C194" s="53"/>
      <c r="D194" s="53"/>
    </row>
    <row r="195" spans="1:4" x14ac:dyDescent="0.15">
      <c r="A195" s="31"/>
      <c r="B195" s="53"/>
      <c r="C195" s="53"/>
      <c r="D195" s="53"/>
    </row>
    <row r="196" spans="1:4" x14ac:dyDescent="0.15">
      <c r="A196" s="31"/>
      <c r="B196" s="53"/>
      <c r="C196" s="53"/>
      <c r="D196" s="53"/>
    </row>
    <row r="197" spans="1:4" x14ac:dyDescent="0.15">
      <c r="A197" s="31"/>
      <c r="B197" s="53"/>
      <c r="C197" s="53"/>
      <c r="D197" s="53"/>
    </row>
    <row r="198" spans="1:4" x14ac:dyDescent="0.15">
      <c r="A198" s="31"/>
      <c r="B198" s="53"/>
      <c r="C198" s="53"/>
      <c r="D198" s="53"/>
    </row>
    <row r="199" spans="1:4" x14ac:dyDescent="0.15">
      <c r="A199" s="31"/>
      <c r="B199" s="53"/>
      <c r="C199" s="53"/>
      <c r="D199" s="53"/>
    </row>
    <row r="200" spans="1:4" x14ac:dyDescent="0.15">
      <c r="A200" s="31"/>
      <c r="B200" s="53"/>
      <c r="C200" s="53"/>
      <c r="D200" s="53"/>
    </row>
    <row r="201" spans="1:4" x14ac:dyDescent="0.15">
      <c r="A201" s="31"/>
      <c r="B201" s="53"/>
      <c r="C201" s="53"/>
      <c r="D201" s="53"/>
    </row>
    <row r="202" spans="1:4" x14ac:dyDescent="0.15">
      <c r="A202" s="32"/>
      <c r="B202" s="53"/>
      <c r="C202" s="53"/>
      <c r="D202" s="53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>
    <tabColor theme="8" tint="0.79998168889431442"/>
  </sheetPr>
  <dimension ref="A1:E22"/>
  <sheetViews>
    <sheetView zoomScaleNormal="100" zoomScaleSheetLayoutView="130" workbookViewId="0">
      <selection activeCell="B9" sqref="B9"/>
    </sheetView>
  </sheetViews>
  <sheetFormatPr defaultColWidth="0" defaultRowHeight="9.6" zeroHeight="1" x14ac:dyDescent="0.15"/>
  <cols>
    <col min="1" max="1" width="25.7109375" customWidth="1"/>
    <col min="2" max="4" width="12.5703125" customWidth="1"/>
    <col min="5" max="5" width="12.5703125" style="36" customWidth="1"/>
    <col min="6" max="16384" width="9.140625" hidden="1"/>
  </cols>
  <sheetData>
    <row r="1" spans="1:5" x14ac:dyDescent="0.15">
      <c r="A1" s="43" t="s">
        <v>80</v>
      </c>
      <c r="B1" s="42">
        <v>43766</v>
      </c>
    </row>
    <row r="2" spans="1:5" x14ac:dyDescent="0.15">
      <c r="A2" s="43" t="s">
        <v>82</v>
      </c>
      <c r="B2" s="42">
        <v>43747</v>
      </c>
    </row>
    <row r="3" spans="1:5" x14ac:dyDescent="0.15">
      <c r="A3" s="43" t="s">
        <v>81</v>
      </c>
      <c r="B3" s="42">
        <v>43748</v>
      </c>
    </row>
    <row r="4" spans="1:5" x14ac:dyDescent="0.15">
      <c r="A4" s="43" t="s">
        <v>94</v>
      </c>
      <c r="B4" s="39">
        <v>11</v>
      </c>
      <c r="C4" s="36"/>
      <c r="D4" s="36"/>
    </row>
    <row r="5" spans="1:5" x14ac:dyDescent="0.15">
      <c r="A5" s="43" t="s">
        <v>93</v>
      </c>
      <c r="B5" s="39">
        <v>10</v>
      </c>
      <c r="C5" s="36"/>
      <c r="D5" s="36"/>
    </row>
    <row r="6" spans="1:5" x14ac:dyDescent="0.15">
      <c r="A6" s="43" t="s">
        <v>85</v>
      </c>
      <c r="B6" s="40">
        <f>1-B5/B4</f>
        <v>9.0909090909090939E-2</v>
      </c>
    </row>
    <row r="7" spans="1:5" x14ac:dyDescent="0.15">
      <c r="A7" s="43" t="s">
        <v>86</v>
      </c>
      <c r="B7" s="40">
        <f>SUM(E13:E20)</f>
        <v>0.16776315789473684</v>
      </c>
    </row>
    <row r="8" spans="1:5" x14ac:dyDescent="0.15">
      <c r="A8" s="43" t="s">
        <v>87</v>
      </c>
      <c r="B8" s="40">
        <f>B7-B6</f>
        <v>7.6854066985645897E-2</v>
      </c>
    </row>
    <row r="9" spans="1:5" x14ac:dyDescent="0.15">
      <c r="A9" s="43" t="s">
        <v>88</v>
      </c>
      <c r="B9" s="39">
        <f>B4*B8</f>
        <v>0.84539473684210487</v>
      </c>
    </row>
    <row r="10" spans="1:5" x14ac:dyDescent="0.15"/>
    <row r="11" spans="1:5" x14ac:dyDescent="0.15">
      <c r="B11" s="46" t="s">
        <v>76</v>
      </c>
      <c r="C11" s="46"/>
      <c r="D11" s="46" t="s">
        <v>77</v>
      </c>
      <c r="E11" s="47"/>
    </row>
    <row r="12" spans="1:5" x14ac:dyDescent="0.15">
      <c r="A12" s="44" t="s">
        <v>73</v>
      </c>
      <c r="B12" s="44" t="s">
        <v>89</v>
      </c>
      <c r="C12" s="44" t="s">
        <v>91</v>
      </c>
      <c r="D12" s="44" t="s">
        <v>83</v>
      </c>
      <c r="E12" s="45" t="s">
        <v>84</v>
      </c>
    </row>
    <row r="13" spans="1:5" ht="4.8" customHeight="1" x14ac:dyDescent="0.15">
      <c r="A13" s="37"/>
      <c r="B13" s="37"/>
      <c r="C13" s="38"/>
      <c r="D13" s="38"/>
      <c r="E13" s="38"/>
    </row>
    <row r="14" spans="1:5" x14ac:dyDescent="0.15">
      <c r="A14" s="41" t="s">
        <v>74</v>
      </c>
      <c r="B14" s="39">
        <v>2.5</v>
      </c>
      <c r="C14" s="48">
        <f>B14/SUM($B$13:$B$20)</f>
        <v>0.32894736842105265</v>
      </c>
      <c r="D14" s="40">
        <v>0</v>
      </c>
      <c r="E14" s="48">
        <f t="shared" ref="E14" si="0">C14*D14</f>
        <v>0</v>
      </c>
    </row>
    <row r="15" spans="1:5" x14ac:dyDescent="0.15">
      <c r="A15" s="41" t="s">
        <v>75</v>
      </c>
      <c r="B15" s="39">
        <v>2</v>
      </c>
      <c r="C15" s="48">
        <f>B15/SUM($B$13:$B$20)</f>
        <v>0.26315789473684209</v>
      </c>
      <c r="D15" s="40">
        <v>0</v>
      </c>
      <c r="E15" s="48">
        <f>C15*D15</f>
        <v>0</v>
      </c>
    </row>
    <row r="16" spans="1:5" x14ac:dyDescent="0.15">
      <c r="A16" s="41" t="s">
        <v>78</v>
      </c>
      <c r="B16" s="39">
        <v>1.5</v>
      </c>
      <c r="C16" s="48">
        <f>B16/SUM($B$13:$B$20)</f>
        <v>0.19736842105263158</v>
      </c>
      <c r="D16" s="40">
        <v>0.85</v>
      </c>
      <c r="E16" s="48">
        <f t="shared" ref="E16:E19" si="1">C16*D16</f>
        <v>0.16776315789473684</v>
      </c>
    </row>
    <row r="17" spans="1:5" x14ac:dyDescent="0.15">
      <c r="A17" s="41" t="s">
        <v>74</v>
      </c>
      <c r="B17" s="39">
        <v>1</v>
      </c>
      <c r="C17" s="48">
        <f>B17/SUM($B$13:$B$20)</f>
        <v>0.13157894736842105</v>
      </c>
      <c r="D17" s="40">
        <v>0</v>
      </c>
      <c r="E17" s="48">
        <f t="shared" si="1"/>
        <v>0</v>
      </c>
    </row>
    <row r="18" spans="1:5" x14ac:dyDescent="0.15">
      <c r="A18" s="41" t="s">
        <v>74</v>
      </c>
      <c r="B18" s="39">
        <v>0.3</v>
      </c>
      <c r="C18" s="48">
        <f>B18/SUM($B$13:$B$20)</f>
        <v>3.9473684210526314E-2</v>
      </c>
      <c r="D18" s="40">
        <v>0</v>
      </c>
      <c r="E18" s="48">
        <f t="shared" si="1"/>
        <v>0</v>
      </c>
    </row>
    <row r="19" spans="1:5" x14ac:dyDescent="0.15">
      <c r="A19" s="41" t="s">
        <v>79</v>
      </c>
      <c r="B19" s="39">
        <v>0.3</v>
      </c>
      <c r="C19" s="48">
        <f>B19/SUM($B$13:$B$20)</f>
        <v>3.9473684210526314E-2</v>
      </c>
      <c r="D19" s="40">
        <v>0</v>
      </c>
      <c r="E19" s="48">
        <f t="shared" si="1"/>
        <v>0</v>
      </c>
    </row>
    <row r="20" spans="1:5" ht="4.2" customHeight="1" x14ac:dyDescent="0.15">
      <c r="A20" s="37"/>
      <c r="B20" s="37"/>
      <c r="C20" s="38"/>
      <c r="D20" s="38"/>
      <c r="E20" s="38"/>
    </row>
    <row r="21" spans="1:5" x14ac:dyDescent="0.15">
      <c r="A21" s="55" t="s">
        <v>92</v>
      </c>
      <c r="B21" s="49">
        <f>SUM(B13:B20)</f>
        <v>7.6</v>
      </c>
      <c r="C21" s="48">
        <f>SUM(C13:C20)</f>
        <v>1</v>
      </c>
      <c r="D21" s="50" t="s">
        <v>90</v>
      </c>
      <c r="E21" s="48">
        <f>SUM(E13:E20)</f>
        <v>0.16776315789473684</v>
      </c>
    </row>
    <row r="22" spans="1:5" hidden="1" x14ac:dyDescent="0.15"/>
  </sheetData>
  <phoneticPr fontId="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/>
  </cols>
  <sheetData>
    <row r="1" spans="1:22" s="15" customFormat="1" hidden="1" x14ac:dyDescent="0.15">
      <c r="A1" s="18"/>
      <c r="B1" s="28" t="s">
        <v>53</v>
      </c>
      <c r="C1" s="18" t="s">
        <v>44</v>
      </c>
      <c r="D1" s="35" t="s">
        <v>71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60</v>
      </c>
      <c r="C2" s="18" t="s">
        <v>45</v>
      </c>
      <c r="D2" s="28" t="s">
        <v>72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61</v>
      </c>
      <c r="C3" s="18" t="s">
        <v>46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59</v>
      </c>
      <c r="C4" s="18" t="s">
        <v>47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58</v>
      </c>
      <c r="F11" s="3" t="s">
        <v>39</v>
      </c>
      <c r="G11" s="2" t="s">
        <v>38</v>
      </c>
      <c r="H11" s="14" t="s">
        <v>54</v>
      </c>
      <c r="I11" s="14" t="s">
        <v>55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52</v>
      </c>
      <c r="C12" s="11" t="s">
        <v>41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48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52</v>
      </c>
      <c r="C13" s="11" t="s">
        <v>41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52</v>
      </c>
      <c r="C14" s="11" t="s">
        <v>51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52</v>
      </c>
      <c r="C15" s="11" t="s">
        <v>41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52</v>
      </c>
      <c r="C16" s="11" t="s">
        <v>41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52</v>
      </c>
      <c r="C17" s="11" t="s">
        <v>41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52</v>
      </c>
      <c r="C18" s="11" t="s">
        <v>41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52</v>
      </c>
      <c r="C19" s="11" t="s">
        <v>41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52</v>
      </c>
      <c r="C20" s="11" t="s">
        <v>41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52</v>
      </c>
      <c r="C21" s="11" t="s">
        <v>41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52</v>
      </c>
      <c r="C22" s="11" t="s">
        <v>41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52</v>
      </c>
      <c r="C23" s="11" t="s">
        <v>41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52</v>
      </c>
      <c r="C24" s="11" t="s">
        <v>41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52</v>
      </c>
      <c r="C25" s="11" t="s">
        <v>41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52</v>
      </c>
      <c r="C26" s="11" t="s">
        <v>41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52</v>
      </c>
      <c r="C27" s="11" t="s">
        <v>41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52</v>
      </c>
      <c r="C28" s="11" t="s">
        <v>41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52</v>
      </c>
      <c r="C29" s="11" t="s">
        <v>41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52</v>
      </c>
      <c r="C30" s="11" t="s">
        <v>41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52</v>
      </c>
      <c r="C31" s="11" t="s">
        <v>41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52</v>
      </c>
      <c r="C32" s="11" t="s">
        <v>41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52</v>
      </c>
      <c r="C33" s="11" t="s">
        <v>41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52</v>
      </c>
      <c r="C34" s="11" t="s">
        <v>41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52</v>
      </c>
      <c r="C35" s="11" t="s">
        <v>41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52</v>
      </c>
      <c r="C36" s="11" t="s">
        <v>41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52</v>
      </c>
      <c r="C37" s="11" t="s">
        <v>41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52</v>
      </c>
      <c r="C38" s="11" t="s">
        <v>41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52</v>
      </c>
      <c r="C39" s="11" t="s">
        <v>41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52</v>
      </c>
      <c r="C40" s="11" t="s">
        <v>41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52</v>
      </c>
      <c r="C41" s="11" t="s">
        <v>41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52</v>
      </c>
      <c r="C42" s="11" t="s">
        <v>41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52</v>
      </c>
      <c r="C43" s="11" t="s">
        <v>41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52</v>
      </c>
      <c r="C44" s="11" t="s">
        <v>41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52</v>
      </c>
      <c r="C45" s="11" t="s">
        <v>41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52</v>
      </c>
      <c r="C46" s="11" t="s">
        <v>41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52</v>
      </c>
      <c r="C47" s="11" t="s">
        <v>41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52</v>
      </c>
      <c r="C48" s="11" t="s">
        <v>41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52</v>
      </c>
      <c r="C49" s="11" t="s">
        <v>41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52</v>
      </c>
      <c r="C50" s="11" t="s">
        <v>41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52</v>
      </c>
      <c r="C51" s="11" t="s">
        <v>41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52</v>
      </c>
      <c r="C52" s="11" t="s">
        <v>41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52</v>
      </c>
      <c r="C53" s="11" t="s">
        <v>41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52</v>
      </c>
      <c r="C54" s="11" t="s">
        <v>41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52</v>
      </c>
      <c r="C55" s="11" t="s">
        <v>41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52</v>
      </c>
      <c r="C56" s="11" t="s">
        <v>41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52</v>
      </c>
      <c r="C57" s="11" t="s">
        <v>41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52</v>
      </c>
      <c r="C58" s="11" t="s">
        <v>41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52</v>
      </c>
      <c r="C59" s="11" t="s">
        <v>41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52</v>
      </c>
      <c r="C60" s="11" t="s">
        <v>41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52</v>
      </c>
      <c r="C61" s="11" t="s">
        <v>41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52</v>
      </c>
      <c r="C62" s="11" t="s">
        <v>41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52</v>
      </c>
      <c r="C63" s="11" t="s">
        <v>41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52</v>
      </c>
      <c r="C64" s="11" t="s">
        <v>41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52</v>
      </c>
      <c r="C65" s="11" t="s">
        <v>41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52</v>
      </c>
      <c r="C66" s="11" t="s">
        <v>41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52</v>
      </c>
      <c r="C67" s="11" t="s">
        <v>41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52</v>
      </c>
      <c r="C68" s="11" t="s">
        <v>41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52</v>
      </c>
      <c r="C69" s="11" t="s">
        <v>41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52</v>
      </c>
      <c r="C70" s="11" t="s">
        <v>41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52</v>
      </c>
      <c r="C71" s="11" t="s">
        <v>41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52</v>
      </c>
      <c r="C72" s="11" t="s">
        <v>41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52</v>
      </c>
      <c r="C73" s="11" t="s">
        <v>41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52</v>
      </c>
      <c r="C74" s="11" t="s">
        <v>41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52</v>
      </c>
      <c r="C75" s="11" t="s">
        <v>41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52</v>
      </c>
      <c r="C76" s="11" t="s">
        <v>41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52</v>
      </c>
      <c r="C77" s="11" t="s">
        <v>41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52</v>
      </c>
      <c r="C78" s="11" t="s">
        <v>41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52</v>
      </c>
      <c r="C79" s="11" t="s">
        <v>41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52</v>
      </c>
      <c r="C80" s="11" t="s">
        <v>41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52</v>
      </c>
      <c r="C81" s="11" t="s">
        <v>41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52</v>
      </c>
      <c r="C82" s="11" t="s">
        <v>41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52</v>
      </c>
      <c r="C83" s="11" t="s">
        <v>41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52</v>
      </c>
      <c r="C84" s="11" t="s">
        <v>41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52</v>
      </c>
      <c r="C85" s="11" t="s">
        <v>41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52</v>
      </c>
      <c r="C86" s="11" t="s">
        <v>41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52</v>
      </c>
      <c r="C87" s="11" t="s">
        <v>41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52</v>
      </c>
      <c r="C88" s="11" t="s">
        <v>41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52</v>
      </c>
      <c r="C89" s="11" t="s">
        <v>41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52</v>
      </c>
      <c r="C90" s="11" t="s">
        <v>41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52</v>
      </c>
      <c r="C91" s="11" t="s">
        <v>41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52</v>
      </c>
      <c r="C92" s="11" t="s">
        <v>41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52</v>
      </c>
      <c r="C93" s="11" t="s">
        <v>41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52</v>
      </c>
      <c r="C94" s="11" t="s">
        <v>41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52</v>
      </c>
      <c r="C95" s="11" t="s">
        <v>41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52</v>
      </c>
      <c r="C96" s="11" t="s">
        <v>41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52</v>
      </c>
      <c r="C97" s="11" t="s">
        <v>41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52</v>
      </c>
      <c r="C98" s="11" t="s">
        <v>41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52</v>
      </c>
      <c r="C99" s="11" t="s">
        <v>41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52</v>
      </c>
      <c r="C100" s="11" t="s">
        <v>41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52</v>
      </c>
      <c r="C101" s="11" t="s">
        <v>41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52</v>
      </c>
      <c r="C102" s="11" t="s">
        <v>41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52</v>
      </c>
      <c r="C103" s="11" t="s">
        <v>41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52</v>
      </c>
      <c r="C104" s="11" t="s">
        <v>41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52</v>
      </c>
      <c r="C105" s="11" t="s">
        <v>41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52</v>
      </c>
      <c r="C106" s="11" t="s">
        <v>41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52</v>
      </c>
      <c r="C107" s="11" t="s">
        <v>41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52</v>
      </c>
      <c r="C108" s="11" t="s">
        <v>41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52</v>
      </c>
      <c r="C109" s="11" t="s">
        <v>41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52</v>
      </c>
      <c r="C110" s="11" t="s">
        <v>41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52</v>
      </c>
      <c r="C111" s="11" t="s">
        <v>41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52</v>
      </c>
      <c r="C112" s="11" t="s">
        <v>41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52</v>
      </c>
      <c r="C113" s="11" t="s">
        <v>41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52</v>
      </c>
      <c r="C114" s="11" t="s">
        <v>41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52</v>
      </c>
      <c r="C115" s="11" t="s">
        <v>41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52</v>
      </c>
      <c r="C116" s="11" t="s">
        <v>41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52</v>
      </c>
      <c r="C117" s="11" t="s">
        <v>41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52</v>
      </c>
      <c r="C118" s="11" t="s">
        <v>41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52</v>
      </c>
      <c r="C119" s="11" t="s">
        <v>41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52</v>
      </c>
      <c r="C120" s="11" t="s">
        <v>41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52</v>
      </c>
      <c r="C121" s="11" t="s">
        <v>41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52</v>
      </c>
      <c r="C122" s="11" t="s">
        <v>41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52</v>
      </c>
      <c r="C123" s="11" t="s">
        <v>41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52</v>
      </c>
      <c r="C124" s="11" t="s">
        <v>41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52</v>
      </c>
      <c r="C125" s="11" t="s">
        <v>41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52</v>
      </c>
      <c r="C126" s="11" t="s">
        <v>41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52</v>
      </c>
      <c r="C127" s="11" t="s">
        <v>41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52</v>
      </c>
      <c r="C128" s="11" t="s">
        <v>41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52</v>
      </c>
      <c r="C129" s="11" t="s">
        <v>41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52</v>
      </c>
      <c r="C130" s="11" t="s">
        <v>41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52</v>
      </c>
      <c r="C131" s="11" t="s">
        <v>41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52</v>
      </c>
      <c r="C132" s="11" t="s">
        <v>41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52</v>
      </c>
      <c r="C133" s="11" t="s">
        <v>41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52</v>
      </c>
      <c r="C134" s="11" t="s">
        <v>41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52</v>
      </c>
      <c r="C135" s="11" t="s">
        <v>41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52</v>
      </c>
      <c r="C136" s="11" t="s">
        <v>41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52</v>
      </c>
      <c r="C137" s="11" t="s">
        <v>41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52</v>
      </c>
      <c r="C138" s="11" t="s">
        <v>41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52</v>
      </c>
      <c r="C139" s="11" t="s">
        <v>41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52</v>
      </c>
      <c r="C140" s="11" t="s">
        <v>41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52</v>
      </c>
      <c r="C141" s="11" t="s">
        <v>41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52</v>
      </c>
      <c r="C142" s="11" t="s">
        <v>41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52</v>
      </c>
      <c r="C143" s="11" t="s">
        <v>41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52</v>
      </c>
      <c r="C144" s="11" t="s">
        <v>41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52</v>
      </c>
      <c r="C145" s="11" t="s">
        <v>41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52</v>
      </c>
      <c r="C146" s="11" t="s">
        <v>41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52</v>
      </c>
      <c r="C147" s="11" t="s">
        <v>41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52</v>
      </c>
      <c r="C148" s="11" t="s">
        <v>41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52</v>
      </c>
      <c r="C149" s="11" t="s">
        <v>41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52</v>
      </c>
      <c r="C150" s="11" t="s">
        <v>41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52</v>
      </c>
      <c r="C151" s="11" t="s">
        <v>41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52</v>
      </c>
      <c r="C152" s="11" t="s">
        <v>41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52</v>
      </c>
      <c r="C153" s="11" t="s">
        <v>41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52</v>
      </c>
      <c r="C154" s="11" t="s">
        <v>41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52</v>
      </c>
      <c r="C155" s="11" t="s">
        <v>41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52</v>
      </c>
      <c r="C156" s="11" t="s">
        <v>41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52</v>
      </c>
      <c r="C157" s="11" t="s">
        <v>41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52</v>
      </c>
      <c r="C158" s="11" t="s">
        <v>41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52</v>
      </c>
      <c r="C159" s="11" t="s">
        <v>41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52</v>
      </c>
      <c r="C160" s="11" t="s">
        <v>41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52</v>
      </c>
      <c r="C161" s="11" t="s">
        <v>41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52</v>
      </c>
      <c r="C162" s="11" t="s">
        <v>41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52</v>
      </c>
      <c r="C163" s="11" t="s">
        <v>41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52</v>
      </c>
      <c r="C164" s="11" t="s">
        <v>41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52</v>
      </c>
      <c r="C165" s="11" t="s">
        <v>41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52</v>
      </c>
      <c r="C166" s="11" t="s">
        <v>41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52</v>
      </c>
      <c r="C167" s="11" t="s">
        <v>41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52</v>
      </c>
      <c r="C168" s="11" t="s">
        <v>41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52</v>
      </c>
      <c r="C169" s="11" t="s">
        <v>41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52</v>
      </c>
      <c r="C170" s="11" t="s">
        <v>41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52</v>
      </c>
      <c r="C171" s="11" t="s">
        <v>41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52</v>
      </c>
      <c r="C172" s="11" t="s">
        <v>41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52</v>
      </c>
      <c r="C173" s="11" t="s">
        <v>41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52</v>
      </c>
      <c r="C174" s="11" t="s">
        <v>41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52</v>
      </c>
      <c r="C175" s="11" t="s">
        <v>41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52</v>
      </c>
      <c r="C176" s="11" t="s">
        <v>41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52</v>
      </c>
      <c r="C177" s="11" t="s">
        <v>41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52</v>
      </c>
      <c r="C178" s="11" t="s">
        <v>41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52</v>
      </c>
      <c r="C179" s="11" t="s">
        <v>41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52</v>
      </c>
      <c r="C180" s="11" t="s">
        <v>41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52</v>
      </c>
      <c r="C181" s="11" t="s">
        <v>41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52</v>
      </c>
      <c r="C182" s="11" t="s">
        <v>41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52</v>
      </c>
      <c r="C183" s="11" t="s">
        <v>41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52</v>
      </c>
      <c r="C184" s="11" t="s">
        <v>41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52</v>
      </c>
      <c r="C185" s="11" t="s">
        <v>41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52</v>
      </c>
      <c r="C186" s="11" t="s">
        <v>41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52</v>
      </c>
      <c r="C187" s="11" t="s">
        <v>41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52</v>
      </c>
      <c r="C188" s="11" t="s">
        <v>41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52</v>
      </c>
      <c r="C189" s="11" t="s">
        <v>41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52</v>
      </c>
      <c r="C190" s="11" t="s">
        <v>41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52</v>
      </c>
      <c r="C191" s="11" t="s">
        <v>41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52</v>
      </c>
      <c r="C192" s="11" t="s">
        <v>41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52</v>
      </c>
      <c r="C193" s="11" t="s">
        <v>41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52</v>
      </c>
      <c r="C194" s="11" t="s">
        <v>41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52</v>
      </c>
      <c r="C195" s="11" t="s">
        <v>41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52</v>
      </c>
      <c r="C196" s="11" t="s">
        <v>41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52</v>
      </c>
      <c r="C197" s="11" t="s">
        <v>41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52</v>
      </c>
      <c r="C198" s="11" t="s">
        <v>41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52</v>
      </c>
      <c r="C199" s="11" t="s">
        <v>41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52</v>
      </c>
      <c r="C200" s="11" t="s">
        <v>41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52</v>
      </c>
      <c r="C201" s="11" t="s">
        <v>41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52</v>
      </c>
      <c r="C202" s="11" t="s">
        <v>41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52</v>
      </c>
      <c r="C203" s="11" t="s">
        <v>41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52</v>
      </c>
      <c r="C204" s="11" t="s">
        <v>41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52</v>
      </c>
      <c r="C205" s="11" t="s">
        <v>41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52</v>
      </c>
      <c r="C206" s="11" t="s">
        <v>41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52</v>
      </c>
      <c r="C207" s="11" t="s">
        <v>41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52</v>
      </c>
      <c r="C208" s="11" t="s">
        <v>41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52</v>
      </c>
      <c r="C209" s="11" t="s">
        <v>41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52</v>
      </c>
      <c r="C210" s="11" t="s">
        <v>41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52</v>
      </c>
      <c r="C211" s="11" t="s">
        <v>41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52</v>
      </c>
      <c r="C212" s="11" t="s">
        <v>41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52</v>
      </c>
      <c r="C213" s="11" t="s">
        <v>41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52</v>
      </c>
      <c r="C214" s="11" t="s">
        <v>41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52</v>
      </c>
      <c r="C215" s="11" t="s">
        <v>41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52</v>
      </c>
      <c r="C216" s="11" t="s">
        <v>41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52</v>
      </c>
      <c r="C217" s="11" t="s">
        <v>41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52</v>
      </c>
      <c r="C218" s="11" t="s">
        <v>41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52</v>
      </c>
      <c r="C219" s="11" t="s">
        <v>41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52</v>
      </c>
      <c r="C220" s="11" t="s">
        <v>41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52</v>
      </c>
      <c r="C221" s="11" t="s">
        <v>41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52</v>
      </c>
      <c r="C222" s="11" t="s">
        <v>41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52</v>
      </c>
      <c r="C223" s="11" t="s">
        <v>41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52</v>
      </c>
      <c r="C224" s="11" t="s">
        <v>41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52</v>
      </c>
      <c r="C225" s="11" t="s">
        <v>41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52</v>
      </c>
      <c r="C226" s="11" t="s">
        <v>41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52</v>
      </c>
      <c r="C227" s="11" t="s">
        <v>41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52</v>
      </c>
      <c r="C228" s="11" t="s">
        <v>41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52</v>
      </c>
      <c r="C229" s="11" t="s">
        <v>41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52</v>
      </c>
      <c r="C230" s="11" t="s">
        <v>41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52</v>
      </c>
      <c r="C231" s="11" t="s">
        <v>41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52</v>
      </c>
      <c r="C232" s="11" t="s">
        <v>41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52</v>
      </c>
      <c r="C233" s="11" t="s">
        <v>41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52</v>
      </c>
      <c r="C234" s="11" t="s">
        <v>41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52</v>
      </c>
      <c r="C235" s="11" t="s">
        <v>41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52</v>
      </c>
      <c r="C236" s="11" t="s">
        <v>41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52</v>
      </c>
      <c r="C237" s="11" t="s">
        <v>41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52</v>
      </c>
      <c r="C238" s="11" t="s">
        <v>41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52</v>
      </c>
      <c r="C239" s="11" t="s">
        <v>41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52</v>
      </c>
      <c r="C240" s="11" t="s">
        <v>41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52</v>
      </c>
      <c r="C241" s="11" t="s">
        <v>41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52</v>
      </c>
      <c r="C242" s="11" t="s">
        <v>41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52</v>
      </c>
      <c r="C243" s="11" t="s">
        <v>41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52</v>
      </c>
      <c r="C244" s="11" t="s">
        <v>41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52</v>
      </c>
      <c r="C245" s="11" t="s">
        <v>41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52</v>
      </c>
      <c r="C246" s="11" t="s">
        <v>41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52</v>
      </c>
      <c r="C247" s="11" t="s">
        <v>41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52</v>
      </c>
      <c r="C248" s="11" t="s">
        <v>41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52</v>
      </c>
      <c r="C249" s="11" t="s">
        <v>41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52</v>
      </c>
      <c r="C250" s="11" t="s">
        <v>41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52</v>
      </c>
      <c r="C251" s="11" t="s">
        <v>41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52</v>
      </c>
      <c r="C252" s="11" t="s">
        <v>41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52</v>
      </c>
      <c r="C253" s="11" t="s">
        <v>41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52</v>
      </c>
      <c r="C254" s="11" t="s">
        <v>41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52</v>
      </c>
      <c r="C255" s="11" t="s">
        <v>41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52</v>
      </c>
      <c r="C256" s="11" t="s">
        <v>41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52</v>
      </c>
      <c r="C257" s="11" t="s">
        <v>41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52</v>
      </c>
      <c r="C258" s="11" t="s">
        <v>41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52</v>
      </c>
      <c r="C259" s="11" t="s">
        <v>41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52</v>
      </c>
      <c r="C260" s="11" t="s">
        <v>41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52</v>
      </c>
      <c r="C261" s="11" t="s">
        <v>41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52</v>
      </c>
      <c r="C262" s="11" t="s">
        <v>41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52</v>
      </c>
      <c r="C263" s="11" t="s">
        <v>41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52</v>
      </c>
      <c r="C264" s="11" t="s">
        <v>41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52</v>
      </c>
      <c r="C265" s="11" t="s">
        <v>41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52</v>
      </c>
      <c r="C266" s="11" t="s">
        <v>41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52</v>
      </c>
      <c r="C267" s="11" t="s">
        <v>41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52</v>
      </c>
      <c r="C268" s="11" t="s">
        <v>41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52</v>
      </c>
      <c r="C269" s="11" t="s">
        <v>41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52</v>
      </c>
      <c r="C270" s="11" t="s">
        <v>41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52</v>
      </c>
      <c r="C271" s="11" t="s">
        <v>41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52</v>
      </c>
      <c r="C272" s="11" t="s">
        <v>41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52</v>
      </c>
      <c r="C273" s="11" t="s">
        <v>41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52</v>
      </c>
      <c r="C274" s="11" t="s">
        <v>41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52</v>
      </c>
      <c r="C275" s="11" t="s">
        <v>41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52</v>
      </c>
      <c r="C276" s="11" t="s">
        <v>41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52</v>
      </c>
      <c r="C277" s="11" t="s">
        <v>41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52</v>
      </c>
      <c r="C278" s="11" t="s">
        <v>41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52</v>
      </c>
      <c r="C279" s="11" t="s">
        <v>41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52</v>
      </c>
      <c r="C280" s="11" t="s">
        <v>41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52</v>
      </c>
      <c r="C281" s="11" t="s">
        <v>41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52</v>
      </c>
      <c r="C282" s="11" t="s">
        <v>41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52</v>
      </c>
      <c r="C283" s="11" t="s">
        <v>41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52</v>
      </c>
      <c r="C284" s="11" t="s">
        <v>41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52</v>
      </c>
      <c r="C285" s="11" t="s">
        <v>41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52</v>
      </c>
      <c r="C286" s="11" t="s">
        <v>41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52</v>
      </c>
      <c r="C287" s="11" t="s">
        <v>41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52</v>
      </c>
      <c r="C288" s="11" t="s">
        <v>41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52</v>
      </c>
      <c r="C289" s="11" t="s">
        <v>41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52</v>
      </c>
      <c r="C290" s="11" t="s">
        <v>41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52</v>
      </c>
      <c r="C291" s="11" t="s">
        <v>41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52</v>
      </c>
      <c r="C292" s="11" t="s">
        <v>41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52</v>
      </c>
      <c r="C293" s="11" t="s">
        <v>41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52</v>
      </c>
      <c r="C294" s="11" t="s">
        <v>41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52</v>
      </c>
      <c r="C295" s="11" t="s">
        <v>41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52</v>
      </c>
      <c r="C296" s="11" t="s">
        <v>41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52</v>
      </c>
      <c r="C297" s="11" t="s">
        <v>41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52</v>
      </c>
      <c r="C298" s="11" t="s">
        <v>41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52</v>
      </c>
      <c r="C299" s="11" t="s">
        <v>41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52</v>
      </c>
      <c r="C300" s="11" t="s">
        <v>41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52</v>
      </c>
      <c r="C301" s="11" t="s">
        <v>41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52</v>
      </c>
      <c r="C302" s="11" t="s">
        <v>41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52</v>
      </c>
      <c r="C303" s="11" t="s">
        <v>41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52</v>
      </c>
      <c r="C304" s="11" t="s">
        <v>41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52</v>
      </c>
      <c r="C305" s="11" t="s">
        <v>41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52</v>
      </c>
      <c r="C306" s="11" t="s">
        <v>41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52</v>
      </c>
      <c r="C307" s="11" t="s">
        <v>41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52</v>
      </c>
      <c r="C308" s="11" t="s">
        <v>41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52</v>
      </c>
      <c r="C309" s="11" t="s">
        <v>41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52</v>
      </c>
      <c r="C310" s="11" t="s">
        <v>41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52</v>
      </c>
      <c r="C311" s="11" t="s">
        <v>41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52</v>
      </c>
      <c r="C312" s="11" t="s">
        <v>41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52</v>
      </c>
      <c r="C313" s="11" t="s">
        <v>41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52</v>
      </c>
      <c r="C314" s="11" t="s">
        <v>41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52</v>
      </c>
      <c r="C315" s="11" t="s">
        <v>41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52</v>
      </c>
      <c r="C316" s="11" t="s">
        <v>41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52</v>
      </c>
      <c r="C317" s="11" t="s">
        <v>41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52</v>
      </c>
      <c r="C318" s="11" t="s">
        <v>41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52</v>
      </c>
      <c r="C319" s="11" t="s">
        <v>41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52</v>
      </c>
      <c r="C320" s="11" t="s">
        <v>41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52</v>
      </c>
      <c r="C321" s="11" t="s">
        <v>41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52</v>
      </c>
      <c r="C322" s="11" t="s">
        <v>41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52</v>
      </c>
      <c r="C323" s="11" t="s">
        <v>41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52</v>
      </c>
      <c r="C324" s="11" t="s">
        <v>41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52</v>
      </c>
      <c r="C325" s="11" t="s">
        <v>41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52</v>
      </c>
      <c r="C326" s="11" t="s">
        <v>41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52</v>
      </c>
      <c r="C327" s="11" t="s">
        <v>41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52</v>
      </c>
      <c r="C328" s="11" t="s">
        <v>41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52</v>
      </c>
      <c r="C329" s="11" t="s">
        <v>41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52</v>
      </c>
      <c r="C330" s="11" t="s">
        <v>41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52</v>
      </c>
      <c r="C331" s="11" t="s">
        <v>41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52</v>
      </c>
      <c r="C332" s="11" t="s">
        <v>41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52</v>
      </c>
      <c r="C333" s="11" t="s">
        <v>41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52</v>
      </c>
      <c r="C334" s="11" t="s">
        <v>41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52</v>
      </c>
      <c r="C335" s="11" t="s">
        <v>41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52</v>
      </c>
      <c r="C336" s="11" t="s">
        <v>41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52</v>
      </c>
      <c r="C337" s="11" t="s">
        <v>41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52</v>
      </c>
      <c r="C338" s="11" t="s">
        <v>41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52</v>
      </c>
      <c r="C339" s="11" t="s">
        <v>41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52</v>
      </c>
      <c r="C340" s="11" t="s">
        <v>41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52</v>
      </c>
      <c r="C341" s="11" t="s">
        <v>41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52</v>
      </c>
      <c r="C342" s="11" t="s">
        <v>41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52</v>
      </c>
      <c r="C343" s="11" t="s">
        <v>41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52</v>
      </c>
      <c r="C344" s="11" t="s">
        <v>41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52</v>
      </c>
      <c r="C345" s="11" t="s">
        <v>41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52</v>
      </c>
      <c r="C346" s="11" t="s">
        <v>41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52</v>
      </c>
      <c r="C347" s="11" t="s">
        <v>41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52</v>
      </c>
      <c r="C348" s="11" t="s">
        <v>41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52</v>
      </c>
      <c r="C349" s="11" t="s">
        <v>41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52</v>
      </c>
      <c r="C350" s="11" t="s">
        <v>41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52</v>
      </c>
      <c r="C351" s="11" t="s">
        <v>41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52</v>
      </c>
      <c r="C352" s="11" t="s">
        <v>41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52</v>
      </c>
      <c r="C353" s="11" t="s">
        <v>41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52</v>
      </c>
      <c r="C354" s="11" t="s">
        <v>41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52</v>
      </c>
      <c r="C355" s="11" t="s">
        <v>41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52</v>
      </c>
      <c r="C356" s="11" t="s">
        <v>41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52</v>
      </c>
      <c r="C357" s="11" t="s">
        <v>41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52</v>
      </c>
      <c r="C358" s="11" t="s">
        <v>41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52</v>
      </c>
      <c r="C359" s="11" t="s">
        <v>41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52</v>
      </c>
      <c r="C360" s="11" t="s">
        <v>41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52</v>
      </c>
      <c r="C361" s="11" t="s">
        <v>41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52</v>
      </c>
      <c r="C362" s="11" t="s">
        <v>41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52</v>
      </c>
      <c r="C363" s="11" t="s">
        <v>41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52</v>
      </c>
      <c r="C364" s="11" t="s">
        <v>41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52</v>
      </c>
      <c r="C365" s="11" t="s">
        <v>41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52</v>
      </c>
      <c r="C366" s="11" t="s">
        <v>41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52</v>
      </c>
      <c r="C367" s="11" t="s">
        <v>41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52</v>
      </c>
      <c r="C368" s="11" t="s">
        <v>41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52</v>
      </c>
      <c r="C369" s="11" t="s">
        <v>41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52</v>
      </c>
      <c r="C370" s="11" t="s">
        <v>41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52</v>
      </c>
      <c r="C371" s="11" t="s">
        <v>41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52</v>
      </c>
      <c r="C372" s="11" t="s">
        <v>41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52</v>
      </c>
      <c r="C373" s="11" t="s">
        <v>41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52</v>
      </c>
      <c r="C374" s="11" t="s">
        <v>41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52</v>
      </c>
      <c r="C375" s="11" t="s">
        <v>41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52</v>
      </c>
      <c r="C376" s="11" t="s">
        <v>41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52</v>
      </c>
      <c r="C377" s="11" t="s">
        <v>41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52</v>
      </c>
      <c r="C378" s="11" t="s">
        <v>41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52</v>
      </c>
      <c r="C379" s="11" t="s">
        <v>41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52</v>
      </c>
      <c r="C380" s="11" t="s">
        <v>41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52</v>
      </c>
      <c r="C381" s="11" t="s">
        <v>41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52</v>
      </c>
      <c r="C382" s="11" t="s">
        <v>41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52</v>
      </c>
      <c r="C383" s="11" t="s">
        <v>41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52</v>
      </c>
      <c r="C384" s="11" t="s">
        <v>41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52</v>
      </c>
      <c r="C385" s="11" t="s">
        <v>41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52</v>
      </c>
      <c r="C386" s="11" t="s">
        <v>41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52</v>
      </c>
      <c r="C387" s="11" t="s">
        <v>41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52</v>
      </c>
      <c r="C388" s="11" t="s">
        <v>41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52</v>
      </c>
      <c r="C389" s="11" t="s">
        <v>41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52</v>
      </c>
      <c r="C390" s="11" t="s">
        <v>41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52</v>
      </c>
      <c r="C391" s="11" t="s">
        <v>41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52</v>
      </c>
      <c r="C392" s="11" t="s">
        <v>41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52</v>
      </c>
      <c r="C393" s="11" t="s">
        <v>41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52</v>
      </c>
      <c r="C394" s="11" t="s">
        <v>41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52</v>
      </c>
      <c r="C395" s="11" t="s">
        <v>41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52</v>
      </c>
      <c r="C396" s="11" t="s">
        <v>41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52</v>
      </c>
      <c r="C397" s="11" t="s">
        <v>41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52</v>
      </c>
      <c r="C398" s="11" t="s">
        <v>41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52</v>
      </c>
      <c r="C399" s="11" t="s">
        <v>41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52</v>
      </c>
      <c r="C400" s="11" t="s">
        <v>41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52</v>
      </c>
      <c r="C401" s="11" t="s">
        <v>41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52</v>
      </c>
      <c r="C402" s="11" t="s">
        <v>41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52</v>
      </c>
      <c r="C403" s="11" t="s">
        <v>41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52</v>
      </c>
      <c r="C404" s="11" t="s">
        <v>41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52</v>
      </c>
      <c r="C405" s="11" t="s">
        <v>41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52</v>
      </c>
      <c r="C406" s="11" t="s">
        <v>41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52</v>
      </c>
      <c r="C407" s="11" t="s">
        <v>41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52</v>
      </c>
      <c r="C408" s="11" t="s">
        <v>41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52</v>
      </c>
      <c r="C409" s="11" t="s">
        <v>41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52</v>
      </c>
      <c r="C410" s="11" t="s">
        <v>41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52</v>
      </c>
      <c r="C411" s="11" t="s">
        <v>41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52</v>
      </c>
      <c r="C412" s="11" t="s">
        <v>41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52</v>
      </c>
      <c r="C413" s="11" t="s">
        <v>41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52</v>
      </c>
      <c r="C414" s="11" t="s">
        <v>41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52</v>
      </c>
      <c r="C415" s="11" t="s">
        <v>41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52</v>
      </c>
      <c r="C416" s="11" t="s">
        <v>41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52</v>
      </c>
      <c r="C417" s="11" t="s">
        <v>41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52</v>
      </c>
      <c r="C418" s="11" t="s">
        <v>41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52</v>
      </c>
      <c r="C419" s="11" t="s">
        <v>41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52</v>
      </c>
      <c r="C420" s="11" t="s">
        <v>41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52</v>
      </c>
      <c r="C421" s="11" t="s">
        <v>41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52</v>
      </c>
      <c r="C422" s="11" t="s">
        <v>41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52</v>
      </c>
      <c r="C423" s="11" t="s">
        <v>41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52</v>
      </c>
      <c r="C424" s="11" t="s">
        <v>41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52</v>
      </c>
      <c r="C425" s="11" t="s">
        <v>41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52</v>
      </c>
      <c r="C426" s="11" t="s">
        <v>41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52</v>
      </c>
      <c r="C427" s="11" t="s">
        <v>41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52</v>
      </c>
      <c r="C428" s="11" t="s">
        <v>41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52</v>
      </c>
      <c r="C429" s="11" t="s">
        <v>41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52</v>
      </c>
      <c r="C430" s="11" t="s">
        <v>41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52</v>
      </c>
      <c r="C431" s="11" t="s">
        <v>41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52</v>
      </c>
      <c r="C432" s="11" t="s">
        <v>41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52</v>
      </c>
      <c r="C433" s="11" t="s">
        <v>41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52</v>
      </c>
      <c r="C434" s="11" t="s">
        <v>41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52</v>
      </c>
      <c r="C435" s="11" t="s">
        <v>41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52</v>
      </c>
      <c r="C436" s="11" t="s">
        <v>41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52</v>
      </c>
      <c r="C437" s="11" t="s">
        <v>41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52</v>
      </c>
      <c r="C438" s="11" t="s">
        <v>41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52</v>
      </c>
      <c r="C439" s="11" t="s">
        <v>41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52</v>
      </c>
      <c r="C440" s="11" t="s">
        <v>41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52</v>
      </c>
      <c r="C441" s="11" t="s">
        <v>41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52</v>
      </c>
      <c r="C442" s="11" t="s">
        <v>41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52</v>
      </c>
      <c r="C443" s="11" t="s">
        <v>41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52</v>
      </c>
      <c r="C444" s="11" t="s">
        <v>41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52</v>
      </c>
      <c r="C445" s="11" t="s">
        <v>41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52</v>
      </c>
      <c r="C446" s="11" t="s">
        <v>41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52</v>
      </c>
      <c r="C447" s="11" t="s">
        <v>41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52</v>
      </c>
      <c r="C448" s="11" t="s">
        <v>41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52</v>
      </c>
      <c r="C449" s="11" t="s">
        <v>41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52</v>
      </c>
      <c r="C450" s="11" t="s">
        <v>41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52</v>
      </c>
      <c r="C451" s="11" t="s">
        <v>41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52</v>
      </c>
      <c r="C452" s="11" t="s">
        <v>41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52</v>
      </c>
      <c r="C453" s="11" t="s">
        <v>41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52</v>
      </c>
      <c r="C454" s="11" t="s">
        <v>41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52</v>
      </c>
      <c r="C455" s="11" t="s">
        <v>41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52</v>
      </c>
      <c r="C456" s="11" t="s">
        <v>41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52</v>
      </c>
      <c r="C457" s="11" t="s">
        <v>41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52</v>
      </c>
      <c r="C458" s="11" t="s">
        <v>41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52</v>
      </c>
      <c r="C459" s="11" t="s">
        <v>41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52</v>
      </c>
      <c r="C460" s="11" t="s">
        <v>41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52</v>
      </c>
      <c r="C461" s="11" t="s">
        <v>41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52</v>
      </c>
      <c r="C462" s="11" t="s">
        <v>41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52</v>
      </c>
      <c r="C463" s="11" t="s">
        <v>41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52</v>
      </c>
      <c r="C464" s="11" t="s">
        <v>41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52</v>
      </c>
      <c r="C465" s="11" t="s">
        <v>41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52</v>
      </c>
      <c r="C466" s="11" t="s">
        <v>41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52</v>
      </c>
      <c r="C467" s="11" t="s">
        <v>41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52</v>
      </c>
      <c r="C468" s="11" t="s">
        <v>41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52</v>
      </c>
      <c r="C469" s="11" t="s">
        <v>41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52</v>
      </c>
      <c r="C470" s="11" t="s">
        <v>41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52</v>
      </c>
      <c r="C471" s="11" t="s">
        <v>41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52</v>
      </c>
      <c r="C472" s="11" t="s">
        <v>41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52</v>
      </c>
      <c r="C473" s="11" t="s">
        <v>41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52</v>
      </c>
      <c r="C474" s="11" t="s">
        <v>41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52</v>
      </c>
      <c r="C475" s="11" t="s">
        <v>41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52</v>
      </c>
      <c r="C476" s="11" t="s">
        <v>41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52</v>
      </c>
      <c r="C477" s="11" t="s">
        <v>41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52</v>
      </c>
      <c r="C478" s="11" t="s">
        <v>41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52</v>
      </c>
      <c r="C479" s="11" t="s">
        <v>41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52</v>
      </c>
      <c r="C480" s="11" t="s">
        <v>41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52</v>
      </c>
      <c r="C481" s="11" t="s">
        <v>41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52</v>
      </c>
      <c r="C482" s="11" t="s">
        <v>41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52</v>
      </c>
      <c r="C483" s="11" t="s">
        <v>41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52</v>
      </c>
      <c r="C484" s="11" t="s">
        <v>41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52</v>
      </c>
      <c r="C485" s="11" t="s">
        <v>41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52</v>
      </c>
      <c r="C486" s="11" t="s">
        <v>41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52</v>
      </c>
      <c r="C487" s="11" t="s">
        <v>41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52</v>
      </c>
      <c r="C488" s="11" t="s">
        <v>41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52</v>
      </c>
      <c r="C489" s="11" t="s">
        <v>41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52</v>
      </c>
      <c r="C490" s="11" t="s">
        <v>41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52</v>
      </c>
      <c r="C491" s="11" t="s">
        <v>41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52</v>
      </c>
      <c r="C492" s="11" t="s">
        <v>41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52</v>
      </c>
      <c r="C493" s="11" t="s">
        <v>41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52</v>
      </c>
      <c r="C494" s="11" t="s">
        <v>41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52</v>
      </c>
      <c r="C495" s="11" t="s">
        <v>41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52</v>
      </c>
      <c r="C496" s="11" t="s">
        <v>41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52</v>
      </c>
      <c r="C497" s="11" t="s">
        <v>41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52</v>
      </c>
      <c r="C498" s="11" t="s">
        <v>41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52</v>
      </c>
      <c r="C499" s="11" t="s">
        <v>41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52</v>
      </c>
      <c r="C500" s="11" t="s">
        <v>41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52</v>
      </c>
      <c r="C501" s="11" t="s">
        <v>41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52</v>
      </c>
      <c r="C502" s="11" t="s">
        <v>41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52</v>
      </c>
      <c r="C503" s="11" t="s">
        <v>41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52</v>
      </c>
      <c r="C504" s="11" t="s">
        <v>41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52</v>
      </c>
      <c r="C505" s="11" t="s">
        <v>41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52</v>
      </c>
      <c r="C506" s="11" t="s">
        <v>41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52</v>
      </c>
      <c r="C507" s="11" t="s">
        <v>41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52</v>
      </c>
      <c r="C508" s="11" t="s">
        <v>41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52</v>
      </c>
      <c r="C509" s="11" t="s">
        <v>41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52</v>
      </c>
      <c r="C510" s="11" t="s">
        <v>41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52</v>
      </c>
      <c r="C511" s="11" t="s">
        <v>41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5" priority="19">
      <formula>AND($F12&lt;&gt;"",$B12="QA保")</formula>
    </cfRule>
    <cfRule type="expression" dxfId="4" priority="20">
      <formula>AND($F12&lt;&gt;"",$B12="TODO保")</formula>
    </cfRule>
    <cfRule type="expression" dxfId="3" priority="21">
      <formula>AND($F12&lt;&gt;"",OR($B12="TODO完",$B12="QA完"))</formula>
    </cfRule>
    <cfRule type="expression" dxfId="2" priority="22">
      <formula>AND($F12&lt;&gt;"",$B12="TODO未")</formula>
    </cfRule>
    <cfRule type="expression" dxfId="1" priority="23">
      <formula>AND($F12&lt;&gt;"",$B12="QA未")</formula>
    </cfRule>
    <cfRule type="expression" dxfId="0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2019-10-28T12:10:40Z</dcterms:modified>
</cp:coreProperties>
</file>