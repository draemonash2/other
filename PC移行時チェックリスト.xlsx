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73982B3D-A466-4EC8-A21F-4CF02950DE61}" xr6:coauthVersionLast="47" xr6:coauthVersionMax="47" xr10:uidLastSave="{00000000-0000-0000-0000-000000000000}"/>
  <bookViews>
    <workbookView xWindow="15" yWindow="15" windowWidth="38385" windowHeight="42465"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shortcut!$A$9:$AJ$230</definedName>
    <definedName name="_xlnm._FilterDatabase" localSheetId="3" hidden="1">symlink!$A$11:$L$67</definedName>
    <definedName name="_xlnm._FilterDatabase" localSheetId="0" hidden="1">セットアップ事項!$A$2:$M$83</definedName>
    <definedName name="_xlnm.Print_Area" localSheetId="4">linux環境構築!$A$6:$H$116</definedName>
    <definedName name="_xlnm.Print_Area" localSheetId="2">shortcut!$A$8:$AI$230</definedName>
    <definedName name="_xlnm.Print_Area" localSheetId="1">shortcut設定!$A$1:$O$38</definedName>
    <definedName name="_xlnm.Print_Area" localSheetId="3">symlink!$A$10:$L$67</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228" i="20" l="1"/>
  <c r="AH228" i="20"/>
  <c r="AG228" i="20"/>
  <c r="AF228" i="20"/>
  <c r="AE228" i="20"/>
  <c r="AD228" i="20"/>
  <c r="AC228" i="20"/>
  <c r="AB228" i="20"/>
  <c r="AA228" i="20"/>
  <c r="Z228" i="20"/>
  <c r="Y228" i="20"/>
  <c r="X228" i="20"/>
  <c r="W228" i="20"/>
  <c r="V228" i="20"/>
  <c r="U228" i="20"/>
  <c r="T228" i="20"/>
  <c r="S228" i="20"/>
  <c r="R228" i="20"/>
  <c r="AI227" i="20"/>
  <c r="AH227" i="20"/>
  <c r="AG227" i="20"/>
  <c r="AF227" i="20"/>
  <c r="AE227" i="20"/>
  <c r="AD227" i="20"/>
  <c r="AC227" i="20"/>
  <c r="AA227" i="20"/>
  <c r="Z227" i="20"/>
  <c r="Y227" i="20"/>
  <c r="X227" i="20"/>
  <c r="W227" i="20"/>
  <c r="S227" i="20"/>
  <c r="R227" i="20"/>
  <c r="J67" i="4" a="1"/>
  <c r="J67" i="4" s="1"/>
  <c r="I67" i="4" a="1"/>
  <c r="I67" i="4" s="1"/>
  <c r="J66" i="4" a="1"/>
  <c r="J66" i="4" s="1"/>
  <c r="I66" i="4" a="1"/>
  <c r="I66" i="4" s="1"/>
  <c r="J65" i="4" a="1"/>
  <c r="J65" i="4" s="1"/>
  <c r="J64" i="4" a="1"/>
  <c r="J64" i="4" s="1"/>
  <c r="J63" i="4" a="1"/>
  <c r="J63" i="4" s="1"/>
  <c r="J57" i="4" a="1"/>
  <c r="J57" i="4" s="1"/>
  <c r="J55" i="4" a="1"/>
  <c r="J55" i="4" s="1"/>
  <c r="I55" i="4" a="1"/>
  <c r="I55" i="4" s="1"/>
  <c r="J54" i="4" a="1"/>
  <c r="J54" i="4" s="1"/>
  <c r="I54" i="4" a="1"/>
  <c r="I54" i="4" s="1"/>
  <c r="J53" i="4" a="1"/>
  <c r="J53" i="4" s="1"/>
  <c r="J52" i="4" a="1"/>
  <c r="J52" i="4" s="1"/>
  <c r="J51" i="4" a="1"/>
  <c r="J51" i="4" s="1"/>
  <c r="J50" i="4" a="1"/>
  <c r="J50" i="4" s="1"/>
  <c r="J49" i="4" a="1"/>
  <c r="J49" i="4" s="1"/>
  <c r="J48" i="4" a="1"/>
  <c r="J48" i="4" s="1"/>
  <c r="J47" i="4" a="1"/>
  <c r="J47" i="4" s="1"/>
  <c r="J46" i="4" a="1"/>
  <c r="J46" i="4" s="1"/>
  <c r="I46" i="4" a="1"/>
  <c r="I46" i="4" s="1"/>
  <c r="J45" i="4" a="1"/>
  <c r="J45" i="4" s="1"/>
  <c r="J44" i="4" a="1"/>
  <c r="J44" i="4" s="1"/>
  <c r="J43" i="4" a="1"/>
  <c r="J43" i="4" s="1"/>
  <c r="J42" i="4" a="1"/>
  <c r="J42" i="4" s="1"/>
  <c r="J41" i="4" a="1"/>
  <c r="J41" i="4" s="1"/>
  <c r="J23" i="4" a="1"/>
  <c r="J23" i="4" s="1"/>
  <c r="J22" i="4" a="1"/>
  <c r="J22" i="4" s="1"/>
  <c r="J20" i="4" a="1"/>
  <c r="J20" i="4" s="1"/>
  <c r="J19" i="4" a="1"/>
  <c r="J19" i="4" s="1"/>
  <c r="I19" i="4" a="1"/>
  <c r="I19" i="4" s="1"/>
  <c r="J18" i="4" a="1"/>
  <c r="J18" i="4" s="1"/>
  <c r="J16" i="4" a="1"/>
  <c r="J16" i="4" s="1"/>
  <c r="J15" i="4" a="1"/>
  <c r="J15" i="4" s="1"/>
  <c r="J14" i="4" a="1"/>
  <c r="J14" i="4" s="1"/>
  <c r="J13" i="4" a="1"/>
  <c r="J13" i="4" s="1"/>
  <c r="J12" i="4" a="1"/>
  <c r="J12" i="4" s="1"/>
  <c r="AI226" i="20"/>
  <c r="AH226" i="20"/>
  <c r="AG226" i="20"/>
  <c r="AF226" i="20"/>
  <c r="AE226" i="20"/>
  <c r="AD226" i="20"/>
  <c r="AC226" i="20"/>
  <c r="AA226" i="20"/>
  <c r="Z226" i="20"/>
  <c r="Y226" i="20"/>
  <c r="X226" i="20"/>
  <c r="W226" i="20" s="1"/>
  <c r="V226" i="20"/>
  <c r="T226" i="20"/>
  <c r="S226" i="20"/>
  <c r="R226" i="20"/>
  <c r="D42" i="14"/>
  <c r="E42" i="14"/>
  <c r="L17" i="4"/>
  <c r="K17"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6" i="4"/>
  <c r="K15" i="4"/>
  <c r="K14" i="4"/>
  <c r="K13" i="4"/>
  <c r="K12" i="4"/>
  <c r="D100" i="14"/>
  <c r="E100" i="14" s="1"/>
  <c r="D99" i="14"/>
  <c r="E99" i="14" s="1"/>
  <c r="D98" i="14"/>
  <c r="E98" i="14" s="1"/>
  <c r="E80" i="14"/>
  <c r="D80" i="14"/>
  <c r="E79" i="14"/>
  <c r="D79" i="14"/>
  <c r="E78" i="14"/>
  <c r="D78" i="14"/>
  <c r="E77" i="14"/>
  <c r="D77" i="14"/>
  <c r="E76" i="14"/>
  <c r="D76" i="14"/>
  <c r="E75" i="14"/>
  <c r="D75" i="14"/>
  <c r="E74" i="14"/>
  <c r="D74" i="14"/>
  <c r="J17" i="4" a="1"/>
  <c r="I41" i="4" a="1"/>
  <c r="J62" i="4" a="1"/>
  <c r="J34" i="4" a="1"/>
  <c r="J26" i="4" a="1"/>
  <c r="I45" i="4" a="1"/>
  <c r="J30" i="4" a="1"/>
  <c r="I52" i="4" a="1"/>
  <c r="I62" i="4" a="1"/>
  <c r="I44" i="4" a="1"/>
  <c r="I57" i="4" a="1"/>
  <c r="I36" i="4" a="1"/>
  <c r="I24" i="4" a="1"/>
  <c r="J25" i="4" a="1"/>
  <c r="I16" i="4" a="1"/>
  <c r="I61" i="4" a="1"/>
  <c r="J40" i="4" a="1"/>
  <c r="I27" i="4" a="1"/>
  <c r="I33" i="4" a="1"/>
  <c r="J28" i="4" a="1"/>
  <c r="I43" i="4" a="1"/>
  <c r="I38" i="4" a="1"/>
  <c r="I37" i="4" a="1"/>
  <c r="I40" i="4" a="1"/>
  <c r="I23" i="4" a="1"/>
  <c r="I60" i="4" a="1"/>
  <c r="I20" i="4" a="1"/>
  <c r="I18" i="4" a="1"/>
  <c r="I56" i="4" a="1"/>
  <c r="I53" i="4" a="1"/>
  <c r="I12" i="4" a="1"/>
  <c r="J59" i="4" a="1"/>
  <c r="I65" i="4" a="1"/>
  <c r="J24" i="4" a="1"/>
  <c r="J38" i="4" a="1"/>
  <c r="I21" i="4" a="1"/>
  <c r="I64" i="4" a="1"/>
  <c r="I34" i="4" a="1"/>
  <c r="I29" i="4" a="1"/>
  <c r="I59" i="4" a="1"/>
  <c r="I14" i="4" a="1"/>
  <c r="I39" i="4" a="1"/>
  <c r="J31" i="4" a="1"/>
  <c r="J37" i="4" a="1"/>
  <c r="J27" i="4" a="1"/>
  <c r="J60" i="4" a="1"/>
  <c r="E16" i="20" a="1"/>
  <c r="I30" i="4" a="1"/>
  <c r="I58" i="4" a="1"/>
  <c r="I17" i="4" a="1"/>
  <c r="I32" i="4" a="1"/>
  <c r="I13" i="4" a="1"/>
  <c r="I51" i="4" a="1"/>
  <c r="I50" i="4" a="1"/>
  <c r="J33" i="4" a="1"/>
  <c r="J39" i="4" a="1"/>
  <c r="J32" i="4" a="1"/>
  <c r="I47" i="4" a="1"/>
  <c r="I42" i="4" a="1"/>
  <c r="J21" i="4" a="1"/>
  <c r="J35" i="4" a="1"/>
  <c r="I26" i="4" a="1"/>
  <c r="I31" i="4" a="1"/>
  <c r="I25" i="4" a="1"/>
  <c r="I15" i="4" a="1"/>
  <c r="E85" i="20" a="1"/>
  <c r="I63" i="4" a="1"/>
  <c r="I49" i="4" a="1"/>
  <c r="I48" i="4" a="1"/>
  <c r="I35" i="4" a="1"/>
  <c r="J36" i="4" a="1"/>
  <c r="I22" i="4" a="1"/>
  <c r="J56" i="4" a="1"/>
  <c r="J61" i="4" a="1"/>
  <c r="I28" i="4" a="1"/>
  <c r="J29" i="4" a="1"/>
  <c r="J58" i="4" a="1"/>
  <c r="I20" i="4" l="1"/>
  <c r="I40" i="4"/>
  <c r="I48" i="4"/>
  <c r="J28" i="4"/>
  <c r="J40" i="4"/>
  <c r="J60" i="4"/>
  <c r="I25" i="4"/>
  <c r="I57" i="4"/>
  <c r="J21" i="4"/>
  <c r="J33" i="4"/>
  <c r="I14" i="4"/>
  <c r="I34" i="4"/>
  <c r="J26" i="4"/>
  <c r="J34" i="4"/>
  <c r="J58" i="4"/>
  <c r="I28" i="4"/>
  <c r="I60" i="4"/>
  <c r="J36" i="4"/>
  <c r="I17" i="4"/>
  <c r="I33" i="4"/>
  <c r="I61" i="4"/>
  <c r="J25" i="4"/>
  <c r="J37" i="4"/>
  <c r="I26" i="4"/>
  <c r="I42" i="4"/>
  <c r="I50" i="4"/>
  <c r="I62" i="4"/>
  <c r="J30" i="4"/>
  <c r="J38" i="4"/>
  <c r="J62" i="4"/>
  <c r="I12" i="4"/>
  <c r="I56" i="4"/>
  <c r="J56" i="4"/>
  <c r="I37" i="4"/>
  <c r="I49" i="4"/>
  <c r="I30" i="4"/>
  <c r="E16" i="20"/>
  <c r="I15" i="4"/>
  <c r="I31" i="4"/>
  <c r="I39" i="4"/>
  <c r="I47" i="4"/>
  <c r="I51" i="4"/>
  <c r="I59" i="4"/>
  <c r="I64" i="4"/>
  <c r="J24" i="4"/>
  <c r="I41" i="4"/>
  <c r="I53" i="4"/>
  <c r="I18" i="4"/>
  <c r="I23" i="4"/>
  <c r="I35" i="4"/>
  <c r="I43" i="4"/>
  <c r="I63" i="4"/>
  <c r="I16" i="4"/>
  <c r="I24" i="4"/>
  <c r="I36" i="4"/>
  <c r="I44" i="4"/>
  <c r="J32" i="4"/>
  <c r="I13" i="4"/>
  <c r="I29" i="4"/>
  <c r="I45" i="4"/>
  <c r="I65" i="4"/>
  <c r="J17" i="4"/>
  <c r="J29" i="4"/>
  <c r="J61" i="4"/>
  <c r="I22" i="4"/>
  <c r="I38" i="4"/>
  <c r="I58" i="4"/>
  <c r="I27" i="4"/>
  <c r="E85" i="20"/>
  <c r="J27" i="4"/>
  <c r="J31" i="4"/>
  <c r="J35" i="4"/>
  <c r="J39" i="4"/>
  <c r="I32" i="4"/>
  <c r="I52" i="4"/>
  <c r="I21" i="4"/>
  <c r="J59" i="4"/>
  <c r="R206" i="20"/>
  <c r="T206" i="20"/>
  <c r="V206" i="20"/>
  <c r="W206" i="20"/>
  <c r="X206" i="20"/>
  <c r="Y206" i="20"/>
  <c r="Z206" i="20"/>
  <c r="AA206" i="20"/>
  <c r="AC206" i="20"/>
  <c r="AD206" i="20"/>
  <c r="AE206" i="20"/>
  <c r="AF206" i="20"/>
  <c r="AG206" i="20"/>
  <c r="AH206" i="20"/>
  <c r="AI206" i="20"/>
  <c r="R207" i="20"/>
  <c r="T207" i="20"/>
  <c r="V207" i="20"/>
  <c r="W207" i="20"/>
  <c r="X207" i="20"/>
  <c r="Y207" i="20"/>
  <c r="Z207" i="20"/>
  <c r="AA207" i="20"/>
  <c r="AC207" i="20"/>
  <c r="AD207" i="20"/>
  <c r="AF207" i="20"/>
  <c r="AE207" i="20" s="1"/>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X211" i="20"/>
  <c r="W211" i="20" s="1"/>
  <c r="Y211" i="20"/>
  <c r="Z211" i="20"/>
  <c r="AA211" i="20"/>
  <c r="AC211" i="20"/>
  <c r="AD211" i="20"/>
  <c r="AE211" i="20"/>
  <c r="AF211" i="20"/>
  <c r="AG211" i="20"/>
  <c r="AH211" i="20"/>
  <c r="AI211" i="20"/>
  <c r="R212" i="20"/>
  <c r="T212" i="20"/>
  <c r="V212" i="20"/>
  <c r="X212" i="20"/>
  <c r="W212" i="20" s="1"/>
  <c r="Y212" i="20"/>
  <c r="Z212" i="20"/>
  <c r="AA212" i="20"/>
  <c r="AC212" i="20"/>
  <c r="AD212" i="20"/>
  <c r="AE212" i="20"/>
  <c r="AF212" i="20"/>
  <c r="AG212" i="20"/>
  <c r="AH212" i="20"/>
  <c r="AI212" i="20"/>
  <c r="R213" i="20"/>
  <c r="T213" i="20"/>
  <c r="V213" i="20"/>
  <c r="W213" i="20"/>
  <c r="X213" i="20"/>
  <c r="Y213" i="20"/>
  <c r="Z213" i="20"/>
  <c r="AC213" i="20"/>
  <c r="AE213" i="20"/>
  <c r="AF213" i="20"/>
  <c r="AG213" i="20"/>
  <c r="AH213" i="20"/>
  <c r="AI213" i="20"/>
  <c r="R214" i="20"/>
  <c r="T214" i="20"/>
  <c r="V214" i="20"/>
  <c r="X214" i="20"/>
  <c r="W214" i="20" s="1"/>
  <c r="Y214" i="20"/>
  <c r="Z214" i="20"/>
  <c r="AA214" i="20"/>
  <c r="AC214" i="20"/>
  <c r="AD214" i="20"/>
  <c r="AE214" i="20"/>
  <c r="AF214" i="20"/>
  <c r="AG214" i="20"/>
  <c r="AH214" i="20"/>
  <c r="AI214" i="20"/>
  <c r="R215" i="20"/>
  <c r="T215" i="20"/>
  <c r="V215" i="20"/>
  <c r="X215" i="20"/>
  <c r="W215" i="20" s="1"/>
  <c r="Y215" i="20"/>
  <c r="Z215" i="20"/>
  <c r="AA215" i="20"/>
  <c r="AC215" i="20"/>
  <c r="AD215" i="20"/>
  <c r="AE215" i="20"/>
  <c r="AF215" i="20"/>
  <c r="AG215" i="20"/>
  <c r="AH215" i="20"/>
  <c r="AI215" i="20"/>
  <c r="AI145" i="20"/>
  <c r="AH145" i="20"/>
  <c r="AG145" i="20"/>
  <c r="AF145" i="20"/>
  <c r="AE145" i="20"/>
  <c r="AD145" i="20"/>
  <c r="AC145" i="20"/>
  <c r="AA145" i="20"/>
  <c r="Z145" i="20"/>
  <c r="Y145" i="20"/>
  <c r="X145" i="20"/>
  <c r="W145" i="20"/>
  <c r="R145" i="20"/>
  <c r="AI132" i="20"/>
  <c r="AH132" i="20"/>
  <c r="AG132" i="20"/>
  <c r="AF132" i="20"/>
  <c r="AE132" i="20"/>
  <c r="AD132" i="20"/>
  <c r="AC132" i="20"/>
  <c r="AA132" i="20"/>
  <c r="Z132" i="20"/>
  <c r="Y132" i="20"/>
  <c r="X132" i="20"/>
  <c r="W132" i="20"/>
  <c r="R132" i="20"/>
  <c r="AI225" i="20"/>
  <c r="AH225" i="20"/>
  <c r="AG225" i="20"/>
  <c r="AF225" i="20"/>
  <c r="AE225" i="20"/>
  <c r="AD225" i="20"/>
  <c r="AC225" i="20"/>
  <c r="AA225" i="20"/>
  <c r="Z225" i="20"/>
  <c r="Y225" i="20"/>
  <c r="X225" i="20"/>
  <c r="W225" i="20" s="1"/>
  <c r="V225" i="20"/>
  <c r="T225" i="20"/>
  <c r="R225" i="20"/>
  <c r="AI131" i="20"/>
  <c r="AH131" i="20"/>
  <c r="AG131" i="20"/>
  <c r="AF131" i="20"/>
  <c r="AE131" i="20" s="1"/>
  <c r="AD131" i="20"/>
  <c r="AC131" i="20"/>
  <c r="AA131" i="20"/>
  <c r="Z131" i="20"/>
  <c r="Y131" i="20"/>
  <c r="X131" i="20"/>
  <c r="W131" i="20"/>
  <c r="R131" i="20"/>
  <c r="AI158" i="20"/>
  <c r="AH158" i="20"/>
  <c r="AG158" i="20"/>
  <c r="AF158" i="20"/>
  <c r="AE158" i="20" s="1"/>
  <c r="AD158" i="20"/>
  <c r="AC158" i="20"/>
  <c r="AA158" i="20"/>
  <c r="Z158" i="20"/>
  <c r="Y158" i="20"/>
  <c r="X158" i="20"/>
  <c r="W158" i="20"/>
  <c r="V158" i="20"/>
  <c r="T158" i="20"/>
  <c r="R158" i="20"/>
  <c r="AI130" i="20"/>
  <c r="AH130" i="20"/>
  <c r="AG130" i="20"/>
  <c r="AF130" i="20"/>
  <c r="AE130" i="20"/>
  <c r="AD130" i="20"/>
  <c r="AC130" i="20"/>
  <c r="AA130" i="20"/>
  <c r="Z130" i="20"/>
  <c r="Y130" i="20"/>
  <c r="X130" i="20"/>
  <c r="W130" i="20"/>
  <c r="R130" i="20"/>
  <c r="AI205" i="20"/>
  <c r="AH205" i="20"/>
  <c r="AG205" i="20"/>
  <c r="AF205" i="20"/>
  <c r="AE205" i="20"/>
  <c r="AD205" i="20"/>
  <c r="AC205" i="20"/>
  <c r="AA205" i="20"/>
  <c r="Z205" i="20"/>
  <c r="Y205" i="20"/>
  <c r="X205" i="20"/>
  <c r="W205" i="20" s="1"/>
  <c r="V205" i="20"/>
  <c r="T205" i="20"/>
  <c r="R205" i="20"/>
  <c r="AI129" i="20"/>
  <c r="AH129" i="20"/>
  <c r="AG129" i="20"/>
  <c r="AF129" i="20"/>
  <c r="AE129" i="20"/>
  <c r="AD129" i="20"/>
  <c r="AC129" i="20"/>
  <c r="AA129" i="20"/>
  <c r="Z129" i="20"/>
  <c r="Y129" i="20"/>
  <c r="X129" i="20"/>
  <c r="W129" i="20" s="1"/>
  <c r="R129" i="20"/>
  <c r="AI159" i="20"/>
  <c r="AH159" i="20"/>
  <c r="AG159" i="20"/>
  <c r="AF159" i="20"/>
  <c r="AE159" i="20" s="1"/>
  <c r="AD159" i="20"/>
  <c r="AC159" i="20"/>
  <c r="AA159" i="20"/>
  <c r="Z159" i="20"/>
  <c r="Y159" i="20"/>
  <c r="X159" i="20"/>
  <c r="W159" i="20"/>
  <c r="V159" i="20"/>
  <c r="T159" i="20"/>
  <c r="R159" i="20"/>
  <c r="E32" i="14"/>
  <c r="D32" i="14"/>
  <c r="D31" i="14"/>
  <c r="E29" i="14"/>
  <c r="E28" i="14"/>
  <c r="D28" i="14"/>
  <c r="E27" i="14"/>
  <c r="D27" i="14"/>
  <c r="D29" i="14"/>
  <c r="E46" i="14"/>
  <c r="D46" i="14"/>
  <c r="E45" i="14"/>
  <c r="D45" i="14"/>
  <c r="E44" i="14"/>
  <c r="D44" i="14"/>
  <c r="E43" i="14"/>
  <c r="D43" i="14"/>
  <c r="E41" i="14"/>
  <c r="D41" i="14"/>
  <c r="E40" i="14"/>
  <c r="D40" i="14"/>
  <c r="E39" i="14"/>
  <c r="D39" i="14"/>
  <c r="E38" i="14"/>
  <c r="D38" i="14"/>
  <c r="E37" i="14"/>
  <c r="D37" i="14"/>
  <c r="E36" i="14"/>
  <c r="D36" i="14"/>
  <c r="E35" i="14"/>
  <c r="D35" i="14"/>
  <c r="E34" i="14"/>
  <c r="D34" i="14"/>
  <c r="E33" i="14"/>
  <c r="D33" i="14"/>
  <c r="E31" i="14"/>
  <c r="D91" i="14" l="1"/>
  <c r="AI198" i="20"/>
  <c r="AH198" i="20"/>
  <c r="AG198" i="20"/>
  <c r="AF198" i="20"/>
  <c r="AE198" i="20"/>
  <c r="AD198" i="20"/>
  <c r="AC198" i="20"/>
  <c r="AA198" i="20"/>
  <c r="Z198" i="20"/>
  <c r="Y198" i="20"/>
  <c r="X198" i="20"/>
  <c r="W198" i="20"/>
  <c r="V198" i="20"/>
  <c r="T198" i="20"/>
  <c r="R198" i="20"/>
  <c r="AI144" i="20"/>
  <c r="AH144" i="20"/>
  <c r="AG144" i="20"/>
  <c r="AF144" i="20"/>
  <c r="AE144" i="20"/>
  <c r="AD144" i="20"/>
  <c r="AC144" i="20"/>
  <c r="AA144" i="20"/>
  <c r="Z144" i="20"/>
  <c r="Y144" i="20"/>
  <c r="X144" i="20"/>
  <c r="W144" i="20"/>
  <c r="R144" i="20"/>
  <c r="AI142" i="20"/>
  <c r="AH142" i="20"/>
  <c r="AG142" i="20"/>
  <c r="AF142" i="20"/>
  <c r="AE142" i="20"/>
  <c r="AD142" i="20"/>
  <c r="AC142" i="20"/>
  <c r="AA142" i="20"/>
  <c r="Z142" i="20"/>
  <c r="Y142" i="20"/>
  <c r="X142" i="20"/>
  <c r="W142" i="20"/>
  <c r="R142" i="20"/>
  <c r="AI127" i="20"/>
  <c r="AH127" i="20"/>
  <c r="AG127" i="20"/>
  <c r="AF127" i="20"/>
  <c r="AE127" i="20"/>
  <c r="AD127" i="20"/>
  <c r="AC127" i="20"/>
  <c r="AA127" i="20"/>
  <c r="Z127" i="20"/>
  <c r="Y127" i="20"/>
  <c r="X127" i="20"/>
  <c r="W127" i="20"/>
  <c r="R127" i="20"/>
  <c r="AI154" i="20"/>
  <c r="AH154" i="20"/>
  <c r="AG154" i="20"/>
  <c r="AF154" i="20"/>
  <c r="AE154" i="20"/>
  <c r="AD154" i="20"/>
  <c r="AC154" i="20"/>
  <c r="AA154" i="20"/>
  <c r="Z154" i="20"/>
  <c r="Y154" i="20"/>
  <c r="X154" i="20"/>
  <c r="W154" i="20"/>
  <c r="R154" i="20"/>
  <c r="AI71" i="20"/>
  <c r="AH71" i="20"/>
  <c r="AG71" i="20"/>
  <c r="AF71" i="20"/>
  <c r="AE71" i="20"/>
  <c r="AD71" i="20"/>
  <c r="AC71" i="20"/>
  <c r="AA71" i="20"/>
  <c r="Z71" i="20"/>
  <c r="Y71" i="20"/>
  <c r="X71" i="20"/>
  <c r="W71" i="20"/>
  <c r="R71" i="20"/>
  <c r="AI223" i="20"/>
  <c r="AH223" i="20"/>
  <c r="AG223" i="20"/>
  <c r="AF223" i="20"/>
  <c r="AE223" i="20"/>
  <c r="AD223" i="20"/>
  <c r="AC223" i="20"/>
  <c r="AA223" i="20"/>
  <c r="Z223" i="20"/>
  <c r="Y223" i="20"/>
  <c r="X223" i="20"/>
  <c r="W223" i="20" s="1"/>
  <c r="V223" i="20"/>
  <c r="T223" i="20"/>
  <c r="R223"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41" i="20"/>
  <c r="AH141" i="20"/>
  <c r="AG141" i="20"/>
  <c r="AF141" i="20"/>
  <c r="AE141" i="20"/>
  <c r="AD141" i="20"/>
  <c r="AC141" i="20"/>
  <c r="AA141" i="20"/>
  <c r="Z141" i="20"/>
  <c r="Y141" i="20"/>
  <c r="X141" i="20"/>
  <c r="W141" i="20"/>
  <c r="R141"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40" i="20"/>
  <c r="AH140" i="20"/>
  <c r="AG140" i="20"/>
  <c r="AF140" i="20"/>
  <c r="AE140" i="20"/>
  <c r="AD140" i="20"/>
  <c r="AC140" i="20"/>
  <c r="AA140" i="20"/>
  <c r="Z140" i="20"/>
  <c r="Y140" i="20"/>
  <c r="X140" i="20"/>
  <c r="W140" i="20"/>
  <c r="R140" i="20"/>
  <c r="AI224" i="20"/>
  <c r="AH224" i="20"/>
  <c r="AG224" i="20"/>
  <c r="AF224" i="20"/>
  <c r="AE224" i="20"/>
  <c r="AD224" i="20"/>
  <c r="AC224" i="20"/>
  <c r="AA224" i="20"/>
  <c r="Z224" i="20"/>
  <c r="Y224" i="20"/>
  <c r="X224" i="20"/>
  <c r="W224" i="20" s="1"/>
  <c r="R224" i="20"/>
  <c r="AI139" i="20"/>
  <c r="AH139" i="20"/>
  <c r="AG139" i="20"/>
  <c r="AF139" i="20"/>
  <c r="AE139" i="20"/>
  <c r="AD139" i="20"/>
  <c r="AC139" i="20"/>
  <c r="AA139" i="20"/>
  <c r="Z139" i="20"/>
  <c r="Y139" i="20"/>
  <c r="X139" i="20"/>
  <c r="W139" i="20"/>
  <c r="R139"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3" i="20"/>
  <c r="AH143" i="20"/>
  <c r="AG143" i="20"/>
  <c r="AF143" i="20"/>
  <c r="AE143" i="20"/>
  <c r="AD143" i="20"/>
  <c r="AC143" i="20"/>
  <c r="AA143" i="20"/>
  <c r="Z143" i="20"/>
  <c r="Y143" i="20"/>
  <c r="X143" i="20"/>
  <c r="W143" i="20"/>
  <c r="R143" i="20"/>
  <c r="AI138" i="20"/>
  <c r="AH138" i="20"/>
  <c r="AG138" i="20"/>
  <c r="AF138" i="20"/>
  <c r="AE138" i="20"/>
  <c r="AD138" i="20"/>
  <c r="AC138" i="20"/>
  <c r="AA138" i="20"/>
  <c r="Z138" i="20"/>
  <c r="Y138" i="20"/>
  <c r="X138" i="20"/>
  <c r="W138" i="20"/>
  <c r="R138" i="20"/>
  <c r="AH229" i="20"/>
  <c r="AG229" i="20"/>
  <c r="AH128" i="20"/>
  <c r="AG128" i="20"/>
  <c r="AH121" i="20"/>
  <c r="AG121" i="20"/>
  <c r="AH234" i="20"/>
  <c r="AG234" i="20"/>
  <c r="AH118" i="20"/>
  <c r="AG118" i="20"/>
  <c r="AH222" i="20"/>
  <c r="AG222" i="20"/>
  <c r="AH120" i="20"/>
  <c r="AG120" i="20"/>
  <c r="AH220" i="20"/>
  <c r="AG220" i="20"/>
  <c r="AH219" i="20"/>
  <c r="AG219" i="20"/>
  <c r="AH218" i="20"/>
  <c r="AG218" i="20"/>
  <c r="AH217" i="20"/>
  <c r="AG217" i="20"/>
  <c r="AH216" i="20"/>
  <c r="AG216" i="20"/>
  <c r="AH204" i="20"/>
  <c r="AG204" i="20"/>
  <c r="AH203" i="20"/>
  <c r="AG203" i="20"/>
  <c r="AH202" i="20"/>
  <c r="AG202" i="20"/>
  <c r="AH201" i="20"/>
  <c r="AG201" i="20"/>
  <c r="AH200" i="20"/>
  <c r="AG200" i="20"/>
  <c r="AH199" i="20"/>
  <c r="AG199" i="20"/>
  <c r="AH197" i="20"/>
  <c r="AG197" i="20"/>
  <c r="AH196" i="20"/>
  <c r="AG196"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7" i="20"/>
  <c r="AG157" i="20"/>
  <c r="AH156" i="20"/>
  <c r="AG156" i="20"/>
  <c r="AH155" i="20"/>
  <c r="AG155" i="20"/>
  <c r="AH153" i="20"/>
  <c r="AG153" i="20"/>
  <c r="AH152" i="20"/>
  <c r="AG152" i="20"/>
  <c r="AH151" i="20"/>
  <c r="AG151" i="20"/>
  <c r="AH150" i="20"/>
  <c r="AG150" i="20"/>
  <c r="AH149" i="20"/>
  <c r="AG149" i="20"/>
  <c r="AH148" i="20"/>
  <c r="AG148" i="20"/>
  <c r="AH147" i="20"/>
  <c r="AG147" i="20"/>
  <c r="AH146" i="20"/>
  <c r="AG146" i="20"/>
  <c r="AH237" i="20"/>
  <c r="AG237" i="20"/>
  <c r="AH137" i="20"/>
  <c r="AG137" i="20"/>
  <c r="AH136" i="20"/>
  <c r="AG136" i="20"/>
  <c r="AH135" i="20"/>
  <c r="AG135" i="20"/>
  <c r="AH233" i="20"/>
  <c r="AG233" i="20"/>
  <c r="AH232" i="20"/>
  <c r="AG232" i="20"/>
  <c r="AH134" i="20"/>
  <c r="AG134" i="20"/>
  <c r="AH133" i="20"/>
  <c r="AG133" i="20"/>
  <c r="AH236" i="20"/>
  <c r="AG236" i="20"/>
  <c r="AH235" i="20"/>
  <c r="AG23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1" i="20"/>
  <c r="AG221" i="20"/>
  <c r="AI118" i="20"/>
  <c r="AF118" i="20"/>
  <c r="AE118" i="20"/>
  <c r="AD118" i="20"/>
  <c r="AC118" i="20"/>
  <c r="AA118" i="20"/>
  <c r="Z118" i="20"/>
  <c r="Y118" i="20"/>
  <c r="X118" i="20"/>
  <c r="W118" i="20"/>
  <c r="R118" i="20"/>
  <c r="AI222" i="20"/>
  <c r="AF222" i="20"/>
  <c r="AE222" i="20" s="1"/>
  <c r="AD222" i="20"/>
  <c r="AC222" i="20"/>
  <c r="AA222" i="20"/>
  <c r="Z222" i="20"/>
  <c r="Y222" i="20"/>
  <c r="X222" i="20"/>
  <c r="W222" i="20"/>
  <c r="V222" i="20"/>
  <c r="T222" i="20"/>
  <c r="R222" i="20"/>
  <c r="AI120" i="20"/>
  <c r="AF120" i="20"/>
  <c r="AE120" i="20"/>
  <c r="AD120" i="20"/>
  <c r="AC120" i="20"/>
  <c r="AA120" i="20"/>
  <c r="Z120" i="20"/>
  <c r="Y120" i="20"/>
  <c r="X120" i="20"/>
  <c r="W120" i="20"/>
  <c r="R120" i="20"/>
  <c r="AI221" i="20"/>
  <c r="AF221" i="20"/>
  <c r="AE221" i="20" s="1"/>
  <c r="AD221" i="20"/>
  <c r="AC221" i="20"/>
  <c r="AA221" i="20"/>
  <c r="Z221" i="20"/>
  <c r="Y221" i="20"/>
  <c r="X221" i="20"/>
  <c r="W221" i="20"/>
  <c r="V221" i="20"/>
  <c r="T221" i="20"/>
  <c r="R221" i="20"/>
  <c r="AI220" i="20"/>
  <c r="AF220" i="20"/>
  <c r="AE220" i="20"/>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s="1"/>
  <c r="R217" i="20"/>
  <c r="D57" i="14"/>
  <c r="E57" i="14" s="1"/>
  <c r="D89" i="14"/>
  <c r="D88" i="14"/>
  <c r="D87" i="14"/>
  <c r="D86" i="14"/>
  <c r="D85" i="14"/>
  <c r="D84" i="14"/>
  <c r="D83" i="14"/>
  <c r="D82" i="14"/>
  <c r="D81" i="14"/>
  <c r="AI229" i="20"/>
  <c r="AF229" i="20"/>
  <c r="AE229" i="20"/>
  <c r="AD229" i="20"/>
  <c r="AC229" i="20"/>
  <c r="AA229" i="20"/>
  <c r="Z229" i="20"/>
  <c r="Y229" i="20"/>
  <c r="X229" i="20"/>
  <c r="W229" i="20"/>
  <c r="V229" i="20"/>
  <c r="T229" i="20"/>
  <c r="R22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4" i="20"/>
  <c r="AF234" i="20"/>
  <c r="AE234" i="20" s="1"/>
  <c r="AD234" i="20"/>
  <c r="AC234" i="20"/>
  <c r="AA234" i="20"/>
  <c r="Z234" i="20"/>
  <c r="Y234" i="20"/>
  <c r="X234" i="20"/>
  <c r="W234" i="20"/>
  <c r="R234" i="20"/>
  <c r="AI117" i="20"/>
  <c r="AF117" i="20"/>
  <c r="AE117" i="20"/>
  <c r="AD117" i="20"/>
  <c r="AC117" i="20"/>
  <c r="AA117" i="20"/>
  <c r="Z117" i="20"/>
  <c r="Y117" i="20"/>
  <c r="X117" i="20"/>
  <c r="W117" i="20"/>
  <c r="R117" i="20"/>
  <c r="L40" i="4"/>
  <c r="L55" i="4"/>
  <c r="L56" i="4"/>
  <c r="L35" i="4" l="1"/>
  <c r="L36" i="4"/>
  <c r="AI116" i="20"/>
  <c r="AI157" i="20"/>
  <c r="AI237" i="20"/>
  <c r="AI156" i="20"/>
  <c r="AI216" i="20"/>
  <c r="AI204" i="20"/>
  <c r="AI203" i="20"/>
  <c r="AI202" i="20"/>
  <c r="AI201" i="20"/>
  <c r="AI200" i="20"/>
  <c r="AI199" i="20"/>
  <c r="AI197" i="20"/>
  <c r="AI196"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5" i="20"/>
  <c r="AI153" i="20"/>
  <c r="AI152" i="20"/>
  <c r="AI151" i="20"/>
  <c r="AI150" i="20"/>
  <c r="AI149" i="20"/>
  <c r="AI148" i="20"/>
  <c r="AI146" i="20"/>
  <c r="AI137" i="20"/>
  <c r="AI136" i="20"/>
  <c r="AI135" i="20"/>
  <c r="AI233" i="20"/>
  <c r="AI232" i="20"/>
  <c r="AI134" i="20"/>
  <c r="AI133" i="20"/>
  <c r="AI236" i="20"/>
  <c r="AI23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7" i="20"/>
  <c r="AE157" i="20"/>
  <c r="AE237" i="20"/>
  <c r="AE156" i="20"/>
  <c r="AE203" i="20"/>
  <c r="AE202" i="20"/>
  <c r="AE201" i="20"/>
  <c r="AE200" i="20"/>
  <c r="AE199" i="20"/>
  <c r="AE197" i="20"/>
  <c r="AE196"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5" i="20"/>
  <c r="AE153" i="20"/>
  <c r="AE152" i="20"/>
  <c r="AE151" i="20"/>
  <c r="AE150" i="20"/>
  <c r="AE149" i="20"/>
  <c r="AE148" i="20"/>
  <c r="AE137" i="20"/>
  <c r="AE136" i="20"/>
  <c r="AE135" i="20"/>
  <c r="AE233" i="20"/>
  <c r="AE232" i="20"/>
  <c r="AE134" i="20"/>
  <c r="AE133" i="20"/>
  <c r="AE236" i="20"/>
  <c r="AE23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7" i="20"/>
  <c r="AA157" i="20"/>
  <c r="AA237" i="20"/>
  <c r="AA156" i="20"/>
  <c r="AA216" i="20"/>
  <c r="AA204" i="20"/>
  <c r="AA203" i="20"/>
  <c r="AA202" i="20"/>
  <c r="AA201" i="20"/>
  <c r="AA200" i="20"/>
  <c r="AA199" i="20"/>
  <c r="AA197" i="20"/>
  <c r="AA196" i="20"/>
  <c r="AA195" i="20"/>
  <c r="AA191" i="20"/>
  <c r="AA188" i="20"/>
  <c r="AA187" i="20"/>
  <c r="AA186" i="20"/>
  <c r="AA185" i="20"/>
  <c r="AA183" i="20"/>
  <c r="AA182" i="20"/>
  <c r="AA181" i="20"/>
  <c r="AA180" i="20"/>
  <c r="AA179" i="20"/>
  <c r="AA178" i="20"/>
  <c r="AA177" i="20"/>
  <c r="AA176" i="20"/>
  <c r="AA174" i="20"/>
  <c r="AA170" i="20"/>
  <c r="AA169" i="20"/>
  <c r="AA168" i="20"/>
  <c r="AA167" i="20"/>
  <c r="AA166" i="20"/>
  <c r="AA165" i="20"/>
  <c r="AA155" i="20"/>
  <c r="AA153" i="20"/>
  <c r="AA152" i="20"/>
  <c r="AA151" i="20"/>
  <c r="AA150" i="20"/>
  <c r="AA149" i="20"/>
  <c r="AA148" i="20"/>
  <c r="AA146" i="20"/>
  <c r="AA137" i="20"/>
  <c r="AA136" i="20"/>
  <c r="AA135" i="20"/>
  <c r="AA233" i="20"/>
  <c r="AA232" i="20"/>
  <c r="AA134" i="20"/>
  <c r="AA133" i="20"/>
  <c r="AA236" i="20"/>
  <c r="AA23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6" i="20"/>
  <c r="T204" i="20"/>
  <c r="T203" i="20"/>
  <c r="T202" i="20"/>
  <c r="T201" i="20"/>
  <c r="T200" i="20"/>
  <c r="T199" i="20"/>
  <c r="T197" i="20"/>
  <c r="T196"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W116" i="20"/>
  <c r="W237" i="20"/>
  <c r="W216" i="20"/>
  <c r="W204" i="20"/>
  <c r="W203" i="20"/>
  <c r="W199" i="20"/>
  <c r="W196" i="20"/>
  <c r="W195"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5" i="20"/>
  <c r="W153" i="20"/>
  <c r="W152" i="20"/>
  <c r="W151" i="20"/>
  <c r="W150" i="20"/>
  <c r="W149" i="20"/>
  <c r="W148" i="20"/>
  <c r="W146" i="20"/>
  <c r="W137" i="20"/>
  <c r="W136" i="20"/>
  <c r="W135" i="20"/>
  <c r="W233" i="20"/>
  <c r="W232" i="20"/>
  <c r="W134" i="20"/>
  <c r="W133" i="20"/>
  <c r="W236" i="20"/>
  <c r="W23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7" i="20"/>
  <c r="Y237" i="20"/>
  <c r="Y156" i="20"/>
  <c r="Y216" i="20"/>
  <c r="Y204" i="20"/>
  <c r="Y203" i="20"/>
  <c r="Y202" i="20"/>
  <c r="Y201" i="20"/>
  <c r="Y200" i="20"/>
  <c r="Y199" i="20"/>
  <c r="Y197" i="20"/>
  <c r="Y196"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5" i="20"/>
  <c r="Y153" i="20"/>
  <c r="Y152" i="20"/>
  <c r="Y151" i="20"/>
  <c r="Y150" i="20"/>
  <c r="Y149" i="20"/>
  <c r="Y148" i="20"/>
  <c r="Y146" i="20"/>
  <c r="Y137" i="20"/>
  <c r="Y136" i="20"/>
  <c r="Y135" i="20"/>
  <c r="Y233" i="20"/>
  <c r="Y232" i="20"/>
  <c r="Y134" i="20"/>
  <c r="Y133" i="20"/>
  <c r="Y236" i="20"/>
  <c r="Y23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7" i="20"/>
  <c r="Y147" i="20"/>
  <c r="L67" i="4" l="1"/>
  <c r="L66" i="4"/>
  <c r="L34" i="4"/>
  <c r="L51" i="4"/>
  <c r="L54" i="4"/>
  <c r="L65" i="4"/>
  <c r="L64" i="4"/>
  <c r="L63" i="4"/>
  <c r="L62" i="4"/>
  <c r="L61" i="4"/>
  <c r="L60" i="4"/>
  <c r="L59" i="4"/>
  <c r="L58" i="4"/>
  <c r="L57" i="4"/>
  <c r="L39" i="4"/>
  <c r="L38" i="4"/>
  <c r="L53" i="4"/>
  <c r="L52" i="4"/>
  <c r="L50" i="4"/>
  <c r="L49" i="4"/>
  <c r="L48" i="4"/>
  <c r="L47" i="4"/>
  <c r="L46" i="4"/>
  <c r="L45" i="4"/>
  <c r="L44" i="4"/>
  <c r="L43" i="4"/>
  <c r="L42" i="4"/>
  <c r="L41" i="4"/>
  <c r="L37" i="4"/>
  <c r="L33" i="4"/>
  <c r="L32" i="4"/>
  <c r="L31" i="4"/>
  <c r="L30" i="4"/>
  <c r="L29" i="4"/>
  <c r="L28" i="4"/>
  <c r="L27" i="4"/>
  <c r="L26" i="4"/>
  <c r="L25" i="4"/>
  <c r="L24" i="4"/>
  <c r="L23" i="4"/>
  <c r="L22" i="4"/>
  <c r="L21" i="4"/>
  <c r="L20" i="4"/>
  <c r="L19" i="4"/>
  <c r="L18" i="4"/>
  <c r="L15" i="4"/>
  <c r="L12" i="4"/>
  <c r="L16" i="4"/>
  <c r="Z116" i="20"/>
  <c r="Z157" i="20"/>
  <c r="Z237" i="20"/>
  <c r="Z156" i="20"/>
  <c r="Z115" i="20"/>
  <c r="Z216" i="20"/>
  <c r="Z204" i="20"/>
  <c r="Z203" i="20"/>
  <c r="Z202" i="20"/>
  <c r="Z201" i="20"/>
  <c r="Z200" i="20"/>
  <c r="Z199" i="20"/>
  <c r="Z197" i="20"/>
  <c r="Z196"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5" i="20"/>
  <c r="Z153" i="20"/>
  <c r="Z152" i="20"/>
  <c r="Z151" i="20"/>
  <c r="Z150" i="20"/>
  <c r="Z149" i="20"/>
  <c r="Z148" i="20"/>
  <c r="Z147" i="20"/>
  <c r="Z146" i="20"/>
  <c r="Z137" i="20"/>
  <c r="Z136" i="20"/>
  <c r="Z135" i="20"/>
  <c r="Z233" i="20"/>
  <c r="Z232" i="20"/>
  <c r="Z134" i="20"/>
  <c r="Z133" i="20"/>
  <c r="Z236" i="20"/>
  <c r="Z23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7" i="20"/>
  <c r="W157" i="20" s="1"/>
  <c r="X237" i="20"/>
  <c r="X156" i="20"/>
  <c r="W156" i="20" s="1"/>
  <c r="X115" i="20"/>
  <c r="X216" i="20"/>
  <c r="X204" i="20"/>
  <c r="X203" i="20"/>
  <c r="X202" i="20"/>
  <c r="W202" i="20" s="1"/>
  <c r="X201" i="20"/>
  <c r="W201" i="20" s="1"/>
  <c r="X200" i="20"/>
  <c r="W200" i="20" s="1"/>
  <c r="X199" i="20"/>
  <c r="X197" i="20"/>
  <c r="W197" i="20" s="1"/>
  <c r="X196" i="20"/>
  <c r="X195" i="20"/>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5" i="20"/>
  <c r="X153" i="20"/>
  <c r="X152" i="20"/>
  <c r="X151" i="20"/>
  <c r="X150" i="20"/>
  <c r="X149" i="20"/>
  <c r="X148" i="20"/>
  <c r="X147" i="20"/>
  <c r="X146" i="20"/>
  <c r="X137" i="20"/>
  <c r="X136" i="20"/>
  <c r="X135" i="20"/>
  <c r="X233" i="20"/>
  <c r="X232" i="20"/>
  <c r="X134" i="20"/>
  <c r="X133" i="20"/>
  <c r="X236" i="20"/>
  <c r="X23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7" i="20"/>
  <c r="AF237" i="20"/>
  <c r="AF156" i="20"/>
  <c r="AF115" i="20"/>
  <c r="AF216" i="20"/>
  <c r="AF155" i="20"/>
  <c r="AF153" i="20"/>
  <c r="AF152" i="20"/>
  <c r="AF204" i="20"/>
  <c r="AF203" i="20"/>
  <c r="AF202" i="20"/>
  <c r="AF201" i="20"/>
  <c r="AF200" i="20"/>
  <c r="AF199" i="20"/>
  <c r="AF197" i="20"/>
  <c r="AF196"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1" i="20"/>
  <c r="AF150" i="20"/>
  <c r="AF149" i="20"/>
  <c r="AF148" i="20"/>
  <c r="AF147" i="20"/>
  <c r="AF146" i="20"/>
  <c r="AF137" i="20"/>
  <c r="AF136" i="20"/>
  <c r="AF135" i="20"/>
  <c r="AF233" i="20"/>
  <c r="AF232" i="20"/>
  <c r="AF134" i="20"/>
  <c r="AF133" i="20"/>
  <c r="AF236" i="20"/>
  <c r="AF23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7" i="20"/>
  <c r="AD237" i="20"/>
  <c r="AD156" i="20"/>
  <c r="AD115" i="20"/>
  <c r="AD216" i="20"/>
  <c r="AD155" i="20"/>
  <c r="AD153" i="20"/>
  <c r="AD152" i="20"/>
  <c r="AD204" i="20"/>
  <c r="AD203" i="20"/>
  <c r="AD202" i="20"/>
  <c r="AD201" i="20"/>
  <c r="AD200" i="20"/>
  <c r="AD199" i="20"/>
  <c r="AD197" i="20"/>
  <c r="AD196" i="20"/>
  <c r="AD195" i="20"/>
  <c r="AD191" i="20"/>
  <c r="AD188" i="20"/>
  <c r="AD187" i="20"/>
  <c r="AD186" i="20"/>
  <c r="AD185" i="20"/>
  <c r="AD183" i="20"/>
  <c r="AD182" i="20"/>
  <c r="AD181" i="20"/>
  <c r="AD180" i="20"/>
  <c r="AD179" i="20"/>
  <c r="AD178" i="20"/>
  <c r="AD177" i="20"/>
  <c r="AD176" i="20"/>
  <c r="AD174" i="20"/>
  <c r="AD170" i="20"/>
  <c r="AD169" i="20"/>
  <c r="AD168" i="20"/>
  <c r="AD167" i="20"/>
  <c r="AD166" i="20"/>
  <c r="AD165" i="20"/>
  <c r="AD151" i="20"/>
  <c r="AD150" i="20"/>
  <c r="AD149" i="20"/>
  <c r="AD148" i="20"/>
  <c r="AD146" i="20"/>
  <c r="AD137" i="20"/>
  <c r="AD136" i="20"/>
  <c r="AD135" i="20"/>
  <c r="AD233" i="20"/>
  <c r="AD232" i="20"/>
  <c r="AD134" i="20"/>
  <c r="AD133" i="20"/>
  <c r="AD236" i="20"/>
  <c r="AD23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6" i="20"/>
  <c r="V204" i="20"/>
  <c r="V203" i="20"/>
  <c r="V202" i="20"/>
  <c r="V201" i="20"/>
  <c r="V200" i="20"/>
  <c r="V199" i="20"/>
  <c r="V197" i="20"/>
  <c r="V196"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AC116" i="20"/>
  <c r="AC157" i="20"/>
  <c r="AC237" i="20"/>
  <c r="AC156" i="20"/>
  <c r="AC115" i="20"/>
  <c r="AC216" i="20"/>
  <c r="AC155" i="20"/>
  <c r="AC153" i="20"/>
  <c r="AC152" i="20"/>
  <c r="AC204" i="20"/>
  <c r="AC203" i="20"/>
  <c r="AC202" i="20"/>
  <c r="AC201" i="20"/>
  <c r="AC200" i="20"/>
  <c r="AC199" i="20"/>
  <c r="AC197" i="20"/>
  <c r="AC196" i="20"/>
  <c r="AC195" i="20"/>
  <c r="AC194" i="20"/>
  <c r="AC193" i="20"/>
  <c r="AC192" i="20"/>
  <c r="AC191" i="20"/>
  <c r="AC190" i="20"/>
  <c r="AC188" i="20"/>
  <c r="AC187"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1" i="20"/>
  <c r="AC150" i="20"/>
  <c r="AC149" i="20"/>
  <c r="AC148" i="20"/>
  <c r="AC147" i="20"/>
  <c r="AC146" i="20"/>
  <c r="AC137" i="20"/>
  <c r="AC136" i="20"/>
  <c r="AC135" i="20"/>
  <c r="AC233" i="20"/>
  <c r="AC232" i="20"/>
  <c r="AC134" i="20"/>
  <c r="AC133" i="20"/>
  <c r="AC236" i="20"/>
  <c r="AC23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9" i="20"/>
  <c r="O6" i="8"/>
  <c r="O5" i="8"/>
  <c r="O4" i="8"/>
  <c r="R116" i="20"/>
  <c r="R157" i="20"/>
  <c r="R237" i="20"/>
  <c r="R156" i="20"/>
  <c r="R115" i="20"/>
  <c r="R216" i="20"/>
  <c r="R155" i="20"/>
  <c r="R153" i="20"/>
  <c r="R152" i="20"/>
  <c r="R204" i="20"/>
  <c r="R203" i="20"/>
  <c r="R202" i="20"/>
  <c r="R201" i="20"/>
  <c r="R200" i="20"/>
  <c r="R199" i="20"/>
  <c r="R197" i="20"/>
  <c r="R196" i="20"/>
  <c r="R195" i="20"/>
  <c r="R194" i="20"/>
  <c r="R193" i="20"/>
  <c r="R192" i="20"/>
  <c r="R191" i="20"/>
  <c r="R190" i="20"/>
  <c r="R189" i="20"/>
  <c r="R188" i="20"/>
  <c r="R187" i="20"/>
  <c r="R186" i="20"/>
  <c r="R185" i="20"/>
  <c r="R184" i="20"/>
  <c r="R183" i="20"/>
  <c r="R180" i="20"/>
  <c r="R182" i="20"/>
  <c r="R181" i="20"/>
  <c r="R179" i="20"/>
  <c r="R170" i="20"/>
  <c r="R169" i="20"/>
  <c r="R168" i="20"/>
  <c r="R178" i="20"/>
  <c r="R177" i="20"/>
  <c r="R176" i="20"/>
  <c r="R174" i="20"/>
  <c r="R173" i="20"/>
  <c r="R172" i="20"/>
  <c r="R171" i="20"/>
  <c r="R167" i="20"/>
  <c r="R166" i="20"/>
  <c r="R165" i="20"/>
  <c r="R175" i="20"/>
  <c r="R164" i="20"/>
  <c r="R163" i="20"/>
  <c r="R162" i="20"/>
  <c r="R161" i="20"/>
  <c r="R160" i="20"/>
  <c r="R151" i="20"/>
  <c r="R150" i="20"/>
  <c r="R149" i="20"/>
  <c r="R148" i="20"/>
  <c r="R147" i="20"/>
  <c r="R146" i="20"/>
  <c r="R137" i="20"/>
  <c r="R136" i="20"/>
  <c r="R135" i="20"/>
  <c r="R233" i="20"/>
  <c r="R232" i="20"/>
  <c r="R134" i="20"/>
  <c r="R133" i="20"/>
  <c r="R236" i="20"/>
  <c r="R23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0" i="20" l="1"/>
  <c r="S209" i="20"/>
  <c r="S208" i="20"/>
  <c r="S206" i="20"/>
  <c r="S129" i="20"/>
  <c r="S205" i="20"/>
  <c r="S131" i="20"/>
  <c r="S214" i="20"/>
  <c r="S159" i="20"/>
  <c r="S207" i="20"/>
  <c r="S130" i="20"/>
  <c r="S212" i="20"/>
  <c r="S145" i="20"/>
  <c r="S225" i="20"/>
  <c r="S158" i="20"/>
  <c r="S215" i="20"/>
  <c r="S132" i="20"/>
  <c r="S213" i="20"/>
  <c r="S211" i="20"/>
  <c r="S125" i="20"/>
  <c r="S127" i="20"/>
  <c r="S144" i="20"/>
  <c r="S141" i="20"/>
  <c r="S126" i="20"/>
  <c r="S198" i="20"/>
  <c r="S223" i="20"/>
  <c r="S71" i="20"/>
  <c r="S154" i="20"/>
  <c r="S142" i="20"/>
  <c r="S216" i="20"/>
  <c r="S199" i="20"/>
  <c r="S186" i="20"/>
  <c r="S174" i="20"/>
  <c r="S162" i="20"/>
  <c r="S148" i="20"/>
  <c r="S235" i="20"/>
  <c r="S106" i="20"/>
  <c r="S94" i="20"/>
  <c r="S82" i="20"/>
  <c r="S70" i="20"/>
  <c r="S58" i="20"/>
  <c r="S46" i="20"/>
  <c r="S34" i="20"/>
  <c r="S22" i="20"/>
  <c r="S120" i="20"/>
  <c r="S45" i="20"/>
  <c r="S21" i="20"/>
  <c r="S229" i="20"/>
  <c r="S197" i="20"/>
  <c r="S185" i="20"/>
  <c r="S173" i="20"/>
  <c r="S161" i="20"/>
  <c r="S147" i="20"/>
  <c r="S117" i="20"/>
  <c r="S105" i="20"/>
  <c r="S93" i="20"/>
  <c r="S81" i="20"/>
  <c r="S69" i="20"/>
  <c r="S57" i="20"/>
  <c r="S33" i="20"/>
  <c r="S128" i="20"/>
  <c r="S196" i="20"/>
  <c r="S184" i="20"/>
  <c r="S172" i="20"/>
  <c r="S160" i="20"/>
  <c r="S146" i="20"/>
  <c r="S116" i="20"/>
  <c r="S104" i="20"/>
  <c r="S92" i="20"/>
  <c r="S80" i="20"/>
  <c r="S68" i="20"/>
  <c r="S56" i="20"/>
  <c r="S44" i="20"/>
  <c r="S32" i="20"/>
  <c r="S20" i="20"/>
  <c r="S121" i="20"/>
  <c r="S195" i="20"/>
  <c r="S183" i="20"/>
  <c r="S171" i="20"/>
  <c r="S237" i="20"/>
  <c r="S115" i="20"/>
  <c r="S103" i="20"/>
  <c r="S91" i="20"/>
  <c r="S79" i="20"/>
  <c r="S67" i="20"/>
  <c r="S55" i="20"/>
  <c r="S43" i="20"/>
  <c r="S31" i="20"/>
  <c r="S19" i="20"/>
  <c r="S119" i="20"/>
  <c r="S224" i="20"/>
  <c r="S123" i="20"/>
  <c r="S143" i="20"/>
  <c r="S234" i="20"/>
  <c r="S194" i="20"/>
  <c r="S182" i="20"/>
  <c r="S170" i="20"/>
  <c r="S157" i="20"/>
  <c r="S137" i="20"/>
  <c r="S114" i="20"/>
  <c r="S102" i="20"/>
  <c r="S90" i="20"/>
  <c r="S78" i="20"/>
  <c r="S66" i="20"/>
  <c r="S54" i="20"/>
  <c r="S42" i="20"/>
  <c r="S30" i="20"/>
  <c r="S18" i="20"/>
  <c r="AB229" i="20"/>
  <c r="S118" i="20"/>
  <c r="S193" i="20"/>
  <c r="S181" i="20"/>
  <c r="S169" i="20"/>
  <c r="S156" i="20"/>
  <c r="S136" i="20"/>
  <c r="S113" i="20"/>
  <c r="S101" i="20"/>
  <c r="S89" i="20"/>
  <c r="S77" i="20"/>
  <c r="S65" i="20"/>
  <c r="S53" i="20"/>
  <c r="S41" i="20"/>
  <c r="S29" i="20"/>
  <c r="S17" i="20"/>
  <c r="S217" i="20"/>
  <c r="S200" i="20"/>
  <c r="S187" i="20"/>
  <c r="S175" i="20"/>
  <c r="S163" i="20"/>
  <c r="S149" i="20"/>
  <c r="S236" i="20"/>
  <c r="S107" i="20"/>
  <c r="S95" i="20"/>
  <c r="S83" i="20"/>
  <c r="S59" i="20"/>
  <c r="S47" i="20"/>
  <c r="S35" i="20"/>
  <c r="S23" i="20"/>
  <c r="S11" i="20"/>
  <c r="U229" i="20"/>
  <c r="S222" i="20"/>
  <c r="S192" i="20"/>
  <c r="S180" i="20"/>
  <c r="S168" i="20"/>
  <c r="S155" i="20"/>
  <c r="S135" i="20"/>
  <c r="S112" i="20"/>
  <c r="S100" i="20"/>
  <c r="S88" i="20"/>
  <c r="S76" i="20"/>
  <c r="S64" i="20"/>
  <c r="S52" i="20"/>
  <c r="S40" i="20"/>
  <c r="S28" i="20"/>
  <c r="S16" i="20"/>
  <c r="S221" i="20"/>
  <c r="S204" i="20"/>
  <c r="S191" i="20"/>
  <c r="S179" i="20"/>
  <c r="S167" i="20"/>
  <c r="S153" i="20"/>
  <c r="S233" i="20"/>
  <c r="S111" i="20"/>
  <c r="S99" i="20"/>
  <c r="S87" i="20"/>
  <c r="S75" i="20"/>
  <c r="S63" i="20"/>
  <c r="S51" i="20"/>
  <c r="S39" i="20"/>
  <c r="S27" i="20"/>
  <c r="S15" i="20"/>
  <c r="S220" i="20"/>
  <c r="S203" i="20"/>
  <c r="S190" i="20"/>
  <c r="S178" i="20"/>
  <c r="S166" i="20"/>
  <c r="S152" i="20"/>
  <c r="S232" i="20"/>
  <c r="S110" i="20"/>
  <c r="S98" i="20"/>
  <c r="S86" i="20"/>
  <c r="S74" i="20"/>
  <c r="S62" i="20"/>
  <c r="S50" i="20"/>
  <c r="S38" i="20"/>
  <c r="S26" i="20"/>
  <c r="S14" i="20"/>
  <c r="S219" i="20"/>
  <c r="S202" i="20"/>
  <c r="S189" i="20"/>
  <c r="S177" i="20"/>
  <c r="S165" i="20"/>
  <c r="S151" i="20"/>
  <c r="S134" i="20"/>
  <c r="S109" i="20"/>
  <c r="S97" i="20"/>
  <c r="S85" i="20"/>
  <c r="S73" i="20"/>
  <c r="S61" i="20"/>
  <c r="S49" i="20"/>
  <c r="S37" i="20"/>
  <c r="S25" i="20"/>
  <c r="S13" i="20"/>
  <c r="S96" i="20"/>
  <c r="S84" i="20"/>
  <c r="S72" i="20"/>
  <c r="S60" i="20"/>
  <c r="S36" i="20"/>
  <c r="S24" i="20"/>
  <c r="S12" i="20"/>
  <c r="S124" i="20"/>
  <c r="S140" i="20"/>
  <c r="S139" i="20"/>
  <c r="S122" i="20"/>
  <c r="S138" i="20"/>
  <c r="S218" i="20"/>
  <c r="S201" i="20"/>
  <c r="S188" i="20"/>
  <c r="S176" i="20"/>
  <c r="S164" i="20"/>
  <c r="S150" i="20"/>
  <c r="S133" i="20"/>
  <c r="S108" i="20"/>
  <c r="S48" i="20"/>
  <c r="AE37" i="20"/>
  <c r="AE116" i="20"/>
  <c r="AE204" i="20"/>
  <c r="AE64" i="20"/>
  <c r="AE216" i="20"/>
  <c r="AE22" i="20"/>
  <c r="AE146" i="20"/>
  <c r="J22" i="8"/>
  <c r="J30" i="8"/>
  <c r="AB123" i="20" s="1"/>
  <c r="J21" i="8"/>
  <c r="J15" i="8"/>
  <c r="J23" i="8"/>
  <c r="J31" i="8"/>
  <c r="J16" i="8"/>
  <c r="AB119" i="20" s="1"/>
  <c r="J24" i="8"/>
  <c r="J32" i="8"/>
  <c r="AB237" i="20" s="1"/>
  <c r="J17" i="8"/>
  <c r="J25" i="8"/>
  <c r="J33" i="8"/>
  <c r="J18" i="8"/>
  <c r="J26" i="8"/>
  <c r="J34" i="8"/>
  <c r="J19" i="8"/>
  <c r="J27" i="8"/>
  <c r="J35" i="8"/>
  <c r="U132" i="20" s="1"/>
  <c r="V132" i="20" s="1"/>
  <c r="T132" i="20" s="1"/>
  <c r="J29" i="8"/>
  <c r="J20" i="8"/>
  <c r="J28" i="8"/>
  <c r="J36" i="8"/>
  <c r="J14" i="8"/>
  <c r="AB131" i="20" l="1"/>
  <c r="AB227" i="20"/>
  <c r="U227" i="20"/>
  <c r="V227" i="20" s="1"/>
  <c r="T227" i="20" s="1"/>
  <c r="AB132" i="20"/>
  <c r="AB225" i="20"/>
  <c r="U226" i="20"/>
  <c r="AB226" i="20"/>
  <c r="U225" i="20"/>
  <c r="U131" i="20"/>
  <c r="V131" i="20" s="1"/>
  <c r="T131" i="20" s="1"/>
  <c r="AB206" i="20"/>
  <c r="AB211" i="20"/>
  <c r="AB212" i="20"/>
  <c r="AB213" i="20"/>
  <c r="AD213" i="20" s="1"/>
  <c r="AA213" i="20" s="1"/>
  <c r="AB214" i="20"/>
  <c r="AB215" i="20"/>
  <c r="AB210" i="20"/>
  <c r="U206" i="20"/>
  <c r="U207" i="20"/>
  <c r="U208" i="20"/>
  <c r="U209" i="20"/>
  <c r="U210" i="20"/>
  <c r="U211" i="20"/>
  <c r="U212" i="20"/>
  <c r="U213" i="20"/>
  <c r="U214" i="20"/>
  <c r="U215" i="20"/>
  <c r="AB208" i="20"/>
  <c r="AB209" i="20"/>
  <c r="AB207" i="20"/>
  <c r="AB145" i="20"/>
  <c r="U145" i="20"/>
  <c r="V145" i="20" s="1"/>
  <c r="T145" i="20" s="1"/>
  <c r="AB130" i="20"/>
  <c r="U130" i="20"/>
  <c r="V130" i="20" s="1"/>
  <c r="T130" i="20" s="1"/>
  <c r="AB205" i="20"/>
  <c r="U205" i="20"/>
  <c r="U129" i="20"/>
  <c r="V129" i="20" s="1"/>
  <c r="T129" i="20" s="1"/>
  <c r="AB129" i="20"/>
  <c r="AB158" i="20"/>
  <c r="U158" i="20"/>
  <c r="U159" i="20"/>
  <c r="AB159" i="20"/>
  <c r="AB198" i="20"/>
  <c r="U198" i="20"/>
  <c r="AB128" i="20"/>
  <c r="U144" i="20"/>
  <c r="V144" i="20" s="1"/>
  <c r="T144" i="20" s="1"/>
  <c r="AB144" i="20"/>
  <c r="U128" i="20"/>
  <c r="V128" i="20" s="1"/>
  <c r="T128" i="20" s="1"/>
  <c r="U142" i="20"/>
  <c r="V142" i="20" s="1"/>
  <c r="T142" i="20" s="1"/>
  <c r="AB142" i="20"/>
  <c r="AB154" i="20"/>
  <c r="U154" i="20"/>
  <c r="V154" i="20" s="1"/>
  <c r="T154" i="20" s="1"/>
  <c r="U119" i="20"/>
  <c r="V119" i="20" s="1"/>
  <c r="T119" i="20" s="1"/>
  <c r="U127" i="20"/>
  <c r="V127" i="20" s="1"/>
  <c r="T127" i="20" s="1"/>
  <c r="AB127" i="20"/>
  <c r="U143" i="20"/>
  <c r="V143" i="20" s="1"/>
  <c r="T143" i="20" s="1"/>
  <c r="AB71" i="20"/>
  <c r="U71" i="20"/>
  <c r="V71" i="20" s="1"/>
  <c r="T71" i="20" s="1"/>
  <c r="U223" i="20"/>
  <c r="AB223" i="20"/>
  <c r="AB124" i="20"/>
  <c r="AB126" i="20"/>
  <c r="U126" i="20"/>
  <c r="V126" i="20" s="1"/>
  <c r="T126" i="20" s="1"/>
  <c r="U125" i="20"/>
  <c r="V125" i="20" s="1"/>
  <c r="T125" i="20" s="1"/>
  <c r="AB125" i="20"/>
  <c r="U124" i="20"/>
  <c r="V124" i="20" s="1"/>
  <c r="T124" i="20" s="1"/>
  <c r="AB224" i="20"/>
  <c r="AB138" i="20"/>
  <c r="AB141" i="20"/>
  <c r="U141" i="20"/>
  <c r="V141" i="20" s="1"/>
  <c r="T141" i="20" s="1"/>
  <c r="AB140" i="20"/>
  <c r="U140" i="20"/>
  <c r="V140" i="20" s="1"/>
  <c r="T140" i="20" s="1"/>
  <c r="U224" i="20"/>
  <c r="V224" i="20" s="1"/>
  <c r="T224" i="20" s="1"/>
  <c r="AB139" i="20"/>
  <c r="U139" i="20"/>
  <c r="V139" i="20" s="1"/>
  <c r="T139" i="20" s="1"/>
  <c r="U123" i="20"/>
  <c r="V123" i="20" s="1"/>
  <c r="T123" i="20" s="1"/>
  <c r="U122" i="20"/>
  <c r="V122" i="20" s="1"/>
  <c r="T122" i="20" s="1"/>
  <c r="U138" i="20"/>
  <c r="V138" i="20" s="1"/>
  <c r="T138" i="20" s="1"/>
  <c r="AB122" i="20"/>
  <c r="AB143" i="20"/>
  <c r="U116" i="20"/>
  <c r="V116" i="20" s="1"/>
  <c r="T116" i="20" s="1"/>
  <c r="U121" i="20"/>
  <c r="V121" i="20" s="1"/>
  <c r="T121" i="20" s="1"/>
  <c r="AB121" i="20"/>
  <c r="AB156" i="20"/>
  <c r="U234" i="20"/>
  <c r="V234" i="20" s="1"/>
  <c r="T234" i="20" s="1"/>
  <c r="AB234" i="20"/>
  <c r="AB118" i="20"/>
  <c r="U118" i="20"/>
  <c r="V118" i="20" s="1"/>
  <c r="T118" i="20" s="1"/>
  <c r="AB222" i="20"/>
  <c r="U222" i="20"/>
  <c r="U120" i="20"/>
  <c r="V120" i="20" s="1"/>
  <c r="T120" i="20" s="1"/>
  <c r="AB120" i="20"/>
  <c r="U217" i="20"/>
  <c r="V217" i="20" s="1"/>
  <c r="T217" i="20" s="1"/>
  <c r="AB218" i="20"/>
  <c r="U219" i="20"/>
  <c r="U220" i="20"/>
  <c r="U218" i="20"/>
  <c r="U221" i="20"/>
  <c r="AB219" i="20"/>
  <c r="AB221" i="20"/>
  <c r="AB220" i="20"/>
  <c r="AB217" i="20"/>
  <c r="U117" i="20"/>
  <c r="V117" i="20" s="1"/>
  <c r="T117" i="20" s="1"/>
  <c r="AB117" i="20"/>
  <c r="AB116" i="20"/>
  <c r="AD116" i="20" s="1"/>
  <c r="AA116" i="20" s="1"/>
  <c r="AB157" i="20"/>
  <c r="U157" i="20"/>
  <c r="V157" i="20" s="1"/>
  <c r="T157" i="20" s="1"/>
  <c r="U237" i="20"/>
  <c r="V237" i="20" s="1"/>
  <c r="T237" i="20" s="1"/>
  <c r="U156" i="20"/>
  <c r="V156" i="20" s="1"/>
  <c r="T156" i="20" s="1"/>
  <c r="AB115" i="20"/>
  <c r="U115" i="20"/>
  <c r="V115" i="20" s="1"/>
  <c r="T115" i="20" s="1"/>
  <c r="AB216" i="20"/>
  <c r="U216" i="20"/>
  <c r="U73" i="20"/>
  <c r="V73" i="20" s="1"/>
  <c r="T73" i="20" s="1"/>
  <c r="AB153" i="20"/>
  <c r="U152" i="20"/>
  <c r="V152" i="20" s="1"/>
  <c r="T152" i="20" s="1"/>
  <c r="AB155" i="20"/>
  <c r="U153" i="20"/>
  <c r="V153" i="20" s="1"/>
  <c r="T153" i="20" s="1"/>
  <c r="U155" i="20"/>
  <c r="V155" i="20" s="1"/>
  <c r="T155" i="20" s="1"/>
  <c r="AB152" i="20"/>
  <c r="U135" i="20"/>
  <c r="V135" i="20" s="1"/>
  <c r="T135"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51" i="20"/>
  <c r="V151" i="20" s="1"/>
  <c r="T151" i="20" s="1"/>
  <c r="U62" i="20"/>
  <c r="V62" i="20" s="1"/>
  <c r="T62" i="20" s="1"/>
  <c r="U91" i="20"/>
  <c r="V91" i="20" s="1"/>
  <c r="T91" i="20" s="1"/>
  <c r="U50" i="20"/>
  <c r="V50" i="20" s="1"/>
  <c r="T50" i="20" s="1"/>
  <c r="U60" i="20"/>
  <c r="V60" i="20" s="1"/>
  <c r="T60" i="20" s="1"/>
  <c r="U232" i="20"/>
  <c r="V232" i="20" s="1"/>
  <c r="T232" i="20" s="1"/>
  <c r="U197" i="20"/>
  <c r="U189" i="20"/>
  <c r="U182" i="20"/>
  <c r="U174" i="20"/>
  <c r="U166" i="20"/>
  <c r="U203" i="20"/>
  <c r="U194" i="20"/>
  <c r="U186" i="20"/>
  <c r="U179" i="20"/>
  <c r="U171" i="20"/>
  <c r="U163" i="20"/>
  <c r="U200" i="20"/>
  <c r="U191" i="20"/>
  <c r="U176" i="20"/>
  <c r="U168" i="20"/>
  <c r="U160" i="20"/>
  <c r="U196" i="20"/>
  <c r="U188" i="20"/>
  <c r="U181" i="20"/>
  <c r="U173" i="20"/>
  <c r="U165" i="20"/>
  <c r="U202" i="20"/>
  <c r="U193" i="20"/>
  <c r="U185" i="20"/>
  <c r="U178" i="20"/>
  <c r="U170" i="20"/>
  <c r="U162" i="20"/>
  <c r="U201" i="20"/>
  <c r="U177" i="20"/>
  <c r="U199" i="20"/>
  <c r="U190" i="20"/>
  <c r="U183" i="20"/>
  <c r="U175" i="20"/>
  <c r="U167" i="20"/>
  <c r="U184" i="20"/>
  <c r="U161" i="20"/>
  <c r="U204" i="20"/>
  <c r="U195" i="20"/>
  <c r="U187" i="20"/>
  <c r="U180" i="20"/>
  <c r="U172" i="20"/>
  <c r="U164" i="20"/>
  <c r="U192" i="20"/>
  <c r="U169" i="20"/>
  <c r="U235" i="20"/>
  <c r="V235" i="20" s="1"/>
  <c r="T23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6" i="20"/>
  <c r="V236" i="20" s="1"/>
  <c r="T236" i="20" s="1"/>
  <c r="U41" i="20"/>
  <c r="V41" i="20" s="1"/>
  <c r="T41" i="20" s="1"/>
  <c r="U30" i="20"/>
  <c r="V30" i="20" s="1"/>
  <c r="T30" i="20" s="1"/>
  <c r="U29" i="20"/>
  <c r="V29" i="20" s="1"/>
  <c r="T29" i="20" s="1"/>
  <c r="U31" i="20"/>
  <c r="V31" i="20" s="1"/>
  <c r="T31" i="20" s="1"/>
  <c r="U14" i="20"/>
  <c r="V14" i="20" s="1"/>
  <c r="T14" i="20" s="1"/>
  <c r="U13" i="20"/>
  <c r="V13" i="20" s="1"/>
  <c r="T13" i="20" s="1"/>
  <c r="U146" i="20"/>
  <c r="V146" i="20" s="1"/>
  <c r="T146" i="20" s="1"/>
  <c r="U92" i="20"/>
  <c r="V92" i="20" s="1"/>
  <c r="T92" i="20" s="1"/>
  <c r="U150" i="20"/>
  <c r="V150" i="20" s="1"/>
  <c r="T150" i="20" s="1"/>
  <c r="U233" i="20"/>
  <c r="V233" i="20" s="1"/>
  <c r="T233" i="20" s="1"/>
  <c r="U45" i="20"/>
  <c r="V45" i="20" s="1"/>
  <c r="T45" i="20" s="1"/>
  <c r="U98" i="20"/>
  <c r="V98" i="20" s="1"/>
  <c r="T98" i="20" s="1"/>
  <c r="U18" i="20"/>
  <c r="V18" i="20" s="1"/>
  <c r="T18" i="20" s="1"/>
  <c r="U52" i="20"/>
  <c r="V52" i="20" s="1"/>
  <c r="T52" i="20" s="1"/>
  <c r="U134" i="20"/>
  <c r="V134" i="20" s="1"/>
  <c r="T134" i="20" s="1"/>
  <c r="U48" i="20"/>
  <c r="V48" i="20" s="1"/>
  <c r="T48" i="20" s="1"/>
  <c r="U105" i="20"/>
  <c r="V105" i="20" s="1"/>
  <c r="T105" i="20" s="1"/>
  <c r="U89" i="20"/>
  <c r="V89" i="20" s="1"/>
  <c r="T89" i="20" s="1"/>
  <c r="U49" i="20"/>
  <c r="V49" i="20" s="1"/>
  <c r="T49" i="20" s="1"/>
  <c r="U148" i="20"/>
  <c r="V148" i="20" s="1"/>
  <c r="T148" i="20" s="1"/>
  <c r="U94" i="20"/>
  <c r="V94" i="20" s="1"/>
  <c r="T94" i="20" s="1"/>
  <c r="U54" i="20"/>
  <c r="V54" i="20" s="1"/>
  <c r="T54" i="20" s="1"/>
  <c r="U137" i="20"/>
  <c r="V137" i="20" s="1"/>
  <c r="T137" i="20" s="1"/>
  <c r="U104" i="20"/>
  <c r="V104" i="20" s="1"/>
  <c r="T104" i="20" s="1"/>
  <c r="U147" i="20"/>
  <c r="V147" i="20" s="1"/>
  <c r="T147" i="20" s="1"/>
  <c r="U133" i="20"/>
  <c r="V133" i="20" s="1"/>
  <c r="T133" i="20" s="1"/>
  <c r="U61" i="20"/>
  <c r="V61" i="20" s="1"/>
  <c r="T61" i="20" s="1"/>
  <c r="U136" i="20"/>
  <c r="V136" i="20" s="1"/>
  <c r="T136" i="20" s="1"/>
  <c r="U82" i="20"/>
  <c r="V82" i="20" s="1"/>
  <c r="T82" i="20" s="1"/>
  <c r="U108" i="20"/>
  <c r="V108" i="20" s="1"/>
  <c r="T108" i="20" s="1"/>
  <c r="U149" i="20"/>
  <c r="V149" i="20" s="1"/>
  <c r="T149"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7" i="20"/>
  <c r="AB189" i="20"/>
  <c r="AD189" i="20" s="1"/>
  <c r="AA189" i="20" s="1"/>
  <c r="AB182" i="20"/>
  <c r="AB174" i="20"/>
  <c r="AB166" i="20"/>
  <c r="AB203" i="20"/>
  <c r="AB194" i="20"/>
  <c r="AD194" i="20" s="1"/>
  <c r="AA194" i="20" s="1"/>
  <c r="AB186" i="20"/>
  <c r="AB179" i="20"/>
  <c r="AB171" i="20"/>
  <c r="AD171" i="20" s="1"/>
  <c r="AA171" i="20" s="1"/>
  <c r="AB163" i="20"/>
  <c r="AD163" i="20" s="1"/>
  <c r="AA163" i="20" s="1"/>
  <c r="AB200" i="20"/>
  <c r="AB191" i="20"/>
  <c r="AB176" i="20"/>
  <c r="AB168" i="20"/>
  <c r="AB160" i="20"/>
  <c r="AD160" i="20" s="1"/>
  <c r="AA160" i="20" s="1"/>
  <c r="AB196" i="20"/>
  <c r="AB188" i="20"/>
  <c r="AB181" i="20"/>
  <c r="AB173" i="20"/>
  <c r="AD173" i="20" s="1"/>
  <c r="AA173" i="20" s="1"/>
  <c r="AB165" i="20"/>
  <c r="AB202" i="20"/>
  <c r="AB193" i="20"/>
  <c r="AD193" i="20" s="1"/>
  <c r="AA193" i="20" s="1"/>
  <c r="AB185" i="20"/>
  <c r="AB178" i="20"/>
  <c r="AB170" i="20"/>
  <c r="AB162" i="20"/>
  <c r="AD162" i="20" s="1"/>
  <c r="AA162" i="20" s="1"/>
  <c r="AB199" i="20"/>
  <c r="AB190" i="20"/>
  <c r="AD190" i="20" s="1"/>
  <c r="AA190" i="20" s="1"/>
  <c r="AB183" i="20"/>
  <c r="AB175" i="20"/>
  <c r="AD175" i="20" s="1"/>
  <c r="AA175" i="20" s="1"/>
  <c r="AB167" i="20"/>
  <c r="AB204" i="20"/>
  <c r="AB195" i="20"/>
  <c r="AB187" i="20"/>
  <c r="AB180" i="20"/>
  <c r="AB172" i="20"/>
  <c r="AD172" i="20" s="1"/>
  <c r="AA172" i="20" s="1"/>
  <c r="AB164" i="20"/>
  <c r="AD164" i="20" s="1"/>
  <c r="AA164" i="20" s="1"/>
  <c r="AB201" i="20"/>
  <c r="AB192" i="20"/>
  <c r="AD192" i="20" s="1"/>
  <c r="AA192" i="20" s="1"/>
  <c r="AB184" i="20"/>
  <c r="AD184" i="20" s="1"/>
  <c r="AA184" i="20" s="1"/>
  <c r="AB177" i="20"/>
  <c r="AB169" i="20"/>
  <c r="AB161" i="20"/>
  <c r="AD161" i="20" s="1"/>
  <c r="AA161" i="20" s="1"/>
  <c r="AB23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8" i="20"/>
  <c r="AB94" i="20"/>
  <c r="AB137" i="20"/>
  <c r="AB61" i="20"/>
  <c r="AB47" i="20"/>
  <c r="AB49" i="20"/>
  <c r="AB54" i="20"/>
  <c r="AB104" i="20"/>
  <c r="AD104" i="20" s="1"/>
  <c r="AA104" i="20" s="1"/>
  <c r="AB147" i="20"/>
  <c r="AD147" i="20" s="1"/>
  <c r="AA147" i="20" s="1"/>
  <c r="AB133" i="20"/>
  <c r="AB136" i="20"/>
  <c r="AB82" i="20"/>
  <c r="AD82" i="20" s="1"/>
  <c r="AA82" i="20" s="1"/>
  <c r="AB149" i="20"/>
  <c r="AB108" i="20"/>
  <c r="AB113" i="20"/>
  <c r="AB97" i="20"/>
  <c r="AB78" i="20"/>
  <c r="AB75" i="20"/>
  <c r="AB88" i="20"/>
  <c r="AB236" i="20"/>
  <c r="AB29" i="20"/>
  <c r="AB31" i="20"/>
  <c r="AB41" i="20"/>
  <c r="AB30" i="20"/>
  <c r="AB14" i="20"/>
  <c r="AB13" i="20"/>
  <c r="AB135"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51" i="20"/>
  <c r="AB91" i="20"/>
  <c r="AD91" i="20" s="1"/>
  <c r="AA91" i="20" s="1"/>
  <c r="AB50" i="20"/>
  <c r="AD50" i="20" s="1"/>
  <c r="AA50" i="20" s="1"/>
  <c r="AB60" i="20"/>
  <c r="AB62" i="20"/>
  <c r="AB232" i="20"/>
  <c r="AB73" i="20"/>
  <c r="AB45" i="20"/>
  <c r="AB18" i="20"/>
  <c r="AB52" i="20"/>
  <c r="AB150" i="20"/>
  <c r="AB233" i="20"/>
  <c r="AB98" i="20"/>
  <c r="AB146" i="20"/>
  <c r="AB92" i="20"/>
  <c r="AB134"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ROBOCIP(PC-31)</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6" authorId="0" shapeId="0" xr:uid="{00000000-0006-0000-0200-000007000000}">
      <text>
        <r>
          <rPr>
            <sz val="9"/>
            <color indexed="81"/>
            <rFont val="MS P ゴシック"/>
            <family val="3"/>
            <charset val="128"/>
          </rPr>
          <t>初期ディレクトリ指定用</t>
        </r>
      </text>
    </comment>
    <comment ref="D157" authorId="0" shapeId="0" xr:uid="{00000000-0006-0000-0200-000008000000}">
      <text>
        <r>
          <rPr>
            <sz val="9"/>
            <color indexed="81"/>
            <rFont val="MS P ゴシック"/>
            <family val="3"/>
            <charset val="128"/>
          </rPr>
          <t>初期ディレクトリ指定用</t>
        </r>
      </text>
    </comment>
    <comment ref="J196" authorId="0" shapeId="0" xr:uid="{00000000-0006-0000-0200-000009000000}">
      <text>
        <r>
          <rPr>
            <sz val="9"/>
            <color indexed="81"/>
            <rFont val="MS P ゴシック"/>
            <family val="3"/>
            <charset val="128"/>
          </rPr>
          <t>「ConnectWSL2withTeraTerm.vbs」でまとめて行う</t>
        </r>
      </text>
    </comment>
    <comment ref="J199" authorId="0" shapeId="0" xr:uid="{00000000-0006-0000-0200-00000A000000}">
      <text>
        <r>
          <rPr>
            <sz val="9"/>
            <color indexed="81"/>
            <rFont val="MS P ゴシック"/>
            <family val="3"/>
            <charset val="128"/>
          </rPr>
          <t>「ConnectWSL2withTeraTerm.vbs」でまとめて行う</t>
        </r>
      </text>
    </comment>
    <comment ref="C207" authorId="1" shapeId="0" xr:uid="{79A801CC-78B5-4A0F-A0AC-94E4A411DD2F}">
      <text>
        <r>
          <rPr>
            <sz val="9"/>
            <color indexed="81"/>
            <rFont val="MS P ゴシック"/>
            <family val="3"/>
            <charset val="128"/>
          </rPr>
          <t>以下ファイルパスをすべてシンボリックリンクを介さないファイルパスにする必要がなる。
・ScheduledBackup.bat内のファイルパス
・ScheduledBackup.bat.lnkの指示先ファイルパス
・ScheduledBackup.bat.lnkの作業ディレクトリパス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9"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6"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5"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6"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80" authorId="0" shapeId="0" xr:uid="{CA356C80-7B70-4EE7-B6F8-8CB81F6261A9}">
      <text>
        <r>
          <rPr>
            <b/>
            <sz val="9"/>
            <color indexed="81"/>
            <rFont val="MS P ゴシック"/>
            <family val="3"/>
            <charset val="128"/>
          </rPr>
          <t>例）
26 09 * * * /home/endo/_backup_files.sh</t>
        </r>
      </text>
    </comment>
    <comment ref="D80" authorId="0" shapeId="0" xr:uid="{AEB1A5C2-D3BB-4B5C-A1E6-36BA6B0143FC}">
      <text>
        <r>
          <rPr>
            <b/>
            <sz val="9"/>
            <color indexed="81"/>
            <rFont val="MS P ゴシック"/>
            <family val="3"/>
            <charset val="128"/>
          </rPr>
          <t>例）
26 09 * * * /home/endo/_backup_files.sh</t>
        </r>
      </text>
    </comment>
    <comment ref="E80" authorId="0" shapeId="0" xr:uid="{9E937EA5-3343-4855-90CE-B7E0D415796E}">
      <text>
        <r>
          <rPr>
            <b/>
            <sz val="9"/>
            <color indexed="81"/>
            <rFont val="MS P ゴシック"/>
            <family val="3"/>
            <charset val="128"/>
          </rPr>
          <t>例）
26 09 * * * /home/endo/_backup_files.sh</t>
        </r>
      </text>
    </comment>
    <comment ref="C90"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<sst xmlns="http://schemas.openxmlformats.org/spreadsheetml/2006/main" count="6532" uniqueCount="1586">
  <si>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</si>
  <si>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</si>
  <si>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</si>
  <si>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</si>
  <si>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</si>
  <si>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</si>
  <si>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</si>
  <si>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</si>
  <si>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</si>
  <si>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</si>
  <si>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</si>
  <si>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</si>
  <si>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</si>
  <si>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</si>
  <si>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</si>
  <si>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</si>
  <si>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</si>
  <si>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</si>
  <si>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</si>
  <si>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</si>
  <si>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</si>
  <si>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</si>
  <si>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</si>
  <si>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</si>
  <si>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</si>
  <si>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</si>
  <si>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</si>
  <si>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</si>
  <si>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</si>
  <si>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</si>
  <si>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</si>
  <si>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</si>
  <si>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</si>
  <si>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</si>
  <si>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</si>
  <si>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</si>
  <si>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</si>
  <si>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</si>
  <si>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</si>
  <si>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</si>
  <si>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</si>
  <si>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</si>
  <si>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</si>
  <si>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</si>
  <si>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</si>
  <si>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</si>
  <si>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</si>
  <si>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</si>
  <si>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</si>
  <si>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</si>
  <si>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</si>
  <si>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</si>
  <si>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</si>
  <si>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</si>
  <si>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</si>
  <si>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</si>
  <si>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</si>
  <si>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</si>
  <si>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</si>
  <si>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</si>
  <si>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</si>
  <si>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</si>
  <si>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</si>
  <si>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</si>
  <si>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</si>
  <si>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</si>
  <si>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</si>
  <si>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</si>
  <si>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</si>
  <si>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</si>
  <si>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</si>
  <si>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</si>
  <si>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</si>
  <si>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</si>
  <si>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</si>
  <si>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</si>
  <si>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</si>
  <si>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</si>
  <si>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</si>
  <si>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</si>
  <si>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</si>
  <si>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</si>
  <si>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</si>
  <si>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</si>
  <si>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</si>
  <si>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</si>
  <si>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</si>
  <si>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</si>
  <si>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</si>
  <si>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</si>
  <si>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</si>
  <si>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</si>
  <si>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</si>
  <si>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</si>
  <si>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</si>
  <si>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</si>
  <si>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</si>
  <si>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</si>
  <si>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</si>
  <si>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</si>
  <si>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</si>
  <si>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</si>
  <si>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</si>
  <si>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</si>
  <si>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</si>
  <si>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</si>
  <si>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</si>
  <si>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</si>
  <si>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</si>
  <si>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</si>
  <si>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</si>
  <si>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</si>
  <si>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</si>
  <si>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</si>
  <si>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</si>
  <si>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</si>
  <si>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</si>
  <si>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</si>
  <si>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</si>
  <si>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</si>
  <si>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</si>
  <si>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</si>
  <si>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</si>
  <si>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</si>
  <si>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</si>
  <si>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</si>
  <si>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</si>
  <si>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</si>
  <si>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</si>
  <si>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</si>
  <si>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</si>
  <si>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</si>
  <si>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</si>
  <si>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</si>
  <si>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</si>
  <si>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</si>
  <si>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</si>
  <si>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</si>
  <si>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</si>
  <si>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</si>
  <si>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</si>
  <si>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</si>
  <si>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</si>
  <si>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</si>
  <si>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</si>
  <si>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</si>
  <si>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</si>
  <si>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</si>
  <si>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</si>
  <si>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</si>
  <si>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</si>
  <si>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</si>
  <si>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</si>
  <si>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</si>
  <si>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</si>
  <si>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</si>
  <si>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</si>
  <si>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</si>
  <si>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</si>
  <si>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</si>
  <si>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</si>
  <si>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</si>
  <si>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</si>
  <si>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</si>
  <si>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</si>
  <si>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</si>
  <si>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</si>
  <si>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</si>
  <si>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</si>
  <si>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</si>
  <si>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</si>
  <si>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</si>
  <si>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</si>
  <si>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</si>
  <si>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</si>
  <si>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</si>
  <si>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</si>
  <si>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</si>
  <si>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</si>
  <si>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</si>
  <si>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</si>
  <si>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</si>
  <si>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</si>
  <si>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</si>
  <si>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</si>
  <si>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</si>
  <si>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</si>
  <si>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</si>
  <si>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</si>
  <si>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</si>
  <si>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</si>
  <si>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</si>
  <si>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</si>
  <si>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</si>
  <si>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</si>
  <si>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</si>
  <si>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</si>
  <si>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</si>
  <si>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</si>
  <si>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</si>
  <si>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</si>
  <si>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</si>
  <si>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</si>
  <si>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</si>
  <si>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</si>
  <si>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</si>
  <si>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</si>
  <si>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</si>
  <si>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</si>
  <si>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</si>
  <si>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</si>
  <si>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</si>
  <si>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</si>
  <si>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</si>
  <si>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</si>
  <si>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</si>
  <si>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</si>
  <si>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</si>
  <si>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</si>
  <si>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</si>
  <si>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</si>
  <si>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</si>
  <si>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</si>
  <si>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</si>
  <si>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</si>
  <si>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</si>
  <si>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</si>
  <si>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</si>
  <si>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</si>
  <si>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</si>
  <si>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</si>
  <si>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</si>
  <si>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</si>
  <si>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</si>
  <si>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</si>
  <si>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</si>
  <si>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</si>
  <si>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</si>
  <si>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</si>
  <si>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</si>
  <si>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</si>
  <si>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</si>
  <si>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</si>
  <si>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</si>
  <si>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</si>
  <si>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</si>
  <si>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</si>
  <si>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</si>
  <si>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</si>
  <si>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</si>
  <si>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</si>
  <si>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</si>
  <si>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</si>
  <si>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</si>
  <si>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</si>
  <si>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</si>
  <si>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</si>
  <si>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</si>
  <si>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</si>
  <si>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</si>
  <si>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</si>
  <si>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</si>
  <si>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</si>
  <si>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</si>
  <si>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</si>
  <si>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</si>
  <si>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</si>
  <si>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</si>
  <si>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</si>
  <si>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</si>
  <si>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</si>
  <si>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</si>
  <si>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</si>
  <si>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</si>
  <si>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</si>
  <si>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</si>
  <si>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</si>
  <si>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</si>
  <si>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</si>
  <si>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</si>
  <si>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</si>
  <si>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</si>
  <si>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</si>
  <si>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</si>
  <si>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</si>
  <si>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</si>
  <si>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</si>
  <si>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</si>
  <si>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</si>
  <si>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</si>
  <si>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</si>
  <si>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</si>
  <si>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</si>
  <si>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</si>
  <si>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</si>
  <si>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</si>
  <si>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</si>
  <si>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</si>
  <si>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</si>
  <si>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</si>
  <si>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</si>
  <si>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</si>
  <si>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</si>
  <si>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</si>
  <si>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</si>
  <si>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</si>
  <si>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</si>
  <si>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</si>
  <si>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</si>
  <si>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</si>
  <si>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</si>
  <si>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</si>
  <si>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</si>
  <si>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</si>
  <si>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</si>
  <si>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</si>
  <si>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</si>
  <si>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</si>
  <si>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</si>
  <si>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</si>
  <si>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</si>
  <si>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</si>
  <si>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</si>
  <si>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</si>
  <si>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</si>
  <si>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</si>
  <si>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</si>
  <si>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</si>
  <si>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</si>
  <si>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</si>
  <si>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</si>
  <si>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</si>
  <si>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</si>
  <si>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</si>
  <si>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</si>
  <si>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</si>
  <si>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</si>
  <si>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</si>
  <si>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</si>
  <si>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</si>
  <si>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</si>
  <si>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</si>
  <si>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</si>
  <si>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</si>
  <si>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</si>
  <si>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</si>
  <si>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</si>
  <si>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</si>
  <si>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</si>
  <si>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</si>
  <si>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</si>
  <si>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</si>
  <si>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</si>
  <si>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</si>
  <si>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</si>
  <si>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</si>
  <si>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</si>
  <si>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</si>
  <si>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</si>
  <si>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</si>
  <si>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</si>
  <si>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</si>
  <si>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</si>
  <si>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</si>
  <si>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</si>
  <si>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</si>
  <si>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</si>
  <si>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</si>
  <si>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</si>
  <si>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</si>
  <si>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</si>
  <si>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</si>
  <si>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</si>
  <si>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</si>
  <si>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</si>
  <si>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</si>
  <si>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</si>
  <si>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</si>
  <si>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</si>
  <si>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</si>
  <si>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</si>
  <si>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</si>
  <si>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</si>
  <si>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</si>
  <si>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</si>
  <si>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</si>
  <si>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</si>
  <si>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</si>
  <si>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</si>
  <si>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</si>
  <si>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</si>
  <si>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</si>
  <si>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</si>
  <si>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</si>
  <si>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</si>
  <si>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</si>
  <si>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</si>
  <si>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</si>
  <si>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</si>
  <si>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</si>
  <si>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</si>
  <si>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</si>
  <si>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</si>
  <si>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</si>
  <si>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</si>
  <si>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</si>
  <si>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</si>
  <si>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</si>
  <si>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</si>
  <si>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</si>
  <si>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</si>
  <si>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</si>
  <si>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</si>
  <si>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</si>
  <si>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</si>
  <si>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</si>
  <si>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</si>
  <si>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</si>
  <si>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</si>
  <si>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</si>
  <si>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</si>
  <si>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</si>
  <si>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</si>
  <si>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</si>
  <si>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</si>
  <si>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</si>
  <si>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</si>
  <si>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</si>
  <si>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</si>
  <si>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</si>
  <si>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</si>
  <si>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</si>
  <si>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</si>
  <si>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</si>
  <si>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</si>
  <si>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</si>
  <si>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</si>
  <si>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</si>
  <si>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</si>
  <si>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</si>
  <si>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</si>
  <si>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</si>
  <si>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</si>
  <si>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</si>
  <si>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</si>
  <si>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</si>
  <si>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</si>
  <si>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</si>
  <si>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</si>
  <si>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</si>
  <si>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</si>
  <si>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</si>
  <si>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</si>
  <si>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</si>
  <si>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</si>
  <si>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</si>
  <si>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</si>
  <si>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</si>
  <si>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</si>
  <si>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</si>
  <si>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</si>
  <si>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</si>
  <si>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</si>
  <si>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</si>
  <si>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</si>
  <si>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</si>
  <si>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</si>
  <si>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</si>
  <si>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</si>
  <si>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</si>
  <si>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</si>
  <si>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</si>
  <si>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</si>
  <si>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</si>
  <si>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</si>
  <si>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</si>
  <si>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</si>
  <si>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</si>
  <si>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</si>
  <si>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</si>
  <si>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</si>
  <si>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</si>
  <si>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</si>
  <si>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</si>
  <si>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</si>
  <si>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</si>
  <si>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</si>
  <si>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</si>
  <si>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</si>
  <si>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</si>
  <si>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</si>
  <si>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</si>
  <si>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</si>
  <si>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</si>
  <si>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</si>
  <si>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</si>
  <si>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</si>
  <si>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</si>
  <si>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</si>
  <si>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</si>
  <si>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</si>
  <si>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</si>
  <si>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</si>
  <si>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</si>
  <si>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</si>
  <si>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</si>
  <si>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</si>
  <si>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</si>
  <si>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</si>
  <si>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</si>
  <si>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</si>
  <si>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</si>
  <si>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</si>
  <si>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</si>
  <si>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</si>
  <si>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</si>
  <si>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</si>
  <si>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</si>
  <si>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</si>
  <si>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</si>
  <si>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</si>
  <si>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</si>
  <si>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</si>
  <si>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</si>
  <si>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</si>
  <si>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</si>
  <si>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</si>
  <si>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</si>
  <si>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</si>
  <si>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</si>
  <si>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</si>
  <si>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</si>
  <si>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</si>
  <si>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</si>
  <si>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</si>
  <si>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</si>
  <si>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</si>
  <si>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</si>
  <si>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</si>
  <si>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</si>
  <si>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</si>
  <si>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</si>
  <si>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</si>
  <si>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</si>
  <si>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</si>
  <si>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</si>
  <si>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</si>
  <si>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</si>
  <si>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</si>
  <si>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</si>
  <si>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</si>
  <si>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</si>
  <si>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</si>
  <si>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</si>
  <si>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</si>
  <si>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</si>
  <si>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</si>
  <si>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</si>
  <si>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</si>
  <si>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</si>
  <si>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</si>
  <si>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</si>
  <si>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</si>
  <si>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</si>
  <si>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</si>
  <si>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</si>
  <si>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</si>
  <si>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</si>
  <si>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</si>
  <si>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</si>
  <si>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</si>
  <si>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</si>
  <si>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</si>
  <si>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</si>
  <si>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</si>
  <si>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</si>
  <si>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</si>
  <si>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</si>
  <si>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</si>
  <si>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</si>
  <si>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</si>
  <si>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</si>
  <si>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</si>
  <si>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</si>
  <si>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</si>
  <si>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</si>
  <si>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</si>
  <si>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</si>
  <si>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</si>
  <si>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</si>
  <si>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</si>
  <si>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</si>
  <si>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</si>
  <si>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</si>
  <si>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</si>
  <si>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</si>
  <si>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</si>
  <si>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</si>
  <si>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</si>
  <si>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</si>
  <si>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</si>
  <si>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</si>
  <si>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</si>
  <si>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</si>
  <si>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</si>
  <si>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</si>
  <si>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</si>
  <si>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</si>
  <si>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</si>
  <si>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</si>
  <si>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</si>
  <si>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</si>
  <si>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</si>
  <si>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</si>
  <si>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</si>
  <si>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</si>
  <si>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</si>
  <si>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</si>
  <si>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</si>
  <si>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</si>
  <si>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</si>
  <si>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</si>
  <si>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</si>
  <si>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</si>
  <si>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</si>
  <si>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</si>
  <si>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</si>
  <si>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</si>
  <si>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</si>
  <si>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</si>
  <si>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</si>
  <si>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</si>
  <si>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</si>
  <si>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</si>
  <si>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</si>
  <si>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</si>
  <si>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</si>
  <si>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</si>
  <si>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</si>
  <si>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</si>
  <si>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</si>
  <si>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</si>
  <si>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</si>
  <si>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</si>
  <si>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</si>
  <si>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</si>
  <si>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</si>
  <si>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</si>
  <si>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</si>
  <si>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</si>
  <si>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</si>
  <si>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</si>
  <si>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</si>
  <si>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</si>
  <si>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</si>
  <si>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</si>
  <si>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</si>
  <si>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</si>
  <si>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</si>
  <si>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</si>
  <si>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</si>
  <si>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</si>
  <si>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</si>
  <si>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</si>
  <si>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</si>
  <si>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</si>
  <si>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</si>
  <si>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</si>
  <si>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</si>
  <si>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</si>
  <si>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</si>
  <si>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</si>
  <si>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</si>
  <si>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</si>
  <si>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</si>
  <si>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</si>
  <si>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</si>
  <si>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</si>
  <si>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</si>
  <si>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</si>
  <si>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</si>
  <si>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</si>
  <si>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</si>
  <si>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</si>
  <si>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</si>
  <si>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</si>
  <si>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</si>
  <si>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</si>
  <si>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</si>
  <si>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</si>
  <si>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</si>
  <si>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</si>
  <si>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</si>
  <si>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</si>
  <si>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</si>
  <si>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</si>
  <si>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</si>
  <si>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</si>
  <si>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</si>
  <si>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</si>
  <si>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</si>
  <si>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</si>
  <si>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</si>
  <si>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</si>
  <si>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</si>
  <si>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</si>
  <si>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</si>
  <si>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</si>
  <si>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</si>
  <si>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</si>
  <si>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</si>
  <si>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</si>
  <si>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</si>
  <si>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</si>
  <si>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</si>
  <si>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</si>
  <si>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</si>
  <si>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</si>
  <si>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</si>
  <si>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</si>
  <si>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</si>
  <si>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</si>
  <si>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</si>
  <si>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</si>
  <si>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</si>
  <si>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</si>
  <si>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</si>
  <si>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</si>
  <si>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</si>
  <si>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</si>
  <si>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</si>
  <si>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</si>
  <si>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</si>
  <si>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</si>
  <si>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</si>
  <si>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</si>
  <si>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</si>
  <si>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</si>
  <si>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</si>
  <si>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</si>
  <si>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</si>
  <si>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</si>
  <si>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</si>
  <si>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</si>
  <si>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</si>
  <si>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</si>
  <si>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</si>
  <si>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</si>
  <si>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</si>
  <si>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</si>
  <si>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</si>
  <si>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</si>
  <si>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</si>
  <si>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</si>
  <si>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</si>
  <si>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</si>
  <si>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</si>
  <si>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</si>
  <si>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</si>
  <si>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</si>
  <si>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</si>
  <si>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</si>
  <si>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</si>
  <si>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</si>
  <si>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</si>
  <si>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</si>
  <si>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</si>
  <si>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</si>
  <si>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</si>
  <si>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</si>
  <si>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</si>
  <si>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</si>
  <si>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</si>
  <si>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</si>
  <si>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</si>
  <si>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</si>
  <si>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</si>
  <si>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</si>
  <si>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</si>
  <si>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</si>
  <si>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</si>
  <si>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</si>
  <si>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</si>
  <si>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</si>
  <si>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</si>
  <si>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</si>
  <si>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</si>
  <si>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</si>
  <si>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</si>
  <si>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</si>
  <si>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</si>
  <si>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</si>
  <si>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</si>
  <si>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</si>
  <si>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</si>
  <si>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</si>
  <si>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</si>
  <si>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</si>
  <si>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</si>
  <si>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</si>
  <si>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</si>
  <si>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</si>
  <si>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</si>
  <si>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</si>
  <si>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</si>
  <si>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</si>
  <si>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</si>
  <si>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</si>
  <si>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</si>
  <si>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</si>
  <si>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</si>
  <si>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</si>
  <si>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</si>
  <si>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</si>
  <si>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</si>
  <si>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</si>
  <si>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</si>
  <si>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</si>
  <si>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</si>
  <si>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</si>
  <si>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</si>
  <si>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</si>
  <si>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</si>
  <si>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</si>
  <si>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</si>
  <si>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</si>
  <si>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</si>
  <si>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</si>
  <si>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</si>
  <si>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</si>
  <si>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</si>
  <si>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</si>
  <si>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</si>
  <si>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</si>
  <si>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</si>
  <si>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</si>
  <si>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</si>
  <si>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</si>
  <si>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</si>
  <si>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</si>
  <si>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</si>
  <si>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</si>
  <si>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</si>
  <si>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</si>
  <si>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</si>
  <si>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</si>
  <si>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</si>
  <si>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</si>
  <si>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</si>
  <si>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</si>
  <si>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</si>
  <si>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</si>
  <si>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</si>
  <si>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</si>
  <si>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</si>
  <si>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</si>
  <si>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</si>
  <si>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</si>
  <si>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</si>
  <si>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</si>
  <si>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</si>
  <si>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</si>
  <si>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</si>
  <si>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</si>
  <si>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</si>
  <si>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</si>
  <si>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</si>
  <si>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</si>
  <si>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</si>
  <si>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</si>
  <si>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</si>
  <si>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</si>
  <si>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</si>
  <si>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</si>
  <si>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</si>
  <si>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</si>
  <si>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</si>
  <si>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</si>
  <si>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</si>
  <si>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</si>
  <si>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</si>
  <si>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</si>
  <si>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</si>
  <si>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</si>
  <si>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</si>
  <si>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</si>
  <si>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</si>
  <si>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</si>
  <si>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</si>
  <si>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</si>
  <si>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</si>
  <si>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</si>
  <si>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</si>
  <si>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</si>
  <si>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</si>
  <si>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</si>
  <si>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</si>
  <si>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</si>
  <si>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</si>
  <si>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</si>
  <si>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</si>
  <si>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</si>
  <si>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</si>
  <si>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</si>
  <si>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</si>
  <si>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</si>
  <si>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</si>
  <si>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</si>
  <si>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</si>
  <si>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</si>
  <si>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</si>
  <si>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</si>
  <si>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</si>
  <si>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</si>
  <si>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</si>
  <si>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</si>
  <si>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</si>
  <si>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</si>
  <si>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</si>
  <si>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</si>
  <si>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</si>
  <si>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</si>
  <si>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</si>
  <si>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</si>
  <si>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</si>
  <si>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</si>
  <si>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</si>
  <si>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</si>
  <si>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</si>
  <si>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</si>
  <si>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</si>
  <si>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</si>
  <si>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</si>
  <si>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</si>
  <si>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</si>
  <si>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</si>
  <si>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</si>
  <si>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</si>
  <si>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</si>
  <si>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</si>
  <si>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</si>
  <si>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</si>
  <si>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</si>
  <si>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</si>
  <si>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</si>
  <si>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</si>
  <si>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</si>
  <si>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</si>
  <si>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</si>
  <si>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</si>
  <si>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</si>
  <si>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</si>
  <si>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</si>
  <si>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</si>
  <si>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</si>
  <si>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</si>
  <si>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</si>
  <si>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</si>
  <si>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</si>
  <si>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</si>
  <si>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</si>
  <si>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</si>
  <si>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</si>
  <si>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</si>
  <si>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</si>
  <si>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</si>
  <si>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</si>
  <si>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</si>
  <si>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</si>
  <si>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</si>
  <si>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</si>
  <si>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</si>
  <si>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</si>
  <si>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</si>
  <si>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</si>
  <si>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</si>
  <si>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</si>
  <si>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</si>
  <si>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</si>
  <si>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</si>
  <si>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</si>
  <si>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</si>
  <si>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</si>
  <si>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</si>
  <si>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</si>
  <si>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</si>
  <si>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</si>
  <si>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</si>
  <si>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</si>
  <si>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</si>
  <si>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</si>
  <si>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</si>
  <si>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</si>
  <si>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</si>
  <si>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</si>
  <si>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</si>
  <si>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</si>
  <si>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</si>
  <si>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</si>
  <si>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</si>
  <si>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</si>
  <si>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</si>
  <si>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</si>
  <si>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</si>
  <si>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</si>
  <si>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</si>
  <si>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</si>
  <si>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</si>
  <si>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</si>
  <si>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</si>
  <si>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</si>
  <si>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</si>
  <si>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</si>
  <si>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</si>
  <si>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</si>
  <si>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</si>
  <si>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</si>
  <si>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</si>
  <si>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</si>
  <si>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</si>
  <si>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</si>
  <si>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</si>
  <si>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</si>
  <si>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</si>
  <si>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</si>
  <si>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</si>
  <si>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</si>
  <si>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</si>
  <si>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</si>
  <si>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</si>
  <si>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</si>
  <si>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</si>
  <si>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</si>
  <si>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</si>
  <si>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</si>
  <si>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</si>
  <si>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</si>
  <si>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</si>
  <si>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</si>
  <si>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</si>
  <si>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</si>
  <si>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</si>
  <si>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</si>
  <si>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</si>
  <si>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</si>
  <si>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</si>
  <si>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</si>
  <si>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</si>
  <si>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</si>
  <si>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</si>
  <si>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</si>
  <si>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</si>
  <si>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</si>
  <si>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</si>
  <si>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</si>
  <si>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</si>
  <si>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</si>
  <si>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</si>
  <si>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</si>
  <si>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</si>
  <si>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</si>
  <si>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</si>
  <si>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</si>
  <si>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</si>
  <si>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</si>
  <si>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</si>
  <si>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</si>
  <si>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</si>
  <si>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</si>
  <si>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</si>
  <si>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</si>
  <si>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</si>
  <si>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</si>
  <si>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</si>
  <si>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</si>
  <si>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</si>
  <si>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</si>
  <si>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</si>
  <si>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</si>
  <si>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</si>
  <si>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</si>
  <si>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</si>
  <si>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</si>
  <si>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</si>
  <si>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</si>
  <si>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</si>
  <si>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</si>
  <si>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</si>
  <si>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</si>
  <si>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</si>
  <si>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</si>
  <si>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</si>
  <si>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</si>
  <si>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</si>
  <si>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</si>
  <si>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</si>
  <si>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</si>
  <si>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</si>
  <si>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</si>
  <si>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</si>
  <si>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</si>
  <si>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</si>
  <si>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</si>
  <si>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</si>
  <si>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</si>
  <si>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</si>
  <si>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</si>
  <si>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</si>
  <si>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</si>
  <si>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</si>
  <si>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</si>
  <si>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</si>
  <si>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</si>
  <si>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</si>
  <si>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</si>
  <si>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</si>
  <si>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</si>
  <si>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</si>
  <si>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</si>
  <si>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</si>
  <si>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</si>
  <si>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</si>
  <si>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</si>
  <si>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</si>
  <si>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</si>
  <si>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</si>
  <si>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</si>
  <si>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</si>
  <si>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</si>
  <si>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</si>
  <si>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</si>
  <si>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</si>
  <si>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</si>
  <si>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</si>
  <si>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</si>
  <si>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</si>
  <si>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</si>
  <si>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</si>
  <si>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</si>
  <si>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</si>
  <si>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</si>
  <si>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</si>
  <si>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</si>
  <si>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</si>
  <si>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</si>
  <si>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</si>
  <si>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</si>
  <si>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</si>
  <si>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</si>
  <si>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</si>
  <si>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</si>
  <si>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</si>
  <si>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</si>
  <si>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</si>
  <si>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</si>
  <si>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</si>
  <si>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</si>
  <si>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</si>
  <si>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</si>
  <si>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</si>
  <si>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</si>
  <si>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</si>
  <si>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</si>
  <si>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</si>
  <si>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</si>
  <si>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</si>
  <si>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</si>
  <si>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</si>
  <si>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</si>
  <si>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</si>
  <si>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</si>
  <si>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</si>
  <si>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</si>
  <si>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</si>
  <si>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</si>
  <si>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</si>
  <si>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</si>
  <si>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</si>
  <si>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</si>
  <si>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</si>
  <si>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</si>
  <si>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</si>
  <si>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</si>
  <si>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</si>
  <si>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</si>
  <si>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</si>
  <si>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</si>
  <si>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</si>
  <si>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</si>
  <si>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</si>
  <si>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</si>
  <si>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</si>
  <si>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</si>
  <si>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</si>
  <si>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</si>
  <si>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</si>
  <si>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</si>
  <si>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</si>
  <si>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</si>
  <si>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</si>
  <si>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</si>
  <si>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</si>
  <si>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</si>
  <si>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</si>
  <si>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</si>
  <si>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</si>
  <si>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</si>
  <si>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</si>
  <si>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</si>
  <si>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</si>
  <si>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</si>
  <si>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</si>
  <si>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</si>
  <si>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</si>
  <si>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</si>
  <si>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</si>
  <si>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</si>
  <si>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</si>
  <si>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</si>
  <si>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</si>
  <si>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</si>
  <si>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</si>
  <si>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</si>
  <si>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</si>
  <si>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</si>
  <si>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</si>
  <si>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</si>
  <si>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</si>
  <si>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</si>
  <si>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</si>
  <si>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</si>
  <si>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</si>
  <si>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</si>
  <si>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</si>
  <si>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</si>
  <si>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</si>
  <si>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</si>
  <si>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</si>
  <si>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</si>
  <si>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</si>
  <si>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</si>
  <si>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</si>
  <si>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</si>
  <si>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</si>
  <si>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</si>
  <si>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</si>
  <si>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</si>
  <si>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</si>
  <si>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</si>
  <si>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</si>
  <si>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</si>
  <si>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</si>
  <si>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</si>
  <si>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</si>
  <si>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</si>
  <si>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</si>
  <si>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</si>
  <si>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</si>
  <si>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</si>
  <si>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</si>
  <si>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</si>
  <si>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</si>
  <si>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</si>
  <si>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</si>
  <si>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</si>
  <si>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</si>
  <si>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</si>
  <si>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</si>
  <si>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</si>
  <si>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</si>
  <si>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</si>
  <si>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</si>
  <si>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</si>
  <si>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</si>
  <si>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</si>
  <si>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</si>
  <si>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</si>
  <si>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</si>
  <si>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</si>
  <si>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</si>
  <si>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</si>
  <si>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</si>
  <si>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</si>
  <si>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</si>
  <si>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</si>
  <si>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</si>
  <si>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</si>
  <si>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</si>
  <si>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</si>
  <si>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</si>
  <si>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</si>
  <si>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</si>
  <si>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</si>
  <si>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</si>
  <si>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</si>
  <si>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</si>
  <si>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</si>
  <si>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</si>
  <si>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</si>
  <si>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</si>
  <si>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</si>
  <si>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</si>
  <si>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</si>
  <si>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</si>
  <si>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</si>
  <si>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</si>
  <si>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</si>
  <si>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</si>
  <si>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</si>
  <si>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</si>
  <si>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</si>
  <si>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</si>
  <si>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</si>
  <si>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</si>
  <si>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</si>
  <si>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</si>
  <si>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</si>
  <si>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</si>
  <si>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</si>
  <si>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</si>
  <si>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</si>
  <si>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</si>
  <si>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</si>
  <si>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</si>
  <si>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</si>
  <si>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</si>
  <si>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</si>
  <si>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</si>
  <si>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</si>
  <si>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</si>
  <si>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</si>
  <si>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</si>
  <si>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</si>
  <si>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</si>
  <si>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</si>
  <si>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</si>
  <si>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</si>
  <si>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</si>
  <si>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</si>
  <si>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</si>
  <si>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</si>
  <si>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</si>
  <si>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</si>
  <si>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</si>
  <si>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</si>
  <si>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</si>
  <si>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</si>
  <si>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</si>
  <si>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</si>
  <si>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</si>
  <si>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</si>
  <si>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</si>
  <si>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</si>
  <si>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</si>
  <si>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</si>
  <si>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</si>
  <si>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</si>
  <si>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</si>
  <si>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</si>
  <si>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</si>
  <si>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</si>
  <si>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</si>
  <si>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</si>
  <si>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</si>
  <si>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</si>
  <si>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</si>
  <si>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</si>
  <si>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</si>
  <si>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</si>
  <si>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</si>
  <si>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</si>
  <si>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</si>
  <si>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</si>
  <si>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</si>
  <si>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</si>
  <si>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</si>
  <si>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</si>
  <si>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</si>
  <si>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</si>
  <si>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</si>
  <si>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</si>
  <si>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</si>
  <si>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</si>
  <si>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</si>
  <si>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</si>
  <si>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</si>
  <si>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</si>
  <si>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</si>
  <si>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</si>
  <si>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</si>
  <si>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</si>
  <si>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</si>
  <si>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</si>
  <si>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</si>
  <si>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</si>
  <si>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</si>
  <si>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</si>
  <si>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</si>
  <si>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</si>
  <si>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</si>
  <si>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</si>
  <si>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</si>
  <si>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</si>
  <si>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</si>
  <si>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</si>
  <si>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</si>
  <si>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</si>
  <si>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</si>
  <si>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</si>
  <si>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</si>
  <si>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</si>
  <si>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</si>
  <si>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</si>
  <si>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</si>
  <si>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</si>
  <si>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</si>
  <si>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</si>
  <si>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</si>
  <si>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</si>
  <si>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</si>
  <si>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</si>
  <si>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</si>
  <si>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</si>
  <si>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</si>
  <si>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</si>
  <si>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</si>
  <si>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</si>
  <si>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</si>
  <si>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</si>
  <si>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</si>
  <si>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</si>
  <si>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</si>
  <si>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</si>
  <si>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</si>
  <si>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</si>
  <si>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</si>
  <si>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</si>
  <si>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</si>
  <si>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</si>
  <si>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</si>
  <si>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</si>
  <si>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</si>
  <si>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</si>
  <si>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</si>
  <si>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</si>
  <si>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</si>
  <si>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</si>
  <si>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</si>
  <si>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</si>
  <si>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</si>
  <si>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</si>
  <si>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</si>
  <si>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</si>
  <si>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</si>
  <si>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</si>
  <si>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</si>
  <si>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</si>
  <si>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</si>
  <si>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</si>
  <si>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</si>
  <si>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</si>
  <si>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</si>
  <si>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</si>
  <si>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</si>
  <si>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</si>
  <si>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</si>
  <si>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</si>
  <si>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</si>
  <si>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</si>
  <si>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</si>
  <si>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</si>
  <si>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</si>
  <si>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</si>
  <si>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</si>
  <si>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</si>
  <si>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</si>
  <si>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</si>
  <si>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</si>
  <si>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</si>
  <si>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</si>
  <si>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</si>
  <si>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</si>
  <si>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</si>
  <si>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</si>
  <si>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</si>
  <si>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</si>
  <si>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</si>
  <si>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</si>
  <si>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</si>
  <si>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</si>
  <si>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</si>
  <si>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</si>
  <si>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</si>
  <si>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</si>
  <si>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</si>
  <si>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</si>
  <si>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</si>
  <si>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</si>
  <si>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</si>
  <si>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</si>
  <si>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</si>
  <si>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</si>
  <si>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</si>
  <si>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</si>
  <si>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</si>
  <si>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</si>
  <si>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</si>
  <si>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</si>
  <si>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</si>
  <si>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</si>
  <si>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</si>
  <si>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</si>
  <si>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</si>
  <si>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</si>
  <si>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</si>
  <si>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</si>
  <si>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</si>
  <si>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</si>
  <si>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</si>
  <si>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</si>
  <si>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</si>
  <si>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</si>
  <si>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</si>
  <si>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</si>
  <si>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</si>
  <si>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</si>
  <si>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</si>
  <si>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</si>
  <si>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</si>
  <si>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</si>
  <si>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</si>
  <si>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</si>
  <si>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</si>
  <si>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</si>
  <si>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</si>
  <si>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</si>
  <si>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</si>
  <si>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</si>
  <si>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</si>
  <si>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</si>
  <si>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</si>
  <si>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</si>
  <si>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</si>
  <si>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</si>
  <si>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</si>
  <si>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</si>
  <si>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</si>
  <si>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</si>
  <si>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</si>
  <si>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</si>
  <si>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</si>
  <si>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</si>
  <si>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</si>
  <si>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</si>
  <si>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</si>
  <si>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</si>
  <si>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</si>
  <si>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</si>
  <si>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</si>
  <si>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</si>
  <si>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</si>
  <si>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</si>
  <si>
    <t>C:\root\30_tool\ScheduledBackup.bat</t>
    <phoneticPr fontId="2"/>
  </si>
  <si>
    <t>C:\root\30_tool</t>
    <phoneticPr fontId="2"/>
  </si>
  <si>
    <t>BackUpFiles.bat</t>
    <phoneticPr fontId="7"/>
  </si>
  <si>
    <t>C:\root\30_tool\BackUpFiles.bat</t>
    <phoneticPr fontId="7"/>
  </si>
  <si>
    <t>C:\codes\vbs\tools\win\file_ope\BackUpFiles.bat</t>
    <phoneticPr fontId="2"/>
  </si>
  <si>
    <t>createhardlink ~/_dotfiles/.claude/settings.json .claude/settings.json</t>
    <phoneticPr fontId="2"/>
  </si>
  <si>
    <t>C:\prg_exe\SoundSwitcher\SoundSwitcher.exe</t>
    <phoneticPr fontId="2"/>
  </si>
  <si>
    <t>SoundSwitcher</t>
    <phoneticPr fontId="2"/>
  </si>
  <si>
    <t>サウンド切り替え</t>
    <rPh sb="4" eb="5">
      <t>キ</t>
    </rPh>
    <rPh sb="6" eb="7">
      <t>カ</t>
    </rPh>
    <phoneticPr fontId="2"/>
  </si>
  <si>
    <t>-</t>
    <phoneticPr fontId="2"/>
  </si>
  <si>
    <t>Shutdown.vbs</t>
  </si>
  <si>
    <t>時刻指定シャットダウン</t>
    <rPh sb="0" eb="2">
      <t>ジコク</t>
    </rPh>
    <rPh sb="2" eb="4">
      <t>シテイ</t>
    </rPh>
    <phoneticPr fontId="2"/>
  </si>
  <si>
    <t>C:\codes\vbs\tools\win\other\Shutdown.vbs</t>
  </si>
  <si>
    <t>sht</t>
  </si>
  <si>
    <t>ScheduleClockOut.vbs</t>
  </si>
  <si>
    <t>遅延退勤</t>
    <rPh sb="0" eb="2">
      <t>チエン</t>
    </rPh>
    <rPh sb="2" eb="4">
      <t>タイキン</t>
    </rPh>
    <phoneticPr fontId="3"/>
  </si>
  <si>
    <t>C:\codes\vbs\tools\win\other\ScheduleClockOut.vbs</t>
  </si>
  <si>
    <t>sco</t>
  </si>
  <si>
    <t>C:\prg_exe\Cryptomator\app\Cryptomator.exe</t>
    <phoneticPr fontId="2"/>
  </si>
  <si>
    <t>Cryptomator</t>
    <phoneticPr fontId="2"/>
  </si>
  <si>
    <t>ファイル暗号化</t>
    <rPh sb="4" eb="7">
      <t>アンゴウカ</t>
    </rPh>
    <phoneticPr fontId="2"/>
  </si>
  <si>
    <t>C:\Program Files (x86)\FILCO Assist\FilcoAssistUI.exe</t>
    <phoneticPr fontId="2"/>
  </si>
  <si>
    <t>FILCOAssist</t>
    <phoneticPr fontId="2"/>
  </si>
  <si>
    <t>キー置き換え</t>
    <rPh sb="2" eb="3">
      <t>オ</t>
    </rPh>
    <rPh sb="4" eb="5">
      <t>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</si>
</sst>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7">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xf numFmtId="0" fontId="8" fillId="0" borderId="0">
      <alignment vertical="center"/>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cellXfs>
  <cellStyles count="7">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 name="標準 3 2" xfId="6" xr:uid="{434FB8F1-F054-492B-94AE-8C12B4AF6F3F}"/>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robocip20-my.sharepoint.com/personal/endo_tatsuya_robocip_or_jp/Documents/&#12489;&#12461;&#12517;&#12513;&#12531;&#12488;/_repos/other/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ROBOCIP(PC-31)/AppData/Roaming/Microsoft/AddIns/MyExcelAddin.xlam" TargetMode="External"/><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 val="MyExcelAddin"/>
    </sheetNames>
    <definedNames>
      <definedName name="getdirpath"/>
    </defined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123" sqref="D123"/>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1530</v>
      </c>
      <c r="E5" s="142"/>
      <c r="F5" s="143"/>
      <c r="G5" s="119" t="s">
        <v>1532</v>
      </c>
      <c r="H5" s="117" t="s">
        <v>1531</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1519</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1533</v>
      </c>
      <c r="E76" s="142" t="s">
        <v>934</v>
      </c>
      <c r="F76" s="143"/>
      <c r="G76" s="117"/>
      <c r="H76" s="171" t="s">
        <v>1534</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7"/>
  <sheetViews>
    <sheetView showGridLines="0" tabSelected="1" view="pageBreakPreview" zoomScale="115" zoomScaleNormal="100" zoomScaleSheetLayoutView="115" workbookViewId="0">
      <pane xSplit="2" ySplit="10" topLeftCell="C103" activePane="bottomRight" state="frozen"/>
      <selection pane="topRight" activeCell="C1" sqref="C1"/>
      <selection pane="bottomLeft" activeCell="A4" sqref="A4"/>
      <selection pane="bottomRight" activeCell="E227" sqref="E227"/>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IF(
  AND(
    $A11&lt;&gt;"",
    COUNTIF(C:C,$A11)&gt;1
  ),
  "★NG★",
  ""
)</f>
        <v/>
      </c>
      <c r="S11" s="9" t="str">
        <f t="shared" ref="S11:S42" si="0">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1">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2">IF(
  AND($A11&lt;&gt;"",$O11&lt;&gt;"-",$O11&lt;&gt;""),
  (
    "schtasks /create /tn """&amp;$O11&amp;""" /tr """&amp;$C11&amp;""" /sc daily /st "&amp;$P11&amp;" /rl highest"
  ),
  ""
)</f>
        <v/>
      </c>
      <c r="AH11" s="13" t="str">
        <f t="shared" ref="AH11:AH42" si="3">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IF(
  AND(
    $A12&lt;&gt;"",
    COUNTIF(C:C,$A12)&gt;1
  ),
  "★NG★",
  ""
)</f>
        <v/>
      </c>
      <c r="S12" s="9" t="str">
        <f t="shared" si="0"/>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1"/>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2"/>
        <v/>
      </c>
      <c r="AH12" s="13" t="str">
        <f t="shared" si="3"/>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IF(
  AND(
    $A13&lt;&gt;"",
    COUNTIF(C:C,$A13)&gt;1
  ),
  "★NG★",
  ""
)</f>
        <v/>
      </c>
      <c r="S13" s="9" t="str">
        <f t="shared" si="0"/>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1"/>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2"/>
        <v/>
      </c>
      <c r="AH13" s="13" t="str">
        <f t="shared" si="3"/>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IF(
  AND(
    $A14&lt;&gt;"",
    COUNTIF(C:C,$A14)&gt;1
  ),
  "★NG★",
  ""
)</f>
        <v/>
      </c>
      <c r="S14" s="9" t="str">
        <f t="shared" si="0"/>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1"/>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2"/>
        <v/>
      </c>
      <c r="AH14" s="13" t="str">
        <f t="shared" si="3"/>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IF(
  AND(
    $A15&lt;&gt;"",
    COUNTIF(C:C,$A15)&gt;1
  ),
  "★NG★",
  ""
)</f>
        <v/>
      </c>
      <c r="S15" s="9" t="str">
        <f t="shared" si="0"/>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1"/>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2"/>
        <v/>
      </c>
      <c r="AH15" s="13" t="str">
        <f t="shared" si="3"/>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e" cm="1">
        <f t="array" aca="1" ref="E16" ca="1">[2]!getdirpath(C16)</f>
        <v>#NAME?</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IF(
  AND(
    $A16&lt;&gt;"",
    COUNTIF(C:C,$A16)&gt;1
  ),
  "★NG★",
  ""
)</f>
        <v/>
      </c>
      <c r="S16" s="9" t="str">
        <f t="shared" si="0"/>
        <v/>
      </c>
      <c r="T16" s="13" t="e">
        <f ca="1">IF(
  AND($A16&lt;&gt;"",$I16="○"),
  (
    "mkdir """&amp;V16&amp;""" &amp; "
  )&amp;(
    """"&amp;shortcut設定!$F$7&amp;""""&amp;
    " """&amp;V16&amp;"\"&amp;$A16&amp;"（"&amp;$B16&amp;"）.lnk"""&amp;
    " """&amp;$C16&amp;""""&amp;
    IF($D16="-"," """""," """&amp;$D16&amp;"""")&amp;
    IF($E16="-"," """""," """&amp;$E16&amp;"""")
  ),
  ""
)</f>
        <v>#NAME?</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1"/>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2"/>
        <v/>
      </c>
      <c r="AH16" s="13" t="str">
        <f t="shared" si="3"/>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IF(
  AND(
    $A17&lt;&gt;"",
    COUNTIF(C:C,$A17)&gt;1
  ),
  "★NG★",
  ""
)</f>
        <v/>
      </c>
      <c r="S17" s="9" t="str">
        <f t="shared" si="0"/>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1"/>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2"/>
        <v/>
      </c>
      <c r="AH17" s="13" t="str">
        <f t="shared" si="3"/>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IF(
  AND(
    $A18&lt;&gt;"",
    COUNTIF(C:C,$A18)&gt;1
  ),
  "★NG★",
  ""
)</f>
        <v/>
      </c>
      <c r="S18" s="9" t="str">
        <f t="shared" si="0"/>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1"/>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2"/>
        <v/>
      </c>
      <c r="AH18" s="13" t="str">
        <f t="shared" si="3"/>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IF(
  AND(
    $A19&lt;&gt;"",
    COUNTIF(C:C,$A19)&gt;1
  ),
  "★NG★",
  ""
)</f>
        <v/>
      </c>
      <c r="S19" s="9" t="str">
        <f t="shared" si="0"/>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1"/>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2"/>
        <v/>
      </c>
      <c r="AH19" s="13" t="str">
        <f t="shared" si="3"/>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IF(
  AND(
    $A20&lt;&gt;"",
    COUNTIF(C:C,$A20)&gt;1
  ),
  "★NG★",
  ""
)</f>
        <v/>
      </c>
      <c r="S20" s="9" t="str">
        <f t="shared" si="0"/>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1"/>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2"/>
        <v/>
      </c>
      <c r="AH20" s="13" t="str">
        <f t="shared" si="3"/>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IF(
  AND(
    $A21&lt;&gt;"",
    COUNTIF(C:C,$A21)&gt;1
  ),
  "★NG★",
  ""
)</f>
        <v/>
      </c>
      <c r="S21" s="9" t="str">
        <f t="shared" si="0"/>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1"/>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2"/>
        <v/>
      </c>
      <c r="AH21" s="13" t="str">
        <f t="shared" si="3"/>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IF(
  AND(
    $A22&lt;&gt;"",
    COUNTIF(C:C,$A22)&gt;1
  ),
  "★NG★",
  ""
)</f>
        <v/>
      </c>
      <c r="S22" s="9" t="str">
        <f t="shared" si="0"/>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1"/>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2"/>
        <v/>
      </c>
      <c r="AH22" s="13" t="str">
        <f t="shared" si="3"/>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IF(
  AND(
    $A23&lt;&gt;"",
    COUNTIF(C:C,$A23)&gt;1
  ),
  "★NG★",
  ""
)</f>
        <v/>
      </c>
      <c r="S23" s="9" t="str">
        <f t="shared" si="0"/>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1"/>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2"/>
        <v/>
      </c>
      <c r="AH23" s="13" t="str">
        <f t="shared" si="3"/>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IF(
  AND(
    $A24&lt;&gt;"",
    COUNTIF(C:C,$A24)&gt;1
  ),
  "★NG★",
  ""
)</f>
        <v/>
      </c>
      <c r="S24" s="9" t="str">
        <f t="shared" si="0"/>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1"/>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2"/>
        <v/>
      </c>
      <c r="AH24" s="13" t="str">
        <f t="shared" si="3"/>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IF(
  AND(
    $A25&lt;&gt;"",
    COUNTIF(C:C,$A25)&gt;1
  ),
  "★NG★",
  ""
)</f>
        <v/>
      </c>
      <c r="S25" s="9" t="str">
        <f t="shared" si="0"/>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1"/>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2"/>
        <v/>
      </c>
      <c r="AH25" s="13" t="str">
        <f t="shared" si="3"/>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IF(
  AND(
    $A26&lt;&gt;"",
    COUNTIF(C:C,$A26)&gt;1
  ),
  "★NG★",
  ""
)</f>
        <v/>
      </c>
      <c r="S26" s="9" t="str">
        <f t="shared" si="0"/>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1"/>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2"/>
        <v/>
      </c>
      <c r="AH26" s="13" t="str">
        <f t="shared" si="3"/>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IF(
  AND(
    $A27&lt;&gt;"",
    COUNTIF(C:C,$A27)&gt;1
  ),
  "★NG★",
  ""
)</f>
        <v/>
      </c>
      <c r="S27" s="9" t="str">
        <f t="shared" si="0"/>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1"/>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2"/>
        <v/>
      </c>
      <c r="AH27" s="13" t="str">
        <f t="shared" si="3"/>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IF(
  AND(
    $A28&lt;&gt;"",
    COUNTIF(C:C,$A28)&gt;1
  ),
  "★NG★",
  ""
)</f>
        <v/>
      </c>
      <c r="S28" s="9" t="str">
        <f t="shared" si="0"/>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1"/>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2"/>
        <v/>
      </c>
      <c r="AH28" s="13" t="str">
        <f t="shared" si="3"/>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IF(
  AND(
    $A29&lt;&gt;"",
    COUNTIF(C:C,$A29)&gt;1
  ),
  "★NG★",
  ""
)</f>
        <v/>
      </c>
      <c r="S29" s="9" t="str">
        <f t="shared" si="0"/>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1"/>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2"/>
        <v/>
      </c>
      <c r="AH29" s="13" t="str">
        <f t="shared" si="3"/>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IF(
  AND(
    $A30&lt;&gt;"",
    COUNTIF(C:C,$A30)&gt;1
  ),
  "★NG★",
  ""
)</f>
        <v/>
      </c>
      <c r="S30" s="9" t="str">
        <f t="shared" si="0"/>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1"/>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2"/>
        <v/>
      </c>
      <c r="AH30" s="13" t="str">
        <f t="shared" si="3"/>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IF(
  AND(
    $A31&lt;&gt;"",
    COUNTIF(C:C,$A31)&gt;1
  ),
  "★NG★",
  ""
)</f>
        <v/>
      </c>
      <c r="S31" s="9" t="str">
        <f t="shared" si="0"/>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1"/>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2"/>
        <v/>
      </c>
      <c r="AH31" s="13" t="str">
        <f t="shared" si="3"/>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IF(
  AND(
    $A32&lt;&gt;"",
    COUNTIF(C:C,$A32)&gt;1
  ),
  "★NG★",
  ""
)</f>
        <v/>
      </c>
      <c r="S32" s="9" t="str">
        <f t="shared" si="0"/>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1"/>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2"/>
        <v/>
      </c>
      <c r="AH32" s="13" t="str">
        <f t="shared" si="3"/>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IF(
  AND(
    $A33&lt;&gt;"",
    COUNTIF(C:C,$A33)&gt;1
  ),
  "★NG★",
  ""
)</f>
        <v/>
      </c>
      <c r="S33" s="9" t="str">
        <f t="shared" si="0"/>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1"/>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2"/>
        <v/>
      </c>
      <c r="AH33" s="13" t="str">
        <f t="shared" si="3"/>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IF(
  AND(
    $A34&lt;&gt;"",
    COUNTIF(C:C,$A34)&gt;1
  ),
  "★NG★",
  ""
)</f>
        <v/>
      </c>
      <c r="S34" s="9" t="str">
        <f t="shared" si="0"/>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1"/>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2"/>
        <v/>
      </c>
      <c r="AH34" s="13" t="str">
        <f t="shared" si="3"/>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IF(
  AND(
    $A35&lt;&gt;"",
    COUNTIF(C:C,$A35)&gt;1
  ),
  "★NG★",
  ""
)</f>
        <v/>
      </c>
      <c r="S35" s="9" t="str">
        <f t="shared" si="0"/>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1"/>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2"/>
        <v/>
      </c>
      <c r="AH35" s="13" t="str">
        <f t="shared" si="3"/>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IF(
  AND(
    $A36&lt;&gt;"",
    COUNTIF(C:C,$A36)&gt;1
  ),
  "★NG★",
  ""
)</f>
        <v/>
      </c>
      <c r="S36" s="9" t="str">
        <f t="shared" si="0"/>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1"/>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2"/>
        <v/>
      </c>
      <c r="AH36" s="13" t="str">
        <f t="shared" si="3"/>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IF(
  AND(
    $A37&lt;&gt;"",
    COUNTIF(C:C,$A37)&gt;1
  ),
  "★NG★",
  ""
)</f>
        <v/>
      </c>
      <c r="S37" s="9" t="str">
        <f t="shared" si="0"/>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1"/>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2"/>
        <v/>
      </c>
      <c r="AH37" s="13" t="str">
        <f t="shared" si="3"/>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IF(
  AND(
    $A38&lt;&gt;"",
    COUNTIF(C:C,$A38)&gt;1
  ),
  "★NG★",
  ""
)</f>
        <v/>
      </c>
      <c r="S38" s="9" t="str">
        <f t="shared" si="0"/>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1"/>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2"/>
        <v/>
      </c>
      <c r="AH38" s="13" t="str">
        <f t="shared" si="3"/>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IF(
  AND(
    $A39&lt;&gt;"",
    COUNTIF(C:C,$A39)&gt;1
  ),
  "★NG★",
  ""
)</f>
        <v/>
      </c>
      <c r="S39" s="9" t="str">
        <f t="shared" si="0"/>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1"/>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2"/>
        <v/>
      </c>
      <c r="AH39" s="13" t="str">
        <f t="shared" si="3"/>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IF(
  AND(
    $A40&lt;&gt;"",
    COUNTIF(C:C,$A40)&gt;1
  ),
  "★NG★",
  ""
)</f>
        <v/>
      </c>
      <c r="S40" s="9" t="str">
        <f t="shared" si="0"/>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1"/>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2"/>
        <v/>
      </c>
      <c r="AH40" s="13" t="str">
        <f t="shared" si="3"/>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IF(
  AND(
    $A41&lt;&gt;"",
    COUNTIF(C:C,$A41)&gt;1
  ),
  "★NG★",
  ""
)</f>
        <v/>
      </c>
      <c r="S41" s="9" t="str">
        <f t="shared" si="0"/>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1"/>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2"/>
        <v/>
      </c>
      <c r="AH41" s="13" t="str">
        <f t="shared" si="3"/>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IF(
  AND(
    $A42&lt;&gt;"",
    COUNTIF(C:C,$A42)&gt;1
  ),
  "★NG★",
  ""
)</f>
        <v/>
      </c>
      <c r="S42" s="9" t="str">
        <f t="shared" si="0"/>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1"/>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2"/>
        <v/>
      </c>
      <c r="AH42" s="13" t="str">
        <f t="shared" si="3"/>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IF(
  AND(
    $A43&lt;&gt;"",
    COUNTIF(C:C,$A43)&gt;1
  ),
  "★NG★",
  ""
)</f>
        <v/>
      </c>
      <c r="S43" s="9" t="str">
        <f t="shared" ref="S43:S73" si="4">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5">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6">IF(
  AND($A43&lt;&gt;"",$O43&lt;&gt;"-",$O43&lt;&gt;""),
  (
    "schtasks /create /tn """&amp;$O43&amp;""" /tr """&amp;$C43&amp;""" /sc daily /st "&amp;$P43&amp;" /rl highest"
  ),
  ""
)</f>
        <v/>
      </c>
      <c r="AH43" s="13" t="str">
        <f t="shared" ref="AH43:AH73" si="7">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IF(
  AND(
    $A44&lt;&gt;"",
    COUNTIF(C:C,$A44)&gt;1
  ),
  "★NG★",
  ""
)</f>
        <v/>
      </c>
      <c r="S44" s="9" t="str">
        <f t="shared" si="4"/>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5"/>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6"/>
        <v/>
      </c>
      <c r="AH44" s="13" t="str">
        <f t="shared" si="7"/>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IF(
  AND(
    $A45&lt;&gt;"",
    COUNTIF(C:C,$A45)&gt;1
  ),
  "★NG★",
  ""
)</f>
        <v/>
      </c>
      <c r="S45" s="9" t="str">
        <f t="shared" si="4"/>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5"/>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6"/>
        <v/>
      </c>
      <c r="AH45" s="13" t="str">
        <f t="shared" si="7"/>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IF(
  AND(
    $A46&lt;&gt;"",
    COUNTIF(C:C,$A46)&gt;1
  ),
  "★NG★",
  ""
)</f>
        <v/>
      </c>
      <c r="S46" s="9" t="str">
        <f t="shared" si="4"/>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5"/>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6"/>
        <v/>
      </c>
      <c r="AH46" s="13" t="str">
        <f t="shared" si="7"/>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IF(
  AND(
    $A47&lt;&gt;"",
    COUNTIF(C:C,$A47)&gt;1
  ),
  "★NG★",
  ""
)</f>
        <v/>
      </c>
      <c r="S47" s="9" t="str">
        <f t="shared" si="4"/>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5"/>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6"/>
        <v/>
      </c>
      <c r="AH47" s="13" t="str">
        <f t="shared" si="7"/>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IF(
  AND(
    $A48&lt;&gt;"",
    COUNTIF(C:C,$A48)&gt;1
  ),
  "★NG★",
  ""
)</f>
        <v/>
      </c>
      <c r="S48" s="9" t="str">
        <f t="shared" si="4"/>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5"/>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6"/>
        <v/>
      </c>
      <c r="AH48" s="13" t="str">
        <f t="shared" si="7"/>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IF(
  AND(
    $A49&lt;&gt;"",
    COUNTIF(C:C,$A49)&gt;1
  ),
  "★NG★",
  ""
)</f>
        <v/>
      </c>
      <c r="S49" s="9" t="str">
        <f t="shared" si="4"/>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5"/>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6"/>
        <v/>
      </c>
      <c r="AH49" s="13" t="str">
        <f t="shared" si="7"/>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IF(
  AND(
    $A50&lt;&gt;"",
    COUNTIF(C:C,$A50)&gt;1
  ),
  "★NG★",
  ""
)</f>
        <v/>
      </c>
      <c r="S50" s="9" t="str">
        <f t="shared" si="4"/>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5"/>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6"/>
        <v/>
      </c>
      <c r="AH50" s="13" t="str">
        <f t="shared" si="7"/>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IF(
  AND(
    $A51&lt;&gt;"",
    COUNTIF(C:C,$A51)&gt;1
  ),
  "★NG★",
  ""
)</f>
        <v/>
      </c>
      <c r="S51" s="9" t="str">
        <f t="shared" si="4"/>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5"/>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6"/>
        <v/>
      </c>
      <c r="AH51" s="13" t="str">
        <f t="shared" si="7"/>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IF(
  AND(
    $A52&lt;&gt;"",
    COUNTIF(C:C,$A52)&gt;1
  ),
  "★NG★",
  ""
)</f>
        <v/>
      </c>
      <c r="S52" s="9" t="str">
        <f t="shared" si="4"/>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5"/>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6"/>
        <v/>
      </c>
      <c r="AH52" s="13" t="str">
        <f t="shared" si="7"/>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IF(
  AND(
    $A53&lt;&gt;"",
    COUNTIF(C:C,$A53)&gt;1
  ),
  "★NG★",
  ""
)</f>
        <v/>
      </c>
      <c r="S53" s="9" t="str">
        <f t="shared" si="4"/>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5"/>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6"/>
        <v/>
      </c>
      <c r="AH53" s="13" t="str">
        <f t="shared" si="7"/>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IF(
  AND(
    $A54&lt;&gt;"",
    COUNTIF(C:C,$A54)&gt;1
  ),
  "★NG★",
  ""
)</f>
        <v/>
      </c>
      <c r="S54" s="9" t="str">
        <f t="shared" si="4"/>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5"/>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6"/>
        <v/>
      </c>
      <c r="AH54" s="13" t="str">
        <f t="shared" si="7"/>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IF(
  AND(
    $A55&lt;&gt;"",
    COUNTIF(C:C,$A55)&gt;1
  ),
  "★NG★",
  ""
)</f>
        <v/>
      </c>
      <c r="S55" s="9" t="str">
        <f t="shared" si="4"/>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5"/>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6"/>
        <v/>
      </c>
      <c r="AH55" s="13" t="str">
        <f t="shared" si="7"/>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IF(
  AND(
    $A56&lt;&gt;"",
    COUNTIF(C:C,$A56)&gt;1
  ),
  "★NG★",
  ""
)</f>
        <v/>
      </c>
      <c r="S56" s="9" t="str">
        <f t="shared" si="4"/>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5"/>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6"/>
        <v/>
      </c>
      <c r="AH56" s="13" t="str">
        <f t="shared" si="7"/>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IF(
  AND(
    $A57&lt;&gt;"",
    COUNTIF(C:C,$A57)&gt;1
  ),
  "★NG★",
  ""
)</f>
        <v/>
      </c>
      <c r="S57" s="9" t="str">
        <f t="shared" si="4"/>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5"/>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6"/>
        <v/>
      </c>
      <c r="AH57" s="13" t="str">
        <f t="shared" si="7"/>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IF(
  AND(
    $A58&lt;&gt;"",
    COUNTIF(C:C,$A58)&gt;1
  ),
  "★NG★",
  ""
)</f>
        <v/>
      </c>
      <c r="S58" s="9" t="str">
        <f t="shared" si="4"/>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5"/>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6"/>
        <v/>
      </c>
      <c r="AH58" s="13" t="str">
        <f t="shared" si="7"/>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IF(
  AND(
    $A59&lt;&gt;"",
    COUNTIF(C:C,$A59)&gt;1
  ),
  "★NG★",
  ""
)</f>
        <v/>
      </c>
      <c r="S59" s="9" t="str">
        <f t="shared" si="4"/>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5"/>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6"/>
        <v/>
      </c>
      <c r="AH59" s="13" t="str">
        <f t="shared" si="7"/>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IF(
  AND(
    $A60&lt;&gt;"",
    COUNTIF(C:C,$A60)&gt;1
  ),
  "★NG★",
  ""
)</f>
        <v/>
      </c>
      <c r="S60" s="9" t="str">
        <f t="shared" si="4"/>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5"/>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6"/>
        <v/>
      </c>
      <c r="AH60" s="13" t="str">
        <f t="shared" si="7"/>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IF(
  AND(
    $A61&lt;&gt;"",
    COUNTIF(C:C,$A61)&gt;1
  ),
  "★NG★",
  ""
)</f>
        <v/>
      </c>
      <c r="S61" s="9" t="str">
        <f t="shared" si="4"/>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5"/>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6"/>
        <v/>
      </c>
      <c r="AH61" s="13" t="str">
        <f t="shared" si="7"/>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IF(
  AND(
    $A62&lt;&gt;"",
    COUNTIF(C:C,$A62)&gt;1
  ),
  "★NG★",
  ""
)</f>
        <v/>
      </c>
      <c r="S62" s="9" t="str">
        <f t="shared" si="4"/>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5"/>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6"/>
        <v/>
      </c>
      <c r="AH62" s="13" t="str">
        <f t="shared" si="7"/>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IF(
  AND(
    $A63&lt;&gt;"",
    COUNTIF(C:C,$A63)&gt;1
  ),
  "★NG★",
  ""
)</f>
        <v/>
      </c>
      <c r="S63" s="9" t="str">
        <f t="shared" si="4"/>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5"/>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6"/>
        <v/>
      </c>
      <c r="AH63" s="13" t="str">
        <f t="shared" si="7"/>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IF(
  AND(
    $A64&lt;&gt;"",
    COUNTIF(C:C,$A64)&gt;1
  ),
  "★NG★",
  ""
)</f>
        <v/>
      </c>
      <c r="S64" s="9" t="str">
        <f t="shared" si="4"/>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5"/>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6"/>
        <v/>
      </c>
      <c r="AH64" s="13" t="str">
        <f t="shared" si="7"/>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IF(
  AND(
    $A65&lt;&gt;"",
    COUNTIF(C:C,$A65)&gt;1
  ),
  "★NG★",
  ""
)</f>
        <v/>
      </c>
      <c r="S65" s="9" t="str">
        <f t="shared" si="4"/>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5"/>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6"/>
        <v/>
      </c>
      <c r="AH65" s="13" t="str">
        <f t="shared" si="7"/>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IF(
  AND(
    $A66&lt;&gt;"",
    COUNTIF(C:C,$A66)&gt;1
  ),
  "★NG★",
  ""
)</f>
        <v/>
      </c>
      <c r="S66" s="9" t="str">
        <f t="shared" si="4"/>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5"/>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6"/>
        <v/>
      </c>
      <c r="AH66" s="13" t="str">
        <f t="shared" si="7"/>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IF(
  AND(
    $A67&lt;&gt;"",
    COUNTIF(C:C,$A67)&gt;1
  ),
  "★NG★",
  ""
)</f>
        <v/>
      </c>
      <c r="S67" s="9" t="str">
        <f t="shared" si="4"/>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5"/>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6"/>
        <v/>
      </c>
      <c r="AH67" s="13" t="str">
        <f t="shared" si="7"/>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IF(
  AND(
    $A68&lt;&gt;"",
    COUNTIF(C:C,$A68)&gt;1
  ),
  "★NG★",
  ""
)</f>
        <v/>
      </c>
      <c r="S68" s="9" t="str">
        <f t="shared" si="4"/>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5"/>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6"/>
        <v/>
      </c>
      <c r="AH68" s="13" t="str">
        <f t="shared" si="7"/>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IF(
  AND(
    $A69&lt;&gt;"",
    COUNTIF(C:C,$A69)&gt;1
  ),
  "★NG★",
  ""
)</f>
        <v/>
      </c>
      <c r="S69" s="9" t="str">
        <f t="shared" si="4"/>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5"/>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6"/>
        <v/>
      </c>
      <c r="AH69" s="13" t="str">
        <f t="shared" si="7"/>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IF(
  AND(
    $A70&lt;&gt;"",
    COUNTIF(C:C,$A70)&gt;1
  ),
  "★NG★",
  ""
)</f>
        <v/>
      </c>
      <c r="S70" s="9" t="str">
        <f t="shared" si="4"/>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5"/>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6"/>
        <v/>
      </c>
      <c r="AH70" s="13" t="str">
        <f t="shared" si="7"/>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IF(
  AND(
    $A71&lt;&gt;"",
    COUNTIF(C:C,$A71)&gt;1
  ),
  "★NG★",
  ""
)</f>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IF(
  AND(
    $A72&lt;&gt;"",
    COUNTIF(C:C,$A72)&gt;1
  ),
  "★NG★",
  ""
)</f>
        <v/>
      </c>
      <c r="S72" s="9" t="str">
        <f t="shared" si="4"/>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5"/>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6"/>
        <v/>
      </c>
      <c r="AH72" s="13" t="str">
        <f t="shared" si="7"/>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IF(
  AND(
    $A73&lt;&gt;"",
    COUNTIF(C:C,$A73)&gt;1
  ),
  "★NG★",
  ""
)</f>
        <v/>
      </c>
      <c r="S73" s="9" t="str">
        <f t="shared" si="4"/>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5"/>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6"/>
        <v/>
      </c>
      <c r="AH73" s="13" t="str">
        <f t="shared" si="7"/>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IF(
  AND(
    $A74&lt;&gt;"",
    COUNTIF(C:C,$A74)&gt;1
  ),
  "★NG★",
  ""
)</f>
        <v/>
      </c>
      <c r="S74" s="9" t="str">
        <f t="shared" ref="S74:S105" si="8">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9">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0">IF(
  AND($A74&lt;&gt;"",$O74&lt;&gt;"-",$O74&lt;&gt;""),
  (
    "schtasks /create /tn """&amp;$O74&amp;""" /tr """&amp;$C74&amp;""" /sc daily /st "&amp;$P74&amp;" /rl highest"
  ),
  ""
)</f>
        <v/>
      </c>
      <c r="AH74" s="13" t="str">
        <f t="shared" ref="AH74:AH105" si="11">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IF(
  AND(
    $A75&lt;&gt;"",
    COUNTIF(C:C,$A75)&gt;1
  ),
  "★NG★",
  ""
)</f>
        <v/>
      </c>
      <c r="S75" s="9" t="str">
        <f t="shared" si="8"/>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9"/>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0"/>
        <v/>
      </c>
      <c r="AH75" s="13" t="str">
        <f t="shared" si="11"/>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IF(
  AND(
    $A76&lt;&gt;"",
    COUNTIF(C:C,$A76)&gt;1
  ),
  "★NG★",
  ""
)</f>
        <v/>
      </c>
      <c r="S76" s="9" t="str">
        <f t="shared" si="8"/>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9"/>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0"/>
        <v/>
      </c>
      <c r="AH76" s="13" t="str">
        <f t="shared" si="11"/>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IF(
  AND(
    $A77&lt;&gt;"",
    COUNTIF(C:C,$A77)&gt;1
  ),
  "★NG★",
  ""
)</f>
        <v/>
      </c>
      <c r="S77" s="9" t="str">
        <f t="shared" si="8"/>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9"/>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0"/>
        <v/>
      </c>
      <c r="AH77" s="13" t="str">
        <f t="shared" si="11"/>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IF(
  AND(
    $A78&lt;&gt;"",
    COUNTIF(C:C,$A78)&gt;1
  ),
  "★NG★",
  ""
)</f>
        <v/>
      </c>
      <c r="S78" s="9" t="str">
        <f t="shared" si="8"/>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9"/>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0"/>
        <v/>
      </c>
      <c r="AH78" s="13" t="str">
        <f t="shared" si="11"/>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IF(
  AND(
    $A79&lt;&gt;"",
    COUNTIF(C:C,$A79)&gt;1
  ),
  "★NG★",
  ""
)</f>
        <v/>
      </c>
      <c r="S79" s="9" t="str">
        <f t="shared" si="8"/>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9"/>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0"/>
        <v/>
      </c>
      <c r="AH79" s="13" t="str">
        <f t="shared" si="11"/>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IF(
  AND(
    $A80&lt;&gt;"",
    COUNTIF(C:C,$A80)&gt;1
  ),
  "★NG★",
  ""
)</f>
        <v/>
      </c>
      <c r="S80" s="9" t="str">
        <f t="shared" si="8"/>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9"/>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0"/>
        <v/>
      </c>
      <c r="AH80" s="13" t="str">
        <f t="shared" si="11"/>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IF(
  AND(
    $A81&lt;&gt;"",
    COUNTIF(C:C,$A81)&gt;1
  ),
  "★NG★",
  ""
)</f>
        <v/>
      </c>
      <c r="S81" s="9" t="str">
        <f t="shared" si="8"/>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9"/>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0"/>
        <v/>
      </c>
      <c r="AH81" s="13" t="str">
        <f t="shared" si="11"/>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IF(
  AND(
    $A82&lt;&gt;"",
    COUNTIF(C:C,$A82)&gt;1
  ),
  "★NG★",
  ""
)</f>
        <v/>
      </c>
      <c r="S82" s="9" t="str">
        <f t="shared" si="8"/>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9"/>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0"/>
        <v/>
      </c>
      <c r="AH82" s="13" t="str">
        <f t="shared" si="11"/>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IF(
  AND(
    $A83&lt;&gt;"",
    COUNTIF(C:C,$A83)&gt;1
  ),
  "★NG★",
  ""
)</f>
        <v/>
      </c>
      <c r="S83" s="9" t="str">
        <f t="shared" si="8"/>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9"/>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0"/>
        <v/>
      </c>
      <c r="AH83" s="13" t="str">
        <f t="shared" si="11"/>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IF(
  AND(
    $A84&lt;&gt;"",
    COUNTIF(C:C,$A84)&gt;1
  ),
  "★NG★",
  ""
)</f>
        <v/>
      </c>
      <c r="S84" s="9" t="str">
        <f t="shared" si="8"/>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9"/>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0"/>
        <v/>
      </c>
      <c r="AH84" s="13" t="str">
        <f t="shared" si="11"/>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e" cm="1">
        <f t="array" aca="1" ref="E85" ca="1">[2]!getdirpath(C85)</f>
        <v>#NAME?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IF(
  AND(
    $A85&lt;&gt;"",
    COUNTIF(C:C,$A85)&gt;1
  ),
  "★NG★",
  ""
)</f>
        <v/>
      </c>
      <c r="S85" s="9" t="str">
        <f t="shared" si="8"/>
        <v/>
      </c>
      <c r="T85" s="13" t="e">
        <f ca="1">IF(
  AND($A85&lt;&gt;"",$I85="○"),
  (
    "mkdir """&amp;V85&amp;""" &amp; "
  )&amp;(
    """"&amp;shortcut設定!$F$7&amp;""""&amp;
    " """&amp;V85&amp;"\"&amp;$A85&amp;"（"&amp;$B85&amp;"）.lnk"""&amp;
    " """&amp;$C85&amp;""""&amp;
    IF($D85="-"," """""," """&amp;$D85&amp;"""")&amp;
    IF($E85="-"," """""," """&amp;$E85&amp;"""")
  ),
  ""
)</f>
        <v>#NAME?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9"/>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0"/>
        <v/>
      </c>
      <c r="AH85" s="13" t="str">
        <f t="shared" si="11"/>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IF(
  AND(
    $A86&lt;&gt;"",
    COUNTIF(C:C,$A86)&gt;1
  ),
  "★NG★",
  ""
)</f>
        <v/>
      </c>
      <c r="S86" s="9" t="str">
        <f t="shared" si="8"/>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9"/>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0"/>
        <v/>
      </c>
      <c r="AH86" s="13" t="str">
        <f t="shared" si="11"/>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IF(
  AND(
    $A87&lt;&gt;"",
    COUNTIF(C:C,$A87)&gt;1
  ),
  "★NG★",
  ""
)</f>
        <v/>
      </c>
      <c r="S87" s="9" t="str">
        <f t="shared" si="8"/>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9"/>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0"/>
        <v/>
      </c>
      <c r="AH87" s="13" t="str">
        <f t="shared" si="11"/>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IF(
  AND(
    $A88&lt;&gt;"",
    COUNTIF(C:C,$A88)&gt;1
  ),
  "★NG★",
  ""
)</f>
        <v/>
      </c>
      <c r="S88" s="9" t="str">
        <f t="shared" si="8"/>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9"/>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0"/>
        <v/>
      </c>
      <c r="AH88" s="13" t="str">
        <f t="shared" si="11"/>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IF(
  AND(
    $A89&lt;&gt;"",
    COUNTIF(C:C,$A89)&gt;1
  ),
  "★NG★",
  ""
)</f>
        <v/>
      </c>
      <c r="S89" s="9" t="str">
        <f t="shared" si="8"/>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9"/>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0"/>
        <v/>
      </c>
      <c r="AH89" s="13" t="str">
        <f t="shared" si="11"/>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IF(
  AND(
    $A90&lt;&gt;"",
    COUNTIF(C:C,$A90)&gt;1
  ),
  "★NG★",
  ""
)</f>
        <v/>
      </c>
      <c r="S90" s="9" t="str">
        <f t="shared" si="8"/>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9"/>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0"/>
        <v/>
      </c>
      <c r="AH90" s="13" t="str">
        <f t="shared" si="11"/>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IF(
  AND(
    $A91&lt;&gt;"",
    COUNTIF(C:C,$A91)&gt;1
  ),
  "★NG★",
  ""
)</f>
        <v/>
      </c>
      <c r="S91" s="9" t="str">
        <f t="shared" si="8"/>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9"/>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0"/>
        <v/>
      </c>
      <c r="AH91" s="13" t="str">
        <f t="shared" si="11"/>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IF(
  AND(
    $A92&lt;&gt;"",
    COUNTIF(C:C,$A92)&gt;1
  ),
  "★NG★",
  ""
)</f>
        <v/>
      </c>
      <c r="S92" s="9" t="str">
        <f t="shared" si="8"/>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9"/>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0"/>
        <v/>
      </c>
      <c r="AH92" s="13" t="str">
        <f t="shared" si="11"/>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IF(
  AND(
    $A93&lt;&gt;"",
    COUNTIF(C:C,$A93)&gt;1
  ),
  "★NG★",
  ""
)</f>
        <v/>
      </c>
      <c r="S93" s="9" t="str">
        <f t="shared" si="8"/>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9"/>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0"/>
        <v/>
      </c>
      <c r="AH93" s="13" t="str">
        <f t="shared" si="11"/>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IF(
  AND(
    $A94&lt;&gt;"",
    COUNTIF(C:C,$A94)&gt;1
  ),
  "★NG★",
  ""
)</f>
        <v/>
      </c>
      <c r="S94" s="9" t="str">
        <f t="shared" si="8"/>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9"/>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0"/>
        <v/>
      </c>
      <c r="AH94" s="13" t="str">
        <f t="shared" si="11"/>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IF(
  AND(
    $A95&lt;&gt;"",
    COUNTIF(C:C,$A95)&gt;1
  ),
  "★NG★",
  ""
)</f>
        <v/>
      </c>
      <c r="S95" s="9" t="str">
        <f t="shared" si="8"/>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9"/>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0"/>
        <v/>
      </c>
      <c r="AH95" s="13" t="str">
        <f t="shared" si="11"/>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IF(
  AND(
    $A96&lt;&gt;"",
    COUNTIF(C:C,$A96)&gt;1
  ),
  "★NG★",
  ""
)</f>
        <v/>
      </c>
      <c r="S96" s="9" t="str">
        <f t="shared" si="8"/>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9"/>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0"/>
        <v/>
      </c>
      <c r="AH96" s="13" t="str">
        <f t="shared" si="11"/>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IF(
  AND(
    $A97&lt;&gt;"",
    COUNTIF(C:C,$A97)&gt;1
  ),
  "★NG★",
  ""
)</f>
        <v/>
      </c>
      <c r="S97" s="9" t="str">
        <f t="shared" si="8"/>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9"/>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0"/>
        <v/>
      </c>
      <c r="AH97" s="13" t="str">
        <f t="shared" si="11"/>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IF(
  AND(
    $A98&lt;&gt;"",
    COUNTIF(C:C,$A98)&gt;1
  ),
  "★NG★",
  ""
)</f>
        <v/>
      </c>
      <c r="S98" s="9" t="str">
        <f t="shared" si="8"/>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9"/>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0"/>
        <v/>
      </c>
      <c r="AH98" s="13" t="str">
        <f t="shared" si="11"/>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IF(
  AND(
    $A99&lt;&gt;"",
    COUNTIF(C:C,$A99)&gt;1
  ),
  "★NG★",
  ""
)</f>
        <v/>
      </c>
      <c r="S99" s="9" t="str">
        <f t="shared" si="8"/>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9"/>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0"/>
        <v/>
      </c>
      <c r="AH99" s="13" t="str">
        <f t="shared" si="11"/>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IF(
  AND(
    $A100&lt;&gt;"",
    COUNTIF(C:C,$A100)&gt;1
  ),
  "★NG★",
  ""
)</f>
        <v/>
      </c>
      <c r="S100" s="9" t="str">
        <f t="shared" si="8"/>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9"/>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0"/>
        <v/>
      </c>
      <c r="AH100" s="13" t="str">
        <f t="shared" si="11"/>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IF(
  AND(
    $A101&lt;&gt;"",
    COUNTIF(C:C,$A101)&gt;1
  ),
  "★NG★",
  ""
)</f>
        <v/>
      </c>
      <c r="S101" s="9" t="str">
        <f t="shared" si="8"/>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9"/>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0"/>
        <v/>
      </c>
      <c r="AH101" s="13" t="str">
        <f t="shared" si="11"/>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IF(
  AND(
    $A102&lt;&gt;"",
    COUNTIF(C:C,$A102)&gt;1
  ),
  "★NG★",
  ""
)</f>
        <v/>
      </c>
      <c r="S102" s="9" t="str">
        <f t="shared" si="8"/>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9"/>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0"/>
        <v/>
      </c>
      <c r="AH102" s="13" t="str">
        <f t="shared" si="11"/>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IF(
  AND(
    $A103&lt;&gt;"",
    COUNTIF(C:C,$A103)&gt;1
  ),
  "★NG★",
  ""
)</f>
        <v/>
      </c>
      <c r="S103" s="9" t="str">
        <f t="shared" si="8"/>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9"/>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0"/>
        <v/>
      </c>
      <c r="AH103" s="13" t="str">
        <f t="shared" si="11"/>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IF(
  AND(
    $A104&lt;&gt;"",
    COUNTIF(C:C,$A104)&gt;1
  ),
  "★NG★",
  ""
)</f>
        <v/>
      </c>
      <c r="S104" s="9" t="str">
        <f t="shared" si="8"/>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9"/>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0"/>
        <v/>
      </c>
      <c r="AH104" s="13" t="str">
        <f t="shared" si="11"/>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IF(
  AND(
    $A105&lt;&gt;"",
    COUNTIF(C:C,$A105)&gt;1
  ),
  "★NG★",
  ""
)</f>
        <v/>
      </c>
      <c r="S105" s="9" t="str">
        <f t="shared" si="8"/>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9"/>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0"/>
        <v/>
      </c>
      <c r="AH105" s="13" t="str">
        <f t="shared" si="11"/>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IF(
  AND(
    $A106&lt;&gt;"",
    COUNTIF(C:C,$A106)&gt;1
  ),
  "★NG★",
  ""
)</f>
        <v/>
      </c>
      <c r="S106" s="9" t="str">
        <f t="shared" ref="S106:S153" si="12">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3" si="13">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3" si="14">IF(
  AND($A106&lt;&gt;"",$O106&lt;&gt;"-",$O106&lt;&gt;""),
  (
    "schtasks /create /tn """&amp;$O106&amp;""" /tr """&amp;$C106&amp;""" /sc daily /st "&amp;$P106&amp;" /rl highest"
  ),
  ""
)</f>
        <v/>
      </c>
      <c r="AH106" s="13" t="str">
        <f t="shared" ref="AH106:AH153" si="15">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IF(
  AND(
    $A107&lt;&gt;"",
    COUNTIF(C:C,$A107)&gt;1
  ),
  "★NG★",
  ""
)</f>
        <v/>
      </c>
      <c r="S107" s="9" t="str">
        <f t="shared" si="12"/>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3"/>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4"/>
        <v/>
      </c>
      <c r="AH107" s="13" t="str">
        <f t="shared" si="15"/>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IF(
  AND(
    $A108&lt;&gt;"",
    COUNTIF(C:C,$A108)&gt;1
  ),
  "★NG★",
  ""
)</f>
        <v/>
      </c>
      <c r="S108" s="9" t="str">
        <f t="shared" si="12"/>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3"/>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4"/>
        <v/>
      </c>
      <c r="AH108" s="13" t="str">
        <f t="shared" si="15"/>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IF(
  AND(
    $A109&lt;&gt;"",
    COUNTIF(C:C,$A109)&gt;1
  ),
  "★NG★",
  ""
)</f>
        <v/>
      </c>
      <c r="S109" s="9" t="str">
        <f t="shared" si="12"/>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3"/>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4"/>
        <v/>
      </c>
      <c r="AH109" s="13" t="str">
        <f t="shared" si="15"/>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IF(
  AND(
    $A110&lt;&gt;"",
    COUNTIF(C:C,$A110)&gt;1
  ),
  "★NG★",
  ""
)</f>
        <v/>
      </c>
      <c r="S110" s="9" t="str">
        <f t="shared" si="12"/>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3"/>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4"/>
        <v/>
      </c>
      <c r="AH110" s="13" t="str">
        <f t="shared" si="15"/>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IF(
  AND(
    $A111&lt;&gt;"",
    COUNTIF(C:C,$A111)&gt;1
  ),
  "★NG★",
  ""
)</f>
        <v/>
      </c>
      <c r="S111" s="9" t="str">
        <f t="shared" si="12"/>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3"/>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4"/>
        <v/>
      </c>
      <c r="AH111" s="13" t="str">
        <f t="shared" si="15"/>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IF(
  AND(
    $A112&lt;&gt;"",
    COUNTIF(C:C,$A112)&gt;1
  ),
  "★NG★",
  ""
)</f>
        <v/>
      </c>
      <c r="S112" s="9" t="str">
        <f t="shared" si="12"/>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3"/>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4"/>
        <v/>
      </c>
      <c r="AH112" s="13" t="str">
        <f t="shared" si="15"/>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IF(
  AND(
    $A113&lt;&gt;"",
    COUNTIF(C:C,$A113)&gt;1
  ),
  "★NG★",
  ""
)</f>
        <v/>
      </c>
      <c r="S113" s="9" t="str">
        <f t="shared" si="12"/>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3"/>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4"/>
        <v/>
      </c>
      <c r="AH113" s="13" t="str">
        <f t="shared" si="15"/>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IF(
  AND(
    $A114&lt;&gt;"",
    COUNTIF(C:C,$A114)&gt;1
  ),
  "★NG★",
  ""
)</f>
        <v/>
      </c>
      <c r="S114" s="9" t="str">
        <f t="shared" si="12"/>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3"/>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4"/>
        <v/>
      </c>
      <c r="AH114" s="13" t="str">
        <f t="shared" si="15"/>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IF(
  AND(
    $A115&lt;&gt;"",
    COUNTIF(C:C,$A115)&gt;1
  ),
  "★NG★",
  ""
)</f>
        <v/>
      </c>
      <c r="S115" s="9" t="str">
        <f t="shared" si="12"/>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3"/>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4"/>
        <v/>
      </c>
      <c r="AH115" s="13" t="str">
        <f t="shared" si="15"/>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IF(
  AND(
    $A116&lt;&gt;"",
    COUNTIF(C:C,$A116)&gt;1
  ),
  "★NG★",
  ""
)</f>
        <v/>
      </c>
      <c r="S116" s="9" t="str">
        <f t="shared" si="12"/>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3"/>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4"/>
        <v/>
      </c>
      <c r="AH116" s="13" t="str">
        <f t="shared" si="15"/>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IF(
  AND(
    $A117&lt;&gt;"",
    COUNTIF(C:C,$A117)&gt;1
  ),
  "★NG★",
  ""
)</f>
        <v/>
      </c>
      <c r="S117" s="9" t="str">
        <f t="shared" si="12"/>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3"/>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4"/>
        <v/>
      </c>
      <c r="AH117" s="13" t="str">
        <f t="shared" si="15"/>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IF(
  AND(
    $A118&lt;&gt;"",
    COUNTIF(C:C,$A118)&gt;1
  ),
  "★NG★",
  ""
)</f>
        <v/>
      </c>
      <c r="S118" s="9" t="str">
        <f t="shared" si="12"/>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3"/>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4"/>
        <v/>
      </c>
      <c r="AH118" s="13" t="str">
        <f t="shared" si="15"/>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IF(
  AND(
    $A119&lt;&gt;"",
    COUNTIF(C:C,$A119)&gt;1
  ),
  "★NG★",
  ""
)</f>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IF(
  AND(
    $A120&lt;&gt;"",
    COUNTIF(C:C,$A120)&gt;1
  ),
  "★NG★",
  ""
)</f>
        <v/>
      </c>
      <c r="S120" s="9" t="str">
        <f t="shared" si="12"/>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3"/>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4"/>
        <v/>
      </c>
      <c r="AH120" s="13" t="str">
        <f t="shared" si="15"/>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IF(
  AND(
    $A121&lt;&gt;"",
    COUNTIF(C:C,$A121)&gt;1
  ),
  "★NG★",
  ""
)</f>
        <v/>
      </c>
      <c r="S121" s="9" t="str">
        <f t="shared" si="12"/>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3"/>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4"/>
        <v/>
      </c>
      <c r="AH121" s="13" t="str">
        <f t="shared" si="15"/>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IF(
  AND(
    $A122&lt;&gt;"",
    COUNTIF(C:C,$A122)&gt;1
  ),
  "★NG★",
  ""
)</f>
        <v/>
      </c>
      <c r="S122" s="9" t="str">
        <f t="shared" si="12"/>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3"/>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4"/>
        <v/>
      </c>
      <c r="AH122" s="13" t="str">
        <f t="shared" si="15"/>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IF(
  AND(
    $A123&lt;&gt;"",
    COUNTIF(C:C,$A123)&gt;1
  ),
  "★NG★",
  ""
)</f>
        <v/>
      </c>
      <c r="S123" s="9" t="str">
        <f t="shared" si="12"/>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3"/>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4"/>
        <v/>
      </c>
      <c r="AH123" s="13" t="str">
        <f t="shared" si="15"/>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IF(
  AND(
    $A124&lt;&gt;"",
    COUNTIF(C:C,$A124)&gt;1
  ),
  "★NG★",
  ""
)</f>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IF(
  AND(
    $A125&lt;&gt;"",
    COUNTIF(C:C,$A125)&gt;1
  ),
  "★NG★",
  ""
)</f>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IF(
  AND(
    $A126&lt;&gt;"",
    COUNTIF(C:C,$A126)&gt;1
  ),
  "★NG★",
  ""
)</f>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IF(
  AND(
    $A127&lt;&gt;"",
    COUNTIF(C:C,$A127)&gt;1
  ),
  "★NG★",
  ""
)</f>
        <v/>
      </c>
      <c r="S127" s="9" t="str">
        <f t="shared" ref="S127" si="16">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7">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18">IF(
  AND($A127&lt;&gt;"",$O127&lt;&gt;"-",$O127&lt;&gt;""),
  (
    "schtasks /create /tn """&amp;$O127&amp;""" /tr """&amp;$C127&amp;""" /sc daily /st "&amp;$P127&amp;" /rl highest"
  ),
  ""
)</f>
        <v/>
      </c>
      <c r="AH127" s="13" t="str">
        <f t="shared" ref="AH127" si="19">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IF(
  AND(
    $A128&lt;&gt;"",
    COUNTIF(C:C,$A128)&gt;1
  ),
  "★NG★",
  ""
)</f>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IF(
  AND(
    $A129&lt;&gt;"",
    COUNTIF(C:C,$A129)&gt;1
  ),
  "★NG★",
  ""
)</f>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IF(
  AND(
    $A130&lt;&gt;"",
    COUNTIF(C:C,$A130)&gt;1
  ),
  "★NG★",
  ""
)</f>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1569</v>
      </c>
      <c r="B131" s="9" t="s">
        <v>1570</v>
      </c>
      <c r="C131" s="9" t="s">
        <v>1568</v>
      </c>
      <c r="D131" s="15" t="s">
        <v>1571</v>
      </c>
      <c r="E131" s="26" t="s">
        <v>1571</v>
      </c>
      <c r="F131" s="15" t="s">
        <v>0</v>
      </c>
      <c r="G131" s="15" t="s">
        <v>0</v>
      </c>
      <c r="H131" s="9" t="s">
        <v>72</v>
      </c>
      <c r="I131" s="15" t="s">
        <v>0</v>
      </c>
      <c r="J131" s="15" t="s">
        <v>1571</v>
      </c>
      <c r="K131" s="15" t="s">
        <v>1571</v>
      </c>
      <c r="L131" s="93" t="s">
        <v>1571</v>
      </c>
      <c r="M131" s="94" t="s">
        <v>1571</v>
      </c>
      <c r="N131" s="15" t="s">
        <v>0</v>
      </c>
      <c r="O131" s="26" t="s">
        <v>1571</v>
      </c>
      <c r="P131" s="157" t="s">
        <v>1571</v>
      </c>
      <c r="Q131" s="26" t="s">
        <v>1571</v>
      </c>
      <c r="R131" s="9" t="str">
        <f>IF(
  AND(
    $A131&lt;&gt;"",
    COUNTIF(C:C,$A131)&gt;1
  ),
  "★NG★",
  ""
)</f>
        <v/>
      </c>
      <c r="S131" s="9" t="str">
        <f>IF(
  OR(
    $H131="",
    $H131="-",
    COUNTIF(カテゴリ,$H131)&gt;0
  ),
  "",
  "★NG★"
)</f>
        <v/>
      </c>
      <c r="T131" s="13" t="str">
        <f ca="1">IF(
  AND($A131&lt;&gt;"",$I131="○"),
  (
    "mkdir """&amp;V131&amp;""" &amp; "
  )&amp;(
    """"&amp;shortcut設定!$F$7&amp;""""&amp;
    " """&amp;V131&amp;"\"&amp;$A131&amp;"（"&amp;$B131&amp;"）.lnk"""&amp;
    " """&amp;$C131&amp;""""&amp;
    IF($D131="-"," """""," """&amp;$D131&amp;"""")&amp;
    IF($E131="-"," """""," """&amp;$E131&amp;"""")
  ),
  ""
)</f>
        <v>mkdir "%USERPROFILE%\AppData\Roaming\Microsoft\Windows\Start Menu\Programs\171_Utility_System" &amp; "C:\codes\vbs\command\CreateShortcutFile.vbs" "%USERPROFILE%\AppData\Roaming\Microsoft\Windows\Start Menu\Programs\171_Utility_System\SoundSwitcher（サウンド切り替え）.lnk" "C:\prg_exe\SoundSwitcher\SoundSwitcher.exe" "" ""</v>
      </c>
      <c r="U131" s="9" t="str">
        <f ca="1">IFERROR(
  VLOOKUP(
    $H131,
    shortcut設定!$F:$J,
    MATCH(
      "ProgramsIndex",
      shortcut設定!$F$12:$J$12,
      0
    ),
    FALSE
  ),
  ""
)</f>
        <v>171</v>
      </c>
      <c r="V131" s="13" t="str">
        <f ca="1">IF(
  AND($A131&lt;&gt;"",$I131="○"),
  shortcut設定!$F$4&amp;"\"&amp;U131&amp;"_"&amp;H131,
  ""
)</f>
        <v>%USERPROFILE%\AppData\Roaming\Microsoft\Windows\Start Menu\Programs\171_Utility_System</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171</v>
      </c>
      <c r="AC131" s="20" t="str">
        <f>IF(AND($M131&lt;&gt;"",$M131&lt;&gt;"-")," (&amp;"&amp;$M131&amp;")","")</f>
        <v/>
      </c>
      <c r="AD131" s="13" t="str">
        <f>IF(
  AND($A131&lt;&gt;"",$L131="○"),
  shortcut設定!$F$5&amp;"\"&amp;AB131&amp;"_"&amp;A131&amp;"（"&amp;B131&amp;"）"&amp;AC131&amp;".lnk",
  ""
)</f>
        <v/>
      </c>
      <c r="AE131" s="13" t="str">
        <f>IF(
  AND($A131&lt;&gt;"",$N131="○"),
  (
    """"&amp;shortcut設定!$F$7&amp;""""&amp;
    " """&amp;$AF131&amp;""""&amp;
    " """&amp;$C131&amp;""""&amp;
    IF($D131="-"," """""," """&amp;$D131&amp;"""")&amp;
    IF($E131="-"," """""," """&amp;$E131&amp;"""")
  ),
  ""
)</f>
        <v>"C:\codes\vbs\command\CreateShortcutFile.vbs" "%USERPROFILE%\AppData\Roaming\Microsoft\Windows\Start Menu\Programs\Startup\SoundSwitcher（サウンド切り替え）.lnk" "C:\prg_exe\SoundSwitcher\SoundSwitcher.exe" "" ""</v>
      </c>
      <c r="AF131" s="9" t="str">
        <f>IF(
  AND($A131&lt;&gt;"",$N131="○"),
  shortcut設定!$F$6&amp;"\"&amp;A131&amp;"（"&amp;B131&amp;"）.lnk",
  ""
)</f>
        <v>%USERPROFILE%\AppData\Roaming\Microsoft\Windows\Start Menu\Programs\Startup\SoundSwitcher（サウンド切り替え）.lnk</v>
      </c>
      <c r="AG131" s="13" t="str">
        <f>IF(
  AND($A131&lt;&gt;"",$O131&lt;&gt;"-",$O131&lt;&gt;""),
  (
    "schtasks /create /tn """&amp;$O131&amp;""" /tr """&amp;$C131&amp;""" /sc daily /st "&amp;$P131&amp;" /rl highest"
  ),
  ""
)</f>
        <v/>
      </c>
      <c r="AH131" s="13" t="str">
        <f>IF(
  AND($A131&lt;&gt;"",$O131&lt;&gt;"-",$O131&lt;&gt;""),
  (
    "schtasks /delete /tn """&amp;$O131&amp;""""
  ),
  ""
)</f>
        <v/>
      </c>
      <c r="AI131" s="13" t="str">
        <f>IF(
  AND($A131&lt;&gt;"",$Q131&lt;&gt;"-",$Q131&lt;&gt;""),
  (
    """"&amp;shortcut設定!$F$7&amp;""""&amp;
    " """&amp;$Q131&amp;".lnk"""&amp;
    " """&amp;$C131&amp;""""&amp;
    IF($D131="-"," """""," """&amp;$D131&amp;"""")&amp;
    IF($E131="-"," """""," """&amp;$E131&amp;"""")
  ),
  ""
)</f>
        <v/>
      </c>
      <c r="AJ131" s="91" t="s">
        <v>174</v>
      </c>
    </row>
    <row r="132" spans="1:36">
      <c r="A132" s="9" t="s">
        <v>1581</v>
      </c>
      <c r="B132" s="9" t="s">
        <v>1582</v>
      </c>
      <c r="C132" s="9" t="s">
        <v>1580</v>
      </c>
      <c r="D132" s="15" t="s">
        <v>39</v>
      </c>
      <c r="E132" s="26" t="s">
        <v>39</v>
      </c>
      <c r="F132" s="15" t="s">
        <v>0</v>
      </c>
      <c r="G132" s="15" t="s">
        <v>27</v>
      </c>
      <c r="H132" s="9" t="s">
        <v>68</v>
      </c>
      <c r="I132" s="15" t="s">
        <v>0</v>
      </c>
      <c r="J132" s="15" t="s">
        <v>39</v>
      </c>
      <c r="K132" s="15" t="s">
        <v>39</v>
      </c>
      <c r="L132" s="93" t="s">
        <v>39</v>
      </c>
      <c r="M132" s="94" t="s">
        <v>39</v>
      </c>
      <c r="N132" s="15" t="s">
        <v>39</v>
      </c>
      <c r="O132" s="26" t="s">
        <v>39</v>
      </c>
      <c r="P132" s="157" t="s">
        <v>39</v>
      </c>
      <c r="Q132" s="26" t="s">
        <v>39</v>
      </c>
      <c r="R132" s="9" t="str">
        <f>IF(
  AND(
    $A132&lt;&gt;"",
    COUNTIF(C:C,$A132)&gt;1
  ),
  "★NG★",
  ""
)</f>
        <v/>
      </c>
      <c r="S132" s="9" t="str">
        <f>IF(
  OR(
    $H132="",
    $H132="-",
    COUNTIF(カテゴリ,$H132)&gt;0
  ),
  "",
  "★NG★"
)</f>
        <v/>
      </c>
      <c r="T132" s="13" t="str">
        <f ca="1">IF(
  AND($A132&lt;&gt;"",$I132="○"),
  (
    "mkdir """&amp;V132&amp;""" &amp; "
  )&amp;(
    """"&amp;shortcut設定!$F$7&amp;""""&amp;
    " """&amp;V132&amp;"\"&amp;$A132&amp;"（"&amp;$B132&amp;"）.lnk"""&amp;
    " """&amp;$C132&amp;""""&amp;
    IF($D132="-"," """""," """&amp;$D132&amp;"""")&amp;
    IF($E132="-"," """""," """&amp;$E132&amp;"""")
  ),
  ""
)</f>
        <v>mkdir "%USERPROFILE%\AppData\Roaming\Microsoft\Windows\Start Menu\Programs\172_Utility_Other" &amp; "C:\codes\vbs\command\CreateShortcutFile.vbs" "%USERPROFILE%\AppData\Roaming\Microsoft\Windows\Start Menu\Programs\172_Utility_Other\Cryptomator（ファイル暗号化）.lnk" "C:\prg_exe\Cryptomator\app\Cryptomator.exe" "" ""</v>
      </c>
      <c r="U132" s="9" t="str">
        <f ca="1">IFERROR(
  VLOOKUP(
    $H132,
    shortcut設定!$F:$J,
    MATCH(
      "ProgramsIndex",
      shortcut設定!$F$12:$J$12,
      0
    ),
    FALSE
  ),
  ""
)</f>
        <v>172</v>
      </c>
      <c r="V132" s="13" t="str">
        <f ca="1">IF(
  AND($A132&lt;&gt;"",$I132="○"),
  shortcut設定!$F$4&amp;"\"&amp;U132&amp;"_"&amp;H132,
  ""
)</f>
        <v>%USERPROFILE%\AppData\Roaming\Microsoft\Windows\Start Menu\Programs\172_Utility_Other</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172</v>
      </c>
      <c r="AC132" s="20" t="str">
        <f>IF(AND($M132&lt;&gt;"",$M132&lt;&gt;"-")," (&amp;"&amp;$M132&amp;")","")</f>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IF(
  AND($A132&lt;&gt;"",$O132&lt;&gt;"-",$O132&lt;&gt;""),
  (
    "schtasks /create /tn """&amp;$O132&amp;""" /tr """&amp;$C132&amp;""" /sc daily /st "&amp;$P132&amp;" /rl highest"
  ),
  ""
)</f>
        <v/>
      </c>
      <c r="AH132" s="13" t="str">
        <f>IF(
  AND($A132&lt;&gt;"",$O132&lt;&gt;"-",$O132&lt;&gt;""),
  (
    "schtasks /delete /tn """&amp;$O132&amp;""""
  ),
  ""
)</f>
        <v/>
      </c>
      <c r="AI132" s="13" t="str">
        <f>IF(
  AND($A132&lt;&gt;"",$Q132&lt;&gt;"-",$Q132&lt;&gt;""),
  (
    """"&amp;shortcut設定!$F$7&amp;""""&amp;
    " """&amp;$Q132&amp;".lnk"""&amp;
    " """&amp;$C132&amp;""""&amp;
    IF($D132="-"," """""," """&amp;$D132&amp;"""")&amp;
    IF($E132="-"," """""," """&amp;$E132&amp;"""")
  ),
  ""
)</f>
        <v/>
      </c>
      <c r="AJ132" s="91" t="s">
        <v>174</v>
      </c>
    </row>
    <row r="133" spans="1:36">
      <c r="A133" s="9" t="s">
        <v>647</v>
      </c>
      <c r="B133" s="9" t="s">
        <v>784</v>
      </c>
      <c r="C133" s="9" t="s">
        <v>159</v>
      </c>
      <c r="D133" s="15" t="s">
        <v>39</v>
      </c>
      <c r="E133" s="26" t="s">
        <v>39</v>
      </c>
      <c r="F133" s="15" t="s">
        <v>166</v>
      </c>
      <c r="G133" s="15" t="s">
        <v>149</v>
      </c>
      <c r="H133" s="9" t="s">
        <v>77</v>
      </c>
      <c r="I133" s="15" t="s">
        <v>841</v>
      </c>
      <c r="J133" s="15" t="s">
        <v>64</v>
      </c>
      <c r="K133" s="15" t="s">
        <v>64</v>
      </c>
      <c r="L133" s="93" t="s">
        <v>64</v>
      </c>
      <c r="M133" s="94" t="s">
        <v>545</v>
      </c>
      <c r="N133" s="15" t="s">
        <v>64</v>
      </c>
      <c r="O133" s="26" t="s">
        <v>1230</v>
      </c>
      <c r="P133" s="157" t="s">
        <v>1230</v>
      </c>
      <c r="Q133" s="26" t="s">
        <v>935</v>
      </c>
      <c r="R133" s="9" t="str">
        <f>IF(
  AND(
    $A133&lt;&gt;"",
    COUNTIF(C:C,$A133)&gt;1
  ),
  "★NG★",
  ""
)</f>
        <v/>
      </c>
      <c r="S133" s="9" t="str">
        <f t="shared" si="12"/>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Menu\Programs\123_Doc_Edit\LibreOffice（Office互換）.lnk" "C:\prg\LibreOffice\program\soffice.exe"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3"/>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4"/>
        <v/>
      </c>
      <c r="AH133" s="13" t="str">
        <f t="shared" si="15"/>
        <v/>
      </c>
      <c r="AI133" s="13" t="str">
        <f>IF(
  AND($A133&lt;&gt;"",$Q133&lt;&gt;"-",$Q133&lt;&gt;""),
  (
    """"&amp;shortcut設定!$F$7&amp;""""&amp;
    " """&amp;$Q133&amp;".lnk"""&amp;
    " """&amp;$C133&amp;""""&amp;
    IF($D133="-"," """""," """&amp;$D133&amp;"""")&amp;
    IF($E133="-"," """""," """&amp;$E133&amp;"""")
  ),
  ""
)</f>
        <v/>
      </c>
      <c r="AJ133" s="91" t="s">
        <v>174</v>
      </c>
    </row>
    <row r="134" spans="1:36">
      <c r="A134" s="9" t="s">
        <v>460</v>
      </c>
      <c r="B134" s="9" t="s">
        <v>739</v>
      </c>
      <c r="C134" s="9" t="s">
        <v>160</v>
      </c>
      <c r="D134" s="15" t="s">
        <v>39</v>
      </c>
      <c r="E134" s="26" t="s">
        <v>39</v>
      </c>
      <c r="F134" s="15" t="s">
        <v>166</v>
      </c>
      <c r="G134" s="15" t="s">
        <v>149</v>
      </c>
      <c r="H134" s="9" t="s">
        <v>78</v>
      </c>
      <c r="I134" s="15" t="s">
        <v>841</v>
      </c>
      <c r="J134" s="15" t="s">
        <v>64</v>
      </c>
      <c r="K134" s="15" t="s">
        <v>64</v>
      </c>
      <c r="L134" s="93" t="s">
        <v>64</v>
      </c>
      <c r="M134" s="94" t="s">
        <v>545</v>
      </c>
      <c r="N134" s="15" t="s">
        <v>64</v>
      </c>
      <c r="O134" s="26" t="s">
        <v>1230</v>
      </c>
      <c r="P134" s="157" t="s">
        <v>1230</v>
      </c>
      <c r="Q134" s="26" t="s">
        <v>935</v>
      </c>
      <c r="R134" s="9" t="str">
        <f>IF(
  AND(
    $A134&lt;&gt;"",
    COUNTIF(C:C,$A134)&gt;1
  ),
  "★NG★",
  ""
)</f>
        <v/>
      </c>
      <c r="S134" s="9" t="str">
        <f t="shared" si="12"/>
        <v/>
      </c>
      <c r="T134" s="13" t="str">
        <f ca="1">IF(
  AND($A134&lt;&gt;"",$I134="○"),
  (
    "mkdir """&amp;V134&amp;""" &amp; "
  )&amp;(
    """"&amp;shortcut設定!$F$7&amp;""""&amp;
    " """&amp;V134&amp;"\"&amp;$A134&amp;"（"&amp;$B134&amp;"）.lnk"""&amp;
    " """&amp;$C134&amp;""""&amp;
    IF($D134="-"," """""," """&amp;$D134&amp;"""")&amp;
    IF($E134="-"," """""," """&amp;$E134&amp;"""")
  ),
  ""
)</f>
        <v>mkdir "%USERPROFILE%\AppData\Roaming\Microsoft\Windows\Start Menu\Programs\133_Music_Listen" &amp; "C:\codes\vbs\command\CreateShortcutFile.vbs" "%USERPROFILE%\AppData\Roaming\Microsoft\Windows\Start Menu\Programs\133_Music_Listen\iTunes（音楽再生）.lnk" "C:\prg\iTunes\iTunes.exe" "" ""</v>
      </c>
      <c r="U134" s="9" t="str">
        <f ca="1">IFERROR(
  VLOOKUP(
    $H134,
    shortcut設定!$F:$J,
    MATCH(
      "ProgramsIndex",
      shortcut設定!$F$12:$J$12,
      0
    ),
    FALSE
  ),
  ""
)</f>
        <v>133</v>
      </c>
      <c r="V134" s="13" t="str">
        <f ca="1">IF(
  AND($A134&lt;&gt;"",$I134="○"),
  shortcut設定!$F$4&amp;"\"&amp;U134&amp;"_"&amp;H134,
  ""
)</f>
        <v>%USERPROFILE%\AppData\Roaming\Microsoft\Windows\Start Menu\Programs\133_Music_Listen</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133</v>
      </c>
      <c r="AC134" s="20" t="str">
        <f t="shared" si="13"/>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4"/>
        <v/>
      </c>
      <c r="AH134" s="13" t="str">
        <f t="shared" si="15"/>
        <v/>
      </c>
      <c r="AI134" s="13" t="str">
        <f>IF(
  AND($A134&lt;&gt;"",$Q134&lt;&gt;"-",$Q134&lt;&gt;""),
  (
    """"&amp;shortcut設定!$F$7&amp;""""&amp;
    " """&amp;$Q134&amp;".lnk"""&amp;
    " """&amp;$C134&amp;""""&amp;
    IF($D134="-"," """""," """&amp;$D134&amp;"""")&amp;
    IF($E134="-"," """""," """&amp;$E134&amp;"""")
  ),
  ""
)</f>
        <v/>
      </c>
      <c r="AJ134" s="91" t="s">
        <v>174</v>
      </c>
    </row>
    <row r="135" spans="1:36">
      <c r="A135" s="9" t="s">
        <v>52</v>
      </c>
      <c r="B135" s="9" t="s">
        <v>787</v>
      </c>
      <c r="C135" s="9" t="s">
        <v>88</v>
      </c>
      <c r="D135" s="15" t="s">
        <v>39</v>
      </c>
      <c r="E135" s="26" t="s">
        <v>39</v>
      </c>
      <c r="F135" s="15" t="s">
        <v>166</v>
      </c>
      <c r="G135" s="15" t="s">
        <v>149</v>
      </c>
      <c r="H135" s="9" t="s">
        <v>68</v>
      </c>
      <c r="I135" s="15" t="s">
        <v>841</v>
      </c>
      <c r="J135" s="15" t="s">
        <v>64</v>
      </c>
      <c r="K135" s="15" t="s">
        <v>64</v>
      </c>
      <c r="L135" s="93" t="s">
        <v>64</v>
      </c>
      <c r="M135" s="94" t="s">
        <v>545</v>
      </c>
      <c r="N135" s="15" t="s">
        <v>64</v>
      </c>
      <c r="O135" s="26" t="s">
        <v>1230</v>
      </c>
      <c r="P135" s="157" t="s">
        <v>1230</v>
      </c>
      <c r="Q135" s="26" t="s">
        <v>935</v>
      </c>
      <c r="R135" s="9" t="str">
        <f>IF(
  AND(
    $A135&lt;&gt;"",
    COUNTIF(C:C,$A135)&gt;1
  ),
  "★NG★",
  ""
)</f>
        <v/>
      </c>
      <c r="S135" s="9" t="str">
        <f t="shared" si="12"/>
        <v/>
      </c>
      <c r="T135" s="13" t="str">
        <f ca="1">IF(
  AND($A135&lt;&gt;"",$I135="○"),
  (
    "mkdir """&amp;V135&amp;""" &amp; "
  )&amp;(
    """"&amp;shortcut設定!$F$7&amp;""""&amp;
    " """&amp;V135&amp;"\"&amp;$A135&amp;"（"&amp;$B135&amp;"）.lnk"""&amp;
    " """&amp;$C135&amp;""""&amp;
    IF($D135="-"," """""," """&amp;$D135&amp;"""")&amp;
    IF($E135="-"," """""," """&amp;$E135&amp;"""")
  ),
  ""
)</f>
        <v>mkdir "%USERPROFILE%\AppData\Roaming\Microsoft\Windows\Start Menu\Programs\172_Utility_Other" &amp; "C:\codes\vbs\command\CreateShortcutFile.vbs" "%USERPROFILE%\AppData\Roaming\Microsoft\Windows\Start Menu\Programs\172_Utility_Other\Anki（暗記補助）.lnk" "C:\prg\Anki\anki.exe" "" ""</v>
      </c>
      <c r="U135" s="9" t="str">
        <f ca="1">IFERROR(
  VLOOKUP(
    $H135,
    shortcut設定!$F:$J,
    MATCH(
      "ProgramsIndex",
      shortcut設定!$F$12:$J$12,
      0
    ),
    FALSE
  ),
  ""
)</f>
        <v>172</v>
      </c>
      <c r="V135" s="13" t="str">
        <f ca="1">IF(
  AND($A135&lt;&gt;"",$I135="○"),
  shortcut設定!$F$4&amp;"\"&amp;U135&amp;"_"&amp;H135,
  ""
)</f>
        <v>%USERPROFILE%\AppData\Roaming\Microsoft\Windows\Start Menu\Programs\172_Utility_Other</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172</v>
      </c>
      <c r="AC135" s="20" t="str">
        <f t="shared" si="13"/>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4"/>
        <v/>
      </c>
      <c r="AH135" s="13" t="str">
        <f t="shared" si="15"/>
        <v/>
      </c>
      <c r="AI135" s="13" t="str">
        <f>IF(
  AND($A135&lt;&gt;"",$Q135&lt;&gt;"-",$Q135&lt;&gt;""),
  (
    """"&amp;shortcut設定!$F$7&amp;""""&amp;
    " """&amp;$Q135&amp;".lnk"""&amp;
    " """&amp;$C135&amp;""""&amp;
    IF($D135="-"," """""," """&amp;$D135&amp;"""")&amp;
    IF($E135="-"," """""," """&amp;$E135&amp;"""")
  ),
  ""
)</f>
        <v/>
      </c>
      <c r="AJ135" s="91" t="s">
        <v>174</v>
      </c>
    </row>
    <row r="136" spans="1:36">
      <c r="A136" s="9" t="s">
        <v>650</v>
      </c>
      <c r="B136" s="9" t="s">
        <v>788</v>
      </c>
      <c r="C136" s="9" t="s">
        <v>296</v>
      </c>
      <c r="D136" s="15" t="s">
        <v>39</v>
      </c>
      <c r="E136" s="26" t="s">
        <v>39</v>
      </c>
      <c r="F136" s="15" t="s">
        <v>166</v>
      </c>
      <c r="G136" s="15" t="s">
        <v>149</v>
      </c>
      <c r="H136" s="9" t="s">
        <v>77</v>
      </c>
      <c r="I136" s="15" t="s">
        <v>841</v>
      </c>
      <c r="J136" s="15" t="s">
        <v>64</v>
      </c>
      <c r="K136" s="15" t="s">
        <v>64</v>
      </c>
      <c r="L136" s="93" t="s">
        <v>64</v>
      </c>
      <c r="M136" s="94" t="s">
        <v>545</v>
      </c>
      <c r="N136" s="15" t="s">
        <v>64</v>
      </c>
      <c r="O136" s="26" t="s">
        <v>1230</v>
      </c>
      <c r="P136" s="157" t="s">
        <v>1230</v>
      </c>
      <c r="Q136" s="26" t="s">
        <v>935</v>
      </c>
      <c r="R136" s="9" t="str">
        <f>IF(
  AND(
    $A136&lt;&gt;"",
    COUNTIF(C:C,$A136)&gt;1
  ),
  "★NG★",
  ""
)</f>
        <v/>
      </c>
      <c r="S136" s="9" t="str">
        <f t="shared" si="12"/>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 t="shared" si="13"/>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4"/>
        <v/>
      </c>
      <c r="AH136" s="13" t="str">
        <f t="shared" si="15"/>
        <v/>
      </c>
      <c r="AI136" s="13" t="str">
        <f>IF(
  AND($A136&lt;&gt;"",$Q136&lt;&gt;"-",$Q136&lt;&gt;""),
  (
    """"&amp;shortcut設定!$F$7&amp;""""&amp;
    " """&amp;$Q136&amp;".lnk"""&amp;
    " """&amp;$C136&amp;""""&amp;
    IF($D136="-"," """""," """&amp;$D136&amp;"""")&amp;
    IF($E136="-"," """""," """&amp;$E136&amp;"""")
  ),
  ""
)</f>
        <v/>
      </c>
      <c r="AJ136" s="91" t="s">
        <v>174</v>
      </c>
    </row>
    <row r="137" spans="1:36">
      <c r="A137" s="9" t="s">
        <v>651</v>
      </c>
      <c r="B137" s="9" t="s">
        <v>789</v>
      </c>
      <c r="C137" s="9" t="s">
        <v>297</v>
      </c>
      <c r="D137" s="15" t="s">
        <v>39</v>
      </c>
      <c r="E137" s="26" t="s">
        <v>39</v>
      </c>
      <c r="F137" s="15" t="s">
        <v>166</v>
      </c>
      <c r="G137" s="15" t="s">
        <v>149</v>
      </c>
      <c r="H137" s="9" t="s">
        <v>77</v>
      </c>
      <c r="I137" s="15" t="s">
        <v>841</v>
      </c>
      <c r="J137" s="15" t="s">
        <v>64</v>
      </c>
      <c r="K137" s="15" t="s">
        <v>64</v>
      </c>
      <c r="L137" s="93" t="s">
        <v>64</v>
      </c>
      <c r="M137" s="94" t="s">
        <v>545</v>
      </c>
      <c r="N137" s="15" t="s">
        <v>64</v>
      </c>
      <c r="O137" s="26" t="s">
        <v>1230</v>
      </c>
      <c r="P137" s="157" t="s">
        <v>1230</v>
      </c>
      <c r="Q137" s="26" t="s">
        <v>935</v>
      </c>
      <c r="R137" s="9" t="str">
        <f>IF(
  AND(
    $A137&lt;&gt;"",
    COUNTIF(C:C,$A137)&gt;1
  ),
  "★NG★",
  ""
)</f>
        <v/>
      </c>
      <c r="S137" s="9" t="str">
        <f t="shared" si="12"/>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3"/>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4"/>
        <v/>
      </c>
      <c r="AH137" s="13" t="str">
        <f t="shared" si="15"/>
        <v/>
      </c>
      <c r="AI137" s="13" t="str">
        <f>IF(
  AND($A137&lt;&gt;"",$Q137&lt;&gt;"-",$Q137&lt;&gt;""),
  (
    """"&amp;shortcut設定!$F$7&amp;""""&amp;
    " """&amp;$Q137&amp;".lnk"""&amp;
    " """&amp;$C137&amp;""""&amp;
    IF($D137="-"," """""," """&amp;$D137&amp;"""")&amp;
    IF($E137="-"," """""," """&amp;$E137&amp;"""")
  ),
  ""
)</f>
        <v/>
      </c>
      <c r="AJ137" s="91" t="s">
        <v>174</v>
      </c>
    </row>
    <row r="138" spans="1:36">
      <c r="A138" s="171" t="s">
        <v>1362</v>
      </c>
      <c r="B138" s="9" t="s">
        <v>1363</v>
      </c>
      <c r="C138" s="9" t="s">
        <v>1361</v>
      </c>
      <c r="D138" s="15" t="s">
        <v>39</v>
      </c>
      <c r="E138" s="26" t="s">
        <v>39</v>
      </c>
      <c r="F138" s="15" t="s">
        <v>27</v>
      </c>
      <c r="G138" s="15" t="s">
        <v>0</v>
      </c>
      <c r="H138" s="9" t="s">
        <v>63</v>
      </c>
      <c r="I138" s="15" t="s">
        <v>0</v>
      </c>
      <c r="J138" s="15" t="s">
        <v>934</v>
      </c>
      <c r="K138" s="15" t="s">
        <v>39</v>
      </c>
      <c r="L138" s="93" t="s">
        <v>39</v>
      </c>
      <c r="M138" s="94" t="s">
        <v>39</v>
      </c>
      <c r="N138" s="15" t="s">
        <v>39</v>
      </c>
      <c r="O138" s="26" t="s">
        <v>39</v>
      </c>
      <c r="P138" s="157" t="s">
        <v>39</v>
      </c>
      <c r="Q138" s="26" t="s">
        <v>39</v>
      </c>
      <c r="R138" s="9" t="str">
        <f>IF(
  AND(
    $A138&lt;&gt;"",
    COUNTIF(C:C,$A138)&gt;1
  ),
  "★NG★",
  ""
)</f>
        <v/>
      </c>
      <c r="S138" s="9" t="str">
        <f t="shared" si="12"/>
        <v/>
      </c>
      <c r="T138" s="13" t="str">
        <f ca="1">IF(
  AND($A138&lt;&gt;"",$I138="○"),
  (
    "mkdir """&amp;V138&amp;""" &amp; "
  )&amp;(
    """"&amp;shortcut設定!$F$7&amp;""""&amp;
    " """&amp;V138&amp;"\"&amp;$A138&amp;"（"&amp;$B138&amp;"）.lnk"""&amp;
    " """&amp;$C138&amp;""""&amp;
    IF($D138="-"," """""," """&amp;$D138&amp;"""")&amp;
    IF($E138="-"," """""," """&amp;$E138&amp;"""")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8" s="9" t="str">
        <f ca="1">IFERROR(
  VLOOKUP(
    $H138,
    shortcut設定!$F:$J,
    MATCH(
      "ProgramsIndex",
      shortcut設定!$F$12:$J$12,
      0
    ),
    FALSE
  ),
  ""
)</f>
        <v>113</v>
      </c>
      <c r="V138" s="13" t="str">
        <f ca="1">IF(
  AND($A138&lt;&gt;"",$I138="○"),
  shortcut設定!$F$4&amp;"\"&amp;U138&amp;"_"&amp;H138,
  ""
)</f>
        <v>%USERPROFILE%\AppData\Roaming\Microsoft\Windows\Start Menu\Programs\113_Common_Edit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113</v>
      </c>
      <c r="AC138" s="20" t="str">
        <f t="shared" si="13"/>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 t="shared" si="14"/>
        <v/>
      </c>
      <c r="AH138" s="13" t="str">
        <f t="shared" si="15"/>
        <v/>
      </c>
      <c r="AI138" s="13" t="str">
        <f>IF(
  AND($A138&lt;&gt;"",$Q138&lt;&gt;"-",$Q138&lt;&gt;""),
  (
    """"&amp;shortcut設定!$F$7&amp;""""&amp;
    " """&amp;$Q138&amp;".lnk"""&amp;
    " """&amp;$C138&amp;""""&amp;
    IF($D138="-"," """""," """&amp;$D138&amp;"""")&amp;
    IF($E138="-"," """""," """&amp;$E138&amp;"""")
  ),
  ""
)</f>
        <v/>
      </c>
      <c r="AJ138" s="91" t="s">
        <v>174</v>
      </c>
    </row>
    <row r="139" spans="1:36">
      <c r="A139" s="9" t="s">
        <v>1377</v>
      </c>
      <c r="B139" s="9" t="s">
        <v>1376</v>
      </c>
      <c r="C139" s="9" t="s">
        <v>1388</v>
      </c>
      <c r="D139" s="15" t="s">
        <v>1374</v>
      </c>
      <c r="E139" s="26" t="s">
        <v>1374</v>
      </c>
      <c r="F139" s="15" t="s">
        <v>27</v>
      </c>
      <c r="G139" s="15" t="s">
        <v>0</v>
      </c>
      <c r="H139" s="9" t="s">
        <v>77</v>
      </c>
      <c r="I139" s="15" t="s">
        <v>0</v>
      </c>
      <c r="J139" s="15" t="s">
        <v>1374</v>
      </c>
      <c r="K139" s="15" t="s">
        <v>1374</v>
      </c>
      <c r="L139" s="93" t="s">
        <v>1374</v>
      </c>
      <c r="M139" s="94" t="s">
        <v>1374</v>
      </c>
      <c r="N139" s="15" t="s">
        <v>1374</v>
      </c>
      <c r="O139" s="26" t="s">
        <v>1374</v>
      </c>
      <c r="P139" s="157" t="s">
        <v>1374</v>
      </c>
      <c r="Q139" s="26" t="s">
        <v>1374</v>
      </c>
      <c r="R139" s="9" t="str">
        <f>IF(
  AND(
    $A139&lt;&gt;"",
    COUNTIF(C:C,$A139)&gt;1
  ),
  "★NG★",
  ""
)</f>
        <v/>
      </c>
      <c r="S139" s="9" t="str">
        <f t="shared" si="12"/>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Menu\Programs\123_Doc_Edit\Cursor（テキストエディタ）.lnk" "C:\prg\cursor\Cursor.exe"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 t="shared" si="13"/>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 t="shared" si="14"/>
        <v/>
      </c>
      <c r="AH139" s="13" t="str">
        <f t="shared" si="15"/>
        <v/>
      </c>
      <c r="AI139" s="13" t="str">
        <f>IF(
  AND($A139&lt;&gt;"",$Q139&lt;&gt;"-",$Q139&lt;&gt;""),
  (
    """"&amp;shortcut設定!$F$7&amp;""""&amp;
    " """&amp;$Q139&amp;".lnk"""&amp;
    " """&amp;$C139&amp;""""&amp;
    IF($D139="-"," """""," """&amp;$D139&amp;"""")&amp;
    IF($E139="-"," """""," """&amp;$E139&amp;"""")
  ),
  ""
)</f>
        <v/>
      </c>
      <c r="AJ139" s="91" t="s">
        <v>174</v>
      </c>
    </row>
    <row r="140" spans="1:36">
      <c r="A140" s="9" t="s">
        <v>1385</v>
      </c>
      <c r="B140" s="9" t="s">
        <v>1386</v>
      </c>
      <c r="C140" s="9" t="s">
        <v>1384</v>
      </c>
      <c r="D140" s="15" t="s">
        <v>1387</v>
      </c>
      <c r="E140" s="26" t="s">
        <v>1387</v>
      </c>
      <c r="F140" s="15" t="s">
        <v>0</v>
      </c>
      <c r="G140" s="15" t="s">
        <v>0</v>
      </c>
      <c r="H140" s="9" t="s">
        <v>77</v>
      </c>
      <c r="I140" s="15" t="s">
        <v>0</v>
      </c>
      <c r="J140" s="15" t="s">
        <v>1387</v>
      </c>
      <c r="K140" s="15" t="s">
        <v>1387</v>
      </c>
      <c r="L140" s="93" t="s">
        <v>1387</v>
      </c>
      <c r="M140" s="94" t="s">
        <v>1387</v>
      </c>
      <c r="N140" s="15" t="s">
        <v>1387</v>
      </c>
      <c r="O140" s="26" t="s">
        <v>1387</v>
      </c>
      <c r="P140" s="157" t="s">
        <v>1387</v>
      </c>
      <c r="Q140" s="26" t="s">
        <v>1387</v>
      </c>
      <c r="R140" s="9" t="str">
        <f>IF(
  AND(
    $A140&lt;&gt;"",
    COUNTIF(C:C,$A140)&gt;1
  ),
  "★NG★",
  ""
)</f>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Menu\Programs\123_Doc_Edit" &amp; "C:\codes\vbs\command\CreateShortcutFile.vbs" "%USERPROFILE%\AppData\Roaming\Microsoft\Windows\Start Menu\Programs\123_Doc_Edit\Obsidian（テキストエディタ）.lnk" "C:\prg\Obsidian\Obsidian.exe" "" ""</v>
      </c>
      <c r="U140" s="9" t="str">
        <f ca="1">IFERROR(
  VLOOKUP(
    $H140,
    shortcut設定!$F:$J,
    MATCH(
      "ProgramsIndex",
      shortcut設定!$F$12:$J$12,
      0
    ),
    FALSE
  ),
  ""
)</f>
        <v>123</v>
      </c>
      <c r="V140" s="13" t="str">
        <f ca="1">IF(
  AND($A140&lt;&gt;"",$I140="○"),
  shortcut設定!$F$4&amp;"\"&amp;U140&amp;"_"&amp;H140,
  ""
)</f>
        <v>%USERPROFILE%\AppData\Roaming\Microsoft\Windows\Start Menu\Programs\123_Doc_Edit</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123</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1390</v>
      </c>
      <c r="B141" s="9" t="s">
        <v>1391</v>
      </c>
      <c r="C141" s="9" t="s">
        <v>1389</v>
      </c>
      <c r="D141" s="15" t="s">
        <v>1392</v>
      </c>
      <c r="E141" s="26" t="s">
        <v>1392</v>
      </c>
      <c r="F141" s="15" t="s">
        <v>0</v>
      </c>
      <c r="G141" s="15" t="s">
        <v>0</v>
      </c>
      <c r="H141" s="9" t="s">
        <v>63</v>
      </c>
      <c r="I141" s="15" t="s">
        <v>0</v>
      </c>
      <c r="J141" s="15" t="s">
        <v>39</v>
      </c>
      <c r="K141" s="15" t="s">
        <v>39</v>
      </c>
      <c r="L141" s="93" t="s">
        <v>39</v>
      </c>
      <c r="M141" s="94" t="s">
        <v>39</v>
      </c>
      <c r="N141" s="15" t="s">
        <v>39</v>
      </c>
      <c r="O141" s="26" t="s">
        <v>39</v>
      </c>
      <c r="P141" s="157" t="s">
        <v>39</v>
      </c>
      <c r="Q141" s="26" t="s">
        <v>39</v>
      </c>
      <c r="R141" s="9" t="str">
        <f>IF(
  AND(
    $A141&lt;&gt;"",
    COUNTIF(C:C,$A141)&gt;1
  ),
  "★NG★",
  ""
)</f>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Menu\Programs\113_Common_Edit" &amp; "C:\codes\vbs\command\CreateShortcutFile.vbs" "%USERPROFILE%\AppData\Roaming\Microsoft\Windows\Start Menu\Programs\113_Common_Edit\Unity Hub（シミュレーター）.lnk" "C:\prg\Unity Hub\Unity Hub.exe" "" ""</v>
      </c>
      <c r="U141" s="9" t="str">
        <f ca="1">IFERROR(
  VLOOKUP(
    $H141,
    shortcut設定!$F:$J,
    MATCH(
      "ProgramsIndex",
      shortcut設定!$F$12:$J$12,
      0
    ),
    FALSE
  ),
  ""
)</f>
        <v>113</v>
      </c>
      <c r="V141" s="13" t="str">
        <f ca="1">IF(
  AND($A141&lt;&gt;"",$I141="○"),
  shortcut設定!$F$4&amp;"\"&amp;U141&amp;"_"&amp;H141,
  ""
)</f>
        <v>%USERPROFILE%\AppData\Roaming\Microsoft\Windows\Start Menu\Programs\113_Common_Edit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113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1434</v>
      </c>
      <c r="B142" s="9" t="s">
        <v>1435</v>
      </c>
      <c r="C142" s="9" t="s">
        <v>1433</v>
      </c>
      <c r="D142" s="15" t="s">
        <v>1436</v>
      </c>
      <c r="E142" s="26" t="s">
        <v>1436</v>
      </c>
      <c r="F142" s="15" t="s">
        <v>0</v>
      </c>
      <c r="G142" s="15" t="s">
        <v>0</v>
      </c>
      <c r="H142" s="9" t="s">
        <v>72</v>
      </c>
      <c r="I142" s="15" t="s">
        <v>0</v>
      </c>
      <c r="J142" s="15" t="s">
        <v>1436</v>
      </c>
      <c r="K142" s="15" t="s">
        <v>1436</v>
      </c>
      <c r="L142" s="93" t="s">
        <v>1436</v>
      </c>
      <c r="M142" s="94" t="s">
        <v>1436</v>
      </c>
      <c r="N142" s="15" t="s">
        <v>1436</v>
      </c>
      <c r="O142" s="26" t="s">
        <v>1436</v>
      </c>
      <c r="P142" s="157" t="s">
        <v>1436</v>
      </c>
      <c r="Q142" s="26" t="s">
        <v>1436</v>
      </c>
      <c r="R142" s="9" t="str">
        <f>IF(
  AND(
    $A142&lt;&gt;"",
    COUNTIF(C:C,$A142)&gt;1
  ),
  "★NG★",
  ""
)</f>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2" s="9" t="str">
        <f ca="1">IFERROR(
  VLOOKUP(
    $H142,
    shortcut設定!$F:$J,
    MATCH(
      "ProgramsIndex",
      shortcut設定!$F$12:$J$12,
      0
    ),
    FALSE
  ),
  ""
)</f>
        <v>171</v>
      </c>
      <c r="V142" s="13" t="str">
        <f ca="1">IF(
  AND($A142&lt;&gt;"",$I142="○"),
  shortcut設定!$F$4&amp;"\"&amp;U142&amp;"_"&amp;H142,
  ""
)</f>
        <v>%USERPROFILE%\AppData\Roaming\Microsoft\Windows\Start Menu\Programs\171_Utility_System</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171</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1365</v>
      </c>
      <c r="B143" s="9" t="s">
        <v>740</v>
      </c>
      <c r="C143" s="9" t="s">
        <v>1364</v>
      </c>
      <c r="D143" s="15" t="s">
        <v>1366</v>
      </c>
      <c r="E143" s="26" t="s">
        <v>1366</v>
      </c>
      <c r="F143" s="15" t="s">
        <v>27</v>
      </c>
      <c r="G143" s="15" t="s">
        <v>0</v>
      </c>
      <c r="H143" s="9" t="s">
        <v>77</v>
      </c>
      <c r="I143" s="15" t="s">
        <v>149</v>
      </c>
      <c r="J143" s="15" t="s">
        <v>64</v>
      </c>
      <c r="K143" s="15" t="s">
        <v>64</v>
      </c>
      <c r="L143" s="93" t="s">
        <v>64</v>
      </c>
      <c r="M143" s="94" t="s">
        <v>39</v>
      </c>
      <c r="N143" s="15" t="s">
        <v>64</v>
      </c>
      <c r="O143" s="26" t="s">
        <v>39</v>
      </c>
      <c r="P143" s="157" t="s">
        <v>39</v>
      </c>
      <c r="Q143" s="26" t="s">
        <v>39</v>
      </c>
      <c r="R143" s="9" t="str">
        <f>IF(
  AND(
    $A143&lt;&gt;"",
    COUNTIF(C:C,$A143)&gt;1
  ),
  "★NG★",
  ""
)</f>
        <v/>
      </c>
      <c r="S143" s="9" t="str">
        <f>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IF(
  AND($A143&lt;&gt;"",$O143&lt;&gt;"-",$O143&lt;&gt;""),
  (
    "schtasks /create /tn """&amp;$O143&amp;""" /tr """&amp;$C143&amp;""" /sc daily /st "&amp;$P143&amp;" /rl highest"
  ),
  ""
)</f>
        <v/>
      </c>
      <c r="AH143" s="13" t="str">
        <f>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1452</v>
      </c>
      <c r="B144" s="9" t="s">
        <v>1453</v>
      </c>
      <c r="C144" s="9" t="s">
        <v>1451</v>
      </c>
      <c r="D144" s="15" t="s">
        <v>1454</v>
      </c>
      <c r="E144" s="26" t="s">
        <v>1454</v>
      </c>
      <c r="F144" s="15" t="s">
        <v>0</v>
      </c>
      <c r="G144" s="15" t="s">
        <v>0</v>
      </c>
      <c r="H144" s="9" t="s">
        <v>85</v>
      </c>
      <c r="I144" s="15" t="s">
        <v>0</v>
      </c>
      <c r="J144" s="15" t="s">
        <v>64</v>
      </c>
      <c r="K144" s="15" t="s">
        <v>64</v>
      </c>
      <c r="L144" s="93" t="s">
        <v>64</v>
      </c>
      <c r="M144" s="94" t="s">
        <v>39</v>
      </c>
      <c r="N144" s="15" t="s">
        <v>64</v>
      </c>
      <c r="O144" s="26" t="s">
        <v>39</v>
      </c>
      <c r="P144" s="157" t="s">
        <v>39</v>
      </c>
      <c r="Q144" s="26" t="s">
        <v>39</v>
      </c>
      <c r="R144" s="9" t="str">
        <f>IF(
  AND(
    $A144&lt;&gt;"",
    COUNTIF(C:C,$A144)&gt;1
  ),
  "★NG★",
  ""
)</f>
        <v/>
      </c>
      <c r="S144" s="9" t="str">
        <f>IF(
  OR(
    $H144="",
    $H144="-",
    COUNTIF(カテゴリ,$H144)&gt;0
  ),
  "",
  "★NG★"
)</f>
        <v/>
      </c>
      <c r="T144" s="13" t="str">
        <f ca="1">IF(
  AND($A144&lt;&gt;"",$I144="○"),
  (
    "mkdir """&amp;V144&amp;""" &amp; "
  )&amp;(
    """"&amp;shortcut設定!$F$7&amp;""""&amp;
    " """&amp;V144&amp;"\"&amp;$A144&amp;"（"&amp;$B144&amp;"）.lnk"""&amp;
    " """&amp;$C144&amp;""""&amp;
    IF($D144="-"," """""," """&amp;$D144&amp;"""")&amp;
    IF($E144="-"," """""," """&amp;$E144&amp;"""")
  ),
  ""
)</f>
        <v>mkdir "%USERPROFILE%\AppData\Roaming\Microsoft\Windows\Start Menu\Programs\162_Network_Local" &amp; "C:\codes\vbs\command\CreateShortcutFile.vbs" "%USERPROFILE%\AppData\Roaming\Microsoft\Windows\Start Menu\Programs\162_Network_Local\AnyDesk（リモート接続）.lnk" "C:\prg\AnyDesk\AnyDesk.exe" "" ""</v>
      </c>
      <c r="U144" s="9" t="str">
        <f ca="1">IFERROR(
  VLOOKUP(
    $H144,
    shortcut設定!$F:$J,
    MATCH(
      "ProgramsIndex",
      shortcut設定!$F$12:$J$12,
      0
    ),
    FALSE
  ),
  ""
)</f>
        <v>162</v>
      </c>
      <c r="V144" s="13" t="str">
        <f ca="1">IF(
  AND($A144&lt;&gt;"",$I144="○"),
  shortcut設定!$F$4&amp;"\"&amp;U144&amp;"_"&amp;H144,
  ""
)</f>
        <v>%USERPROFILE%\AppData\Roaming\Microsoft\Windows\Start Menu\Programs\162_Network_Local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162</v>
      </c>
      <c r="AC144" s="20" t="str">
        <f>IF(AND($M144&lt;&gt;"",$M144&lt;&gt;"-")," (&amp;"&amp;$M144&amp;")","")</f>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IF(
  AND($A144&lt;&gt;"",$O144&lt;&gt;"-",$O144&lt;&gt;""),
  (
    "schtasks /create /tn """&amp;$O144&amp;""" /tr """&amp;$C144&amp;""" /sc daily /st "&amp;$P144&amp;" /rl highest"
  ),
  ""
)</f>
        <v/>
      </c>
      <c r="AH144" s="13" t="str">
        <f>IF(
  AND($A144&lt;&gt;"",$O144&lt;&gt;"-",$O144&lt;&gt;""),
  (
    "schtasks /delete /tn """&amp;$O144&amp;""""
  ),
  ""
)</f>
        <v/>
      </c>
      <c r="AI144" s="13" t="str">
        <f>IF(
  AND($A144&lt;&gt;"",$Q144&lt;&gt;"-",$Q144&lt;&gt;""),
  (
    """"&amp;shortcut設定!$F$7&amp;""""&amp;
    " """&amp;$Q144&amp;".lnk"""&amp;
    " """&amp;$C144&amp;""""&amp;
    IF($D144="-"," """""," """&amp;$D144&amp;"""")&amp;
    IF($E144="-"," """""," """&amp;$E144&amp;"""")
  ),
  ""
)</f>
        <v/>
      </c>
      <c r="AJ144" s="91" t="s">
        <v>174</v>
      </c>
    </row>
    <row r="145" spans="1:36">
      <c r="A145" s="9" t="s">
        <v>1513</v>
      </c>
      <c r="B145" s="9" t="s">
        <v>1514</v>
      </c>
      <c r="C145" s="9" t="s">
        <v>1512</v>
      </c>
      <c r="D145" s="15" t="s">
        <v>39</v>
      </c>
      <c r="E145" s="26" t="s">
        <v>39</v>
      </c>
      <c r="F145" s="15" t="s">
        <v>0</v>
      </c>
      <c r="G145" s="15" t="s">
        <v>0</v>
      </c>
      <c r="H145" s="9" t="s">
        <v>85</v>
      </c>
      <c r="I145" s="15" t="s">
        <v>0</v>
      </c>
      <c r="J145" s="15" t="s">
        <v>64</v>
      </c>
      <c r="K145" s="15" t="s">
        <v>64</v>
      </c>
      <c r="L145" s="93" t="s">
        <v>64</v>
      </c>
      <c r="M145" s="94" t="s">
        <v>39</v>
      </c>
      <c r="N145" s="15" t="s">
        <v>64</v>
      </c>
      <c r="O145" s="26" t="s">
        <v>39</v>
      </c>
      <c r="P145" s="157" t="s">
        <v>39</v>
      </c>
      <c r="Q145" s="26" t="s">
        <v>39</v>
      </c>
      <c r="R145" s="9" t="str">
        <f>IF(
  AND(
    $A145&lt;&gt;"",
    COUNTIF(C:C,$A145)&gt;1
  ),
  "★NG★",
  ""
)</f>
        <v/>
      </c>
      <c r="S145" s="9" t="str">
        <f t="shared" ref="S145" si="20">IF(
  OR(
    $H145="",
    $H145="-",
    COUNTIF(カテゴリ,$H145)&gt;0
  ),
  "",
  "★NG★"
)</f>
        <v/>
      </c>
      <c r="T145" s="13" t="str">
        <f ca="1">IF(
  AND($A145&lt;&gt;"",$I145="○"),
  (
    "mkdir """&amp;V145&amp;""" &amp; "
  )&amp;(
    """"&amp;shortcut設定!$F$7&amp;""""&amp;
    " """&amp;V145&amp;"\"&amp;$A145&amp;"（"&amp;$B145&amp;"）.lnk"""&amp;
    " """&amp;$C145&amp;""""&amp;
    IF($D145="-"," """""," """&amp;$D145&amp;"""")&amp;
    IF($E145="-"," """""," """&amp;$E145&amp;"""")
  ),
  ""
)</f>
        <v>mkdir "%USERPROFILE%\AppData\Roaming\Microsoft\Windows\Start Menu\Programs\162_Network_Local" &amp; "C:\codes\vbs\command\CreateShortcutFile.vbs" "%USERPROFILE%\AppData\Roaming\Microsoft\Windows\Start Menu\Programs\162_Network_Local\TurboVNC（リモート接続）.lnk" "C:\prg\TurboVNC\vncviewerw.bat" "" ""</v>
      </c>
      <c r="U145" s="9" t="str">
        <f ca="1">IFERROR(
  VLOOKUP(
    $H145,
    shortcut設定!$F:$J,
    MATCH(
      "ProgramsIndex",
      shortcut設定!$F$12:$J$12,
      0
    ),
    FALSE
  ),
  ""
)</f>
        <v>162</v>
      </c>
      <c r="V145" s="13" t="str">
        <f ca="1">IF(
  AND($A145&lt;&gt;"",$I145="○"),
  shortcut設定!$F$4&amp;"\"&amp;U145&amp;"_"&amp;H145,
  ""
)</f>
        <v>%USERPROFILE%\AppData\Roaming\Microsoft\Windows\Start Menu\Programs\162_Network_Local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162</v>
      </c>
      <c r="AC145" s="20" t="str">
        <f t="shared" ref="AC145" si="21">IF(AND($M145&lt;&gt;"",$M145&lt;&gt;"-")," (&amp;"&amp;$M145&amp;")","")</f>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ref="AG145" si="22">IF(
  AND($A145&lt;&gt;"",$O145&lt;&gt;"-",$O145&lt;&gt;""),
  (
    "schtasks /create /tn """&amp;$O145&amp;""" /tr """&amp;$C145&amp;""" /sc daily /st "&amp;$P145&amp;" /rl highest"
  ),
  ""
)</f>
        <v/>
      </c>
      <c r="AH145" s="13" t="str">
        <f t="shared" ref="AH145" si="23">IF(
  AND($A145&lt;&gt;"",$O145&lt;&gt;"-",$O145&lt;&gt;""),
  (
    "schtasks /delete /tn """&amp;$O145&amp;""""
  ),
  ""
)</f>
        <v/>
      </c>
      <c r="AI145" s="13" t="str">
        <f>IF(
  AND($A145&lt;&gt;"",$Q145&lt;&gt;"-",$Q145&lt;&gt;""),
  (
    """"&amp;shortcut設定!$F$7&amp;""""&amp;
    " """&amp;$Q145&amp;".lnk"""&amp;
    " """&amp;$C145&amp;""""&amp;
    IF($D145="-"," """""," """&amp;$D145&amp;"""")&amp;
    IF($E145="-"," """""," """&amp;$E145&amp;"""")
  ),
  ""
)</f>
        <v/>
      </c>
      <c r="AJ145" s="91" t="s">
        <v>174</v>
      </c>
    </row>
    <row r="146" spans="1:36">
      <c r="A146" s="9" t="s">
        <v>652</v>
      </c>
      <c r="B146" s="9" t="s">
        <v>714</v>
      </c>
      <c r="C146" s="9" t="s">
        <v>87</v>
      </c>
      <c r="D146" s="15" t="s">
        <v>39</v>
      </c>
      <c r="E146" s="26" t="s">
        <v>39</v>
      </c>
      <c r="F146" s="15" t="s">
        <v>149</v>
      </c>
      <c r="G146" s="15" t="s">
        <v>149</v>
      </c>
      <c r="H146" s="9" t="s">
        <v>69</v>
      </c>
      <c r="I146" s="15" t="s">
        <v>841</v>
      </c>
      <c r="J146" s="15" t="s">
        <v>64</v>
      </c>
      <c r="K146" s="15" t="s">
        <v>64</v>
      </c>
      <c r="L146" s="93" t="s">
        <v>64</v>
      </c>
      <c r="M146" s="94" t="s">
        <v>545</v>
      </c>
      <c r="N146" s="15" t="s">
        <v>841</v>
      </c>
      <c r="O146" s="26" t="s">
        <v>1230</v>
      </c>
      <c r="P146" s="157" t="s">
        <v>1230</v>
      </c>
      <c r="Q146" s="26" t="s">
        <v>935</v>
      </c>
      <c r="R146" s="9" t="str">
        <f>IF(
  AND(
    $A146&lt;&gt;"",
    COUNTIF(C:C,$A146)&gt;1
  ),
  "★NG★",
  ""
)</f>
        <v/>
      </c>
      <c r="S146" s="9" t="str">
        <f t="shared" si="12"/>
        <v/>
      </c>
      <c r="T146" s="13" t="str">
        <f ca="1">IF(
  AND($A146&lt;&gt;"",$I146="○"),
  (
    "mkdir """&amp;V146&amp;""" &amp; "
  )&amp;(
    """"&amp;shortcut設定!$F$7&amp;""""&amp;
    " """&amp;V146&amp;"\"&amp;$A146&amp;"（"&amp;$B146&amp;"）.lnk"""&amp;
    " """&amp;$C146&amp;""""&amp;
    IF($D146="-"," """""," """&amp;$D146&amp;"""")&amp;
    IF($E146="-"," """""," """&amp;$E146&amp;"""")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6" s="9" t="str">
        <f ca="1">IFERROR(
  VLOOKUP(
    $H146,
    shortcut設定!$F:$J,
    MATCH(
      "ProgramsIndex",
      shortcut設定!$F$12:$J$12,
      0
    ),
    FALSE
  ),
  ""
)</f>
        <v>161</v>
      </c>
      <c r="V146" s="13" t="str">
        <f ca="1">IF(
  AND($A146&lt;&gt;"",$I146="○"),
  shortcut設定!$F$4&amp;"\"&amp;U146&amp;"_"&amp;H146,
  ""
)</f>
        <v>%USERPROFILE%\AppData\Roaming\Microsoft\Windows\Start Menu\Programs\161_Network_Global</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161</v>
      </c>
      <c r="AC146" s="20" t="str">
        <f t="shared" si="13"/>
        <v/>
      </c>
      <c r="AD146" s="13" t="str">
        <f>IF(
  AND($A146&lt;&gt;"",$L146="○"),
  shortcut設定!$F$5&amp;"\"&amp;AB146&amp;"_"&amp;A146&amp;"（"&amp;B146&amp;"）"&amp;AC146&amp;".lnk",
  ""
)</f>
        <v/>
      </c>
      <c r="AE146" s="13" t="str">
        <f>IF(
  AND($A146&lt;&gt;"",$N146="○"),
  (
    """"&amp;shortcut設定!$F$7&amp;""""&amp;
    " """&amp;$AF146&amp;""""&amp;
    " """&amp;$C146&amp;""""&amp;
    IF($D146="-"," """""," """&amp;$D146&amp;"""")&amp;
    IF($E146="-"," """""," """&amp;$E146&amp;"""")
  ),
  ""
)</f>
        <v>"C:\codes\vbs\command\CreateShortcutFile.vbs" "%USERPROFILE%\AppData\Roaming\Microsoft\Windows\Start Menu\Programs\Startup\MicrosoftEdge（ブラウザ）.lnk" "C:\Program Files (x86)\Microsoft\Edge\Application\msedge.exe" "" ""</v>
      </c>
      <c r="AF146" s="9" t="str">
        <f>IF(
  AND($A146&lt;&gt;"",$N146="○"),
  shortcut設定!$F$6&amp;"\"&amp;A146&amp;"（"&amp;B146&amp;"）.lnk",
  ""
)</f>
        <v>%USERPROFILE%\AppData\Roaming\Microsoft\Windows\Start Menu\Programs\Startup\MicrosoftEdge（ブラウザ）.lnk</v>
      </c>
      <c r="AG146" s="13" t="str">
        <f t="shared" si="14"/>
        <v/>
      </c>
      <c r="AH146" s="13" t="str">
        <f t="shared" si="15"/>
        <v/>
      </c>
      <c r="AI146" s="13" t="str">
        <f>IF(
  AND($A146&lt;&gt;"",$Q146&lt;&gt;"-",$Q146&lt;&gt;""),
  (
    """"&amp;shortcut設定!$F$7&amp;""""&amp;
    " """&amp;$Q146&amp;".lnk"""&amp;
    " """&amp;$C146&amp;""""&amp;
    IF($D146="-"," """""," """&amp;$D146&amp;"""")&amp;
    IF($E146="-"," """""," """&amp;$E146&amp;"""")
  ),
  ""
)</f>
        <v/>
      </c>
      <c r="AJ146" s="91" t="s">
        <v>174</v>
      </c>
    </row>
    <row r="147" spans="1:36">
      <c r="A147" s="9" t="s">
        <v>653</v>
      </c>
      <c r="B147" s="9" t="s">
        <v>790</v>
      </c>
      <c r="C147" s="77" t="s">
        <v>89</v>
      </c>
      <c r="D147" s="15" t="s">
        <v>861</v>
      </c>
      <c r="E147" s="26" t="s">
        <v>39</v>
      </c>
      <c r="F147" s="15" t="s">
        <v>149</v>
      </c>
      <c r="G147" s="15" t="s">
        <v>149</v>
      </c>
      <c r="H147" s="9" t="s">
        <v>77</v>
      </c>
      <c r="I147" s="15" t="s">
        <v>841</v>
      </c>
      <c r="J147" s="15" t="s">
        <v>64</v>
      </c>
      <c r="K147" s="15" t="s">
        <v>64</v>
      </c>
      <c r="L147" s="93" t="s">
        <v>0</v>
      </c>
      <c r="M147" s="94" t="s">
        <v>545</v>
      </c>
      <c r="N147" s="15" t="s">
        <v>64</v>
      </c>
      <c r="O147" s="26" t="s">
        <v>1230</v>
      </c>
      <c r="P147" s="157" t="s">
        <v>1230</v>
      </c>
      <c r="Q147" s="26" t="s">
        <v>935</v>
      </c>
      <c r="R147" s="9" t="str">
        <f>IF(
  AND(
    $A147&lt;&gt;"",
    COUNTIF(C:C,$A147)&gt;1
  ),
  "★NG★",
  ""
)</f>
        <v/>
      </c>
      <c r="S147" s="9" t="str">
        <f t="shared" si="12"/>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 ca="1">IF(
  AND($A147&lt;&gt;"",$L147&lt;&gt;"-",$L147&lt;&gt;""),
  (
    """"&amp;shortcut設定!$F$7&amp;""""&amp;
    " """&amp;$AD147&amp;""""&amp;
    " """&amp;$C147&amp;""""&amp;
    IF($D147="-"," """""," """&amp;$D147&amp;"""")&amp;
    IF($E147="-"," """""," """&amp;$E147&amp;"""")
  ),
  ""
)</f>
        <v>"C:\codes\vbs\command\CreateShortcutFile.vbs" "%USERPROFILE%\AppData\Roaming\Microsoft\Windows\SendTo\123_MicrosoftExcel（ドキュメント編集）.lnk" "C:\Program Files (x86)\Microsoft Office\root\Office16\EXCEL.EXE" "/x" ""</v>
      </c>
      <c r="AB147" s="9" t="str">
        <f ca="1">IFERROR(
  VLOOKUP(
    $H147,
    shortcut設定!$F:$J,
    MATCH(
      "ProgramsIndex",
      shortcut設定!$F$12:$J$12,
      0
    ),
    FALSE
  ),
  ""
)</f>
        <v>123</v>
      </c>
      <c r="AC147" s="20" t="str">
        <f t="shared" si="13"/>
        <v/>
      </c>
      <c r="AD147" s="13" t="str">
        <f ca="1">IF(
  AND($A147&lt;&gt;"",$L147="○"),
  shortcut設定!$F$5&amp;"\"&amp;AB147&amp;"_"&amp;A147&amp;"（"&amp;B147&amp;"）"&amp;AC147&amp;".lnk",
  ""
)</f>
        <v>%USERPROFILE%\AppData\Roaming\Microsoft\Windows\SendTo\123_MicrosoftExcel（ドキュメント編集）.lnk</v>
      </c>
      <c r="AE147" s="13" t="str">
        <f>IF(
  AND($A147&lt;&gt;"",$N147="○"),
  (
    """"&amp;shortcut設定!$F$7&amp;""""&amp;
    " """&amp;$AF147&amp;""""&amp;
    " """&amp;$C147&amp;""""&amp;
    IF($D147="-"," """""," """&amp;$D147&amp;"""")&amp;
    IF($E147="-"," """""," """&amp;$E147&amp;"""")
  ),
  ""
)</f>
        <v/>
      </c>
      <c r="AF147" s="9" t="str">
        <f>IF(
  AND($A147&lt;&gt;"",$N147="○"),
  shortcut設定!$F$6&amp;"\"&amp;A147&amp;"（"&amp;B147&amp;"）.lnk",
  ""
)</f>
        <v/>
      </c>
      <c r="AG147" s="13" t="str">
        <f t="shared" si="14"/>
        <v/>
      </c>
      <c r="AH147" s="13" t="str">
        <f t="shared" si="15"/>
        <v/>
      </c>
      <c r="AI147" s="13" t="str">
        <f>IF(
  AND($A147&lt;&gt;"",$Q147&lt;&gt;"-",$Q147&lt;&gt;""),
  (
    """"&amp;shortcut設定!$F$7&amp;""""&amp;
    " """&amp;$Q147&amp;".lnk"""&amp;
    " """&amp;$C147&amp;""""&amp;
    IF($D147="-"," """""," """&amp;$D147&amp;"""")&amp;
    IF($E147="-"," """""," """&amp;$E147&amp;"""")
  ),
  ""
)</f>
        <v/>
      </c>
      <c r="AJ147" s="91" t="s">
        <v>174</v>
      </c>
    </row>
    <row r="148" spans="1:36">
      <c r="A148" s="9" t="s">
        <v>654</v>
      </c>
      <c r="B148" s="9" t="s">
        <v>790</v>
      </c>
      <c r="C148" s="9" t="s">
        <v>90</v>
      </c>
      <c r="D148" s="15" t="s">
        <v>39</v>
      </c>
      <c r="E148" s="26" t="s">
        <v>39</v>
      </c>
      <c r="F148" s="15" t="s">
        <v>149</v>
      </c>
      <c r="G148" s="15" t="s">
        <v>149</v>
      </c>
      <c r="H148" s="9" t="s">
        <v>77</v>
      </c>
      <c r="I148" s="15" t="s">
        <v>841</v>
      </c>
      <c r="J148" s="15" t="s">
        <v>64</v>
      </c>
      <c r="K148" s="15" t="s">
        <v>64</v>
      </c>
      <c r="L148" s="93" t="s">
        <v>64</v>
      </c>
      <c r="M148" s="94" t="s">
        <v>545</v>
      </c>
      <c r="N148" s="15" t="s">
        <v>64</v>
      </c>
      <c r="O148" s="26" t="s">
        <v>1230</v>
      </c>
      <c r="P148" s="157" t="s">
        <v>1230</v>
      </c>
      <c r="Q148" s="26" t="s">
        <v>935</v>
      </c>
      <c r="R148" s="9" t="str">
        <f>IF(
  AND(
    $A148&lt;&gt;"",
    COUNTIF(C:C,$A148)&gt;1
  ),
  "★NG★",
  ""
)</f>
        <v/>
      </c>
      <c r="S148" s="9" t="str">
        <f t="shared" si="12"/>
        <v/>
      </c>
      <c r="T148" s="13" t="str">
        <f ca="1">IF(
  AND($A148&lt;&gt;"",$I148="○"),
  (
    "mkdir """&amp;V148&amp;""" &amp; "
  )&amp;(
    """"&amp;shortcut設定!$F$7&amp;""""&amp;
    " """&amp;V148&amp;"\"&amp;$A148&amp;"（"&amp;$B148&amp;"）.lnk"""&amp;
    " """&amp;$C148&amp;""""&amp;
    IF($D148="-"," """""," """&amp;$D148&amp;"""")&amp;
    IF($E148="-"," """""," """&amp;$E148&amp;"""")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8" s="9" t="str">
        <f ca="1">IFERROR(
  VLOOKUP(
    $H148,
    shortcut設定!$F:$J,
    MATCH(
      "ProgramsIndex",
      shortcut設定!$F$12:$J$12,
      0
    ),
    FALSE
  ),
  ""
)</f>
        <v>123</v>
      </c>
      <c r="V148" s="13" t="str">
        <f ca="1">IF(
  AND($A148&lt;&gt;"",$I148="○"),
  shortcut設定!$F$4&amp;"\"&amp;U148&amp;"_"&amp;H148,
  ""
)</f>
        <v>%USERPROFILE%\AppData\Roaming\Microsoft\Windows\Start Menu\Programs\123_Doc_Edit</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123</v>
      </c>
      <c r="AC148" s="20" t="str">
        <f t="shared" si="13"/>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4"/>
        <v/>
      </c>
      <c r="AH148" s="13" t="str">
        <f t="shared" si="15"/>
        <v/>
      </c>
      <c r="AI148" s="13" t="str">
        <f>IF(
  AND($A148&lt;&gt;"",$Q148&lt;&gt;"-",$Q148&lt;&gt;""),
  (
    """"&amp;shortcut設定!$F$7&amp;""""&amp;
    " """&amp;$Q148&amp;".lnk"""&amp;
    " """&amp;$C148&amp;""""&amp;
    IF($D148="-"," """""," """&amp;$D148&amp;"""")&amp;
    IF($E148="-"," """""," """&amp;$E148&amp;"""")
  ),
  ""
)</f>
        <v/>
      </c>
      <c r="AJ148" s="91" t="s">
        <v>174</v>
      </c>
    </row>
    <row r="149" spans="1:36">
      <c r="A149" s="9" t="s">
        <v>655</v>
      </c>
      <c r="B149" s="9" t="s">
        <v>790</v>
      </c>
      <c r="C149" s="9" t="s">
        <v>91</v>
      </c>
      <c r="D149" s="15" t="s">
        <v>39</v>
      </c>
      <c r="E149" s="26" t="s">
        <v>39</v>
      </c>
      <c r="F149" s="15" t="s">
        <v>149</v>
      </c>
      <c r="G149" s="15" t="s">
        <v>149</v>
      </c>
      <c r="H149" s="9" t="s">
        <v>77</v>
      </c>
      <c r="I149" s="15" t="s">
        <v>841</v>
      </c>
      <c r="J149" s="15" t="s">
        <v>64</v>
      </c>
      <c r="K149" s="15" t="s">
        <v>64</v>
      </c>
      <c r="L149" s="93" t="s">
        <v>64</v>
      </c>
      <c r="M149" s="94" t="s">
        <v>545</v>
      </c>
      <c r="N149" s="15" t="s">
        <v>64</v>
      </c>
      <c r="O149" s="26" t="s">
        <v>1230</v>
      </c>
      <c r="P149" s="157" t="s">
        <v>1230</v>
      </c>
      <c r="Q149" s="26" t="s">
        <v>935</v>
      </c>
      <c r="R149" s="9" t="str">
        <f>IF(
  AND(
    $A149&lt;&gt;"",
    COUNTIF(C:C,$A149)&gt;1
  ),
  "★NG★",
  ""
)</f>
        <v/>
      </c>
      <c r="S149" s="9" t="str">
        <f t="shared" si="12"/>
        <v/>
      </c>
      <c r="T149" s="13" t="str">
        <f ca="1">IF(
  AND($A149&lt;&gt;"",$I149="○"),
  (
    "mkdir """&amp;V149&amp;""" &amp; "
  )&amp;(
    """"&amp;shortcut設定!$F$7&amp;""""&amp;
    " """&amp;V149&amp;"\"&amp;$A149&amp;"（"&amp;$B149&amp;"）.lnk"""&amp;
    " """&amp;$C149&amp;""""&amp;
    IF($D149="-"," """""," """&amp;$D149&amp;"""")&amp;
    IF($E149="-"," """""," """&amp;$E149&amp;"""")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9" s="9" t="str">
        <f ca="1">IFERROR(
  VLOOKUP(
    $H149,
    shortcut設定!$F:$J,
    MATCH(
      "ProgramsIndex",
      shortcut設定!$F$12:$J$12,
      0
    ),
    FALSE
  ),
  ""
)</f>
        <v>123</v>
      </c>
      <c r="V149" s="13" t="str">
        <f ca="1">IF(
  AND($A149&lt;&gt;"",$I149="○"),
  shortcut設定!$F$4&amp;"\"&amp;U149&amp;"_"&amp;H149,
  ""
)</f>
        <v>%USERPROFILE%\AppData\Roaming\Microsoft\Windows\Start Menu\Programs\123_Doc_Edit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123</v>
      </c>
      <c r="AC149" s="20" t="str">
        <f t="shared" si="13"/>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4"/>
        <v/>
      </c>
      <c r="AH149" s="13" t="str">
        <f t="shared" si="15"/>
        <v/>
      </c>
      <c r="AI149" s="13" t="str">
        <f>IF(
  AND($A149&lt;&gt;"",$Q149&lt;&gt;"-",$Q149&lt;&gt;""),
  (
    """"&amp;shortcut設定!$F$7&amp;""""&amp;
    " """&amp;$Q149&amp;".lnk"""&amp;
    " """&amp;$C149&amp;""""&amp;
    IF($D149="-"," """""," """&amp;$D149&amp;"""")&amp;
    IF($E149="-"," """""," """&amp;$E149&amp;"""")
  ),
  ""
)</f>
        <v/>
      </c>
      <c r="AJ149" s="91" t="s">
        <v>174</v>
      </c>
    </row>
    <row r="150" spans="1:36">
      <c r="A150" s="9" t="s">
        <v>656</v>
      </c>
      <c r="B150" s="9" t="s">
        <v>791</v>
      </c>
      <c r="C150" s="9" t="s">
        <v>92</v>
      </c>
      <c r="D150" s="15" t="s">
        <v>39</v>
      </c>
      <c r="E150" s="26" t="s">
        <v>39</v>
      </c>
      <c r="F150" s="15" t="s">
        <v>149</v>
      </c>
      <c r="G150" s="15" t="s">
        <v>149</v>
      </c>
      <c r="H150" s="9" t="s">
        <v>69</v>
      </c>
      <c r="I150" s="15" t="s">
        <v>841</v>
      </c>
      <c r="J150" s="15" t="s">
        <v>64</v>
      </c>
      <c r="K150" s="15" t="s">
        <v>64</v>
      </c>
      <c r="L150" s="93" t="s">
        <v>64</v>
      </c>
      <c r="M150" s="94" t="s">
        <v>545</v>
      </c>
      <c r="N150" s="15" t="s">
        <v>64</v>
      </c>
      <c r="O150" s="26" t="s">
        <v>1230</v>
      </c>
      <c r="P150" s="157" t="s">
        <v>1230</v>
      </c>
      <c r="Q150" s="26" t="s">
        <v>935</v>
      </c>
      <c r="R150" s="9" t="str">
        <f>IF(
  AND(
    $A150&lt;&gt;"",
    COUNTIF(C:C,$A150)&gt;1
  ),
  "★NG★",
  ""
)</f>
        <v/>
      </c>
      <c r="S150" s="9" t="str">
        <f t="shared" si="12"/>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si="13"/>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4"/>
        <v/>
      </c>
      <c r="AH150" s="13" t="str">
        <f t="shared" si="15"/>
        <v/>
      </c>
      <c r="AI150" s="13" t="str">
        <f>IF(
  AND($A150&lt;&gt;"",$Q150&lt;&gt;"-",$Q150&lt;&gt;""),
  (
    """"&amp;shortcut設定!$F$7&amp;""""&amp;
    " """&amp;$Q150&amp;".lnk"""&amp;
    " """&amp;$C150&amp;""""&amp;
    IF($D150="-"," """""," """&amp;$D150&amp;"""")&amp;
    IF($E150="-"," """""," """&amp;$E150&amp;"""")
  ),
  ""
)</f>
        <v/>
      </c>
      <c r="AJ150" s="91" t="s">
        <v>174</v>
      </c>
    </row>
    <row r="151" spans="1:36">
      <c r="A151" s="9" t="s">
        <v>657</v>
      </c>
      <c r="B151" s="9" t="s">
        <v>792</v>
      </c>
      <c r="C151" s="9" t="s">
        <v>851</v>
      </c>
      <c r="D151" s="15" t="s">
        <v>39</v>
      </c>
      <c r="E151" s="26" t="s">
        <v>39</v>
      </c>
      <c r="F151" s="15" t="s">
        <v>166</v>
      </c>
      <c r="G151" s="15" t="s">
        <v>149</v>
      </c>
      <c r="H151" s="9" t="s">
        <v>79</v>
      </c>
      <c r="I151" s="15" t="s">
        <v>841</v>
      </c>
      <c r="J151" s="15" t="s">
        <v>64</v>
      </c>
      <c r="K151" s="15" t="s">
        <v>64</v>
      </c>
      <c r="L151" s="93" t="s">
        <v>64</v>
      </c>
      <c r="M151" s="94" t="s">
        <v>545</v>
      </c>
      <c r="N151" s="15" t="s">
        <v>64</v>
      </c>
      <c r="O151" s="26" t="s">
        <v>1230</v>
      </c>
      <c r="P151" s="157" t="s">
        <v>1230</v>
      </c>
      <c r="Q151" s="26" t="s">
        <v>935</v>
      </c>
      <c r="R151" s="9" t="str">
        <f>IF(
  AND(
    $A151&lt;&gt;"",
    COUNTIF(C:C,$A151)&gt;1
  ),
  "★NG★",
  ""
)</f>
        <v/>
      </c>
      <c r="S151" s="9" t="str">
        <f t="shared" si="12"/>
        <v/>
      </c>
      <c r="T151" s="13" t="str">
        <f ca="1">IF(
  AND($A151&lt;&gt;"",$I151="○"),
  (
    "mkdir """&amp;V151&amp;""" &amp; "
  )&amp;(
    """"&amp;shortcut設定!$F$7&amp;""""&amp;
    " """&amp;V151&amp;"\"&amp;$A151&amp;"（"&amp;$B151&amp;"）.lnk"""&amp;
    " """&amp;$C151&amp;""""&amp;
    IF($D151="-"," """""," """&amp;$D151&amp;"""")&amp;
    IF($E151="-"," """""," """&amp;$E151&amp;"""")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51" s="9" t="str">
        <f ca="1">IFERROR(
  VLOOKUP(
    $H151,
    shortcut設定!$F:$J,
    MATCH(
      "ProgramsIndex",
      shortcut設定!$F$12:$J$12,
      0
    ),
    FALSE
  ),
  ""
)</f>
        <v>153</v>
      </c>
      <c r="V151" s="13" t="str">
        <f ca="1">IF(
  AND($A151&lt;&gt;"",$I151="○"),
  shortcut設定!$F$4&amp;"\"&amp;U151&amp;"_"&amp;H151,
  ""
)</f>
        <v>%USERPROFILE%\AppData\Roaming\Microsoft\Windows\Start Menu\Programs\153_Picture_Edit</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153</v>
      </c>
      <c r="AC151" s="20" t="str">
        <f t="shared" si="13"/>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4"/>
        <v/>
      </c>
      <c r="AH151" s="13" t="str">
        <f t="shared" si="15"/>
        <v/>
      </c>
      <c r="AI151" s="13" t="str">
        <f>IF(
  AND($A151&lt;&gt;"",$Q151&lt;&gt;"-",$Q151&lt;&gt;""),
  (
    """"&amp;shortcut設定!$F$7&amp;""""&amp;
    " """&amp;$Q151&amp;".lnk"""&amp;
    " """&amp;$C151&amp;""""&amp;
    IF($D151="-"," """""," """&amp;$D151&amp;"""")&amp;
    IF($E151="-"," """""," """&amp;$E151&amp;"""")
  ),
  ""
)</f>
        <v/>
      </c>
      <c r="AJ151" s="91" t="s">
        <v>174</v>
      </c>
    </row>
    <row r="152" spans="1:36">
      <c r="A152" s="9" t="s">
        <v>849</v>
      </c>
      <c r="B152" s="9" t="s">
        <v>850</v>
      </c>
      <c r="C152" s="9" t="s">
        <v>852</v>
      </c>
      <c r="D152" s="15" t="s">
        <v>39</v>
      </c>
      <c r="E152" s="26" t="s">
        <v>39</v>
      </c>
      <c r="F152" s="15" t="s">
        <v>27</v>
      </c>
      <c r="G152" s="15" t="s">
        <v>0</v>
      </c>
      <c r="H152" s="9" t="s">
        <v>65</v>
      </c>
      <c r="I152" s="15" t="s">
        <v>0</v>
      </c>
      <c r="J152" s="15" t="s">
        <v>549</v>
      </c>
      <c r="K152" s="15" t="s">
        <v>39</v>
      </c>
      <c r="L152" s="93" t="s">
        <v>549</v>
      </c>
      <c r="M152" s="94" t="s">
        <v>549</v>
      </c>
      <c r="N152" s="15" t="s">
        <v>549</v>
      </c>
      <c r="O152" s="26" t="s">
        <v>1230</v>
      </c>
      <c r="P152" s="157" t="s">
        <v>1230</v>
      </c>
      <c r="Q152" s="26" t="s">
        <v>935</v>
      </c>
      <c r="R152" s="9" t="str">
        <f>IF(
  AND(
    $A152&lt;&gt;"",
    COUNTIF(C:C,$A152)&gt;1
  ),
  "★NG★",
  ""
)</f>
        <v/>
      </c>
      <c r="S152" s="9" t="str">
        <f t="shared" si="12"/>
        <v/>
      </c>
      <c r="T152" s="13" t="str">
        <f ca="1">IF(
  AND($A152&lt;&gt;"",$I152="○"),
  (
    "mkdir """&amp;V152&amp;""" &amp; "
  )&amp;(
    """"&amp;shortcut設定!$F$7&amp;""""&amp;
    " """&amp;V152&amp;"\"&amp;$A152&amp;"（"&amp;$B152&amp;"）.lnk"""&amp;
    " """&amp;$C152&amp;""""&amp;
    IF($D152="-"," """""," """&amp;$D152&amp;"""")&amp;
    IF($E152="-"," """""," """&amp;$E152&amp;"""")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2" s="9" t="str">
        <f ca="1">IFERROR(
  VLOOKUP(
    $H152,
    shortcut設定!$F:$J,
    MATCH(
      "ProgramsIndex",
      shortcut設定!$F$12:$J$12,
      0
    ),
    FALSE
  ),
  ""
)</f>
        <v>122</v>
      </c>
      <c r="V152" s="13" t="str">
        <f ca="1">IF(
  AND($A152&lt;&gt;"",$I152="○"),
  shortcut設定!$F$4&amp;"\"&amp;U152&amp;"_"&amp;H152,
  ""
)</f>
        <v>%USERPROFILE%\AppData\Roaming\Microsoft\Windows\Start Menu\Programs\122_Doc_View</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122</v>
      </c>
      <c r="AC152" s="20" t="str">
        <f t="shared" si="13"/>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14"/>
        <v/>
      </c>
      <c r="AH152" s="13" t="str">
        <f t="shared" si="15"/>
        <v/>
      </c>
      <c r="AI152" s="13" t="str">
        <f>IF(
  AND($A152&lt;&gt;"",$Q152&lt;&gt;"-",$Q152&lt;&gt;""),
  (
    """"&amp;shortcut設定!$F$7&amp;""""&amp;
    " """&amp;$Q152&amp;".lnk"""&amp;
    " """&amp;$C152&amp;""""&amp;
    IF($D152="-"," """""," """&amp;$D152&amp;"""")&amp;
    IF($E152="-"," """""," """&amp;$E152&amp;"""")
  ),
  ""
)</f>
        <v/>
      </c>
      <c r="AJ152" s="91" t="s">
        <v>174</v>
      </c>
    </row>
    <row r="153" spans="1:36">
      <c r="A153" s="9" t="s">
        <v>854</v>
      </c>
      <c r="B153" s="9" t="s">
        <v>856</v>
      </c>
      <c r="C153" s="9" t="s">
        <v>853</v>
      </c>
      <c r="D153" s="15" t="s">
        <v>39</v>
      </c>
      <c r="E153" s="26" t="s">
        <v>39</v>
      </c>
      <c r="F153" s="15" t="s">
        <v>27</v>
      </c>
      <c r="G153" s="15" t="s">
        <v>0</v>
      </c>
      <c r="H153" s="9" t="s">
        <v>69</v>
      </c>
      <c r="I153" s="15" t="s">
        <v>0</v>
      </c>
      <c r="J153" s="15" t="s">
        <v>549</v>
      </c>
      <c r="K153" s="15" t="s">
        <v>39</v>
      </c>
      <c r="L153" s="93" t="s">
        <v>549</v>
      </c>
      <c r="M153" s="94" t="s">
        <v>549</v>
      </c>
      <c r="N153" s="15" t="s">
        <v>549</v>
      </c>
      <c r="O153" s="26" t="s">
        <v>1230</v>
      </c>
      <c r="P153" s="157" t="s">
        <v>1230</v>
      </c>
      <c r="Q153" s="26" t="s">
        <v>935</v>
      </c>
      <c r="R153" s="9" t="str">
        <f>IF(
  AND(
    $A153&lt;&gt;"",
    COUNTIF(C:C,$A153)&gt;1
  ),
  "★NG★",
  ""
)</f>
        <v/>
      </c>
      <c r="S153" s="9" t="str">
        <f t="shared" si="12"/>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si="13"/>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si="14"/>
        <v/>
      </c>
      <c r="AH153" s="13" t="str">
        <f t="shared" si="15"/>
        <v/>
      </c>
      <c r="AI153" s="13" t="str">
        <f>IF(
  AND($A153&lt;&gt;"",$Q153&lt;&gt;"-",$Q153&lt;&gt;""),
  (
    """"&amp;shortcut設定!$F$7&amp;""""&amp;
    " """&amp;$Q153&amp;".lnk"""&amp;
    " """&amp;$C153&amp;""""&amp;
    IF($D153="-"," """""," """&amp;$D153&amp;"""")&amp;
    IF($E153="-"," """""," """&amp;$E153&amp;"""")
  ),
  ""
)</f>
        <v/>
      </c>
      <c r="AJ153" s="91" t="s">
        <v>174</v>
      </c>
    </row>
    <row r="154" spans="1:36">
      <c r="A154" s="9" t="s">
        <v>1428</v>
      </c>
      <c r="B154" s="9" t="s">
        <v>1429</v>
      </c>
      <c r="C154" s="9" t="s">
        <v>1431</v>
      </c>
      <c r="D154" s="15" t="s">
        <v>1430</v>
      </c>
      <c r="E154" s="26" t="s">
        <v>1430</v>
      </c>
      <c r="F154" s="15" t="s">
        <v>0</v>
      </c>
      <c r="G154" s="15" t="s">
        <v>0</v>
      </c>
      <c r="H154" s="9" t="s">
        <v>1432</v>
      </c>
      <c r="I154" s="15" t="s">
        <v>0</v>
      </c>
      <c r="J154" s="15" t="s">
        <v>1430</v>
      </c>
      <c r="K154" s="15" t="s">
        <v>1430</v>
      </c>
      <c r="L154" s="93" t="s">
        <v>1430</v>
      </c>
      <c r="M154" s="94" t="s">
        <v>1430</v>
      </c>
      <c r="N154" s="15" t="s">
        <v>1430</v>
      </c>
      <c r="O154" s="26" t="s">
        <v>1430</v>
      </c>
      <c r="P154" s="157" t="s">
        <v>1430</v>
      </c>
      <c r="Q154" s="26" t="s">
        <v>1430</v>
      </c>
      <c r="R154" s="9" t="str">
        <f>IF(
  AND(
    $A154&lt;&gt;"",
    COUNTIF(C:C,$A154)&gt;1
  ),
  "★NG★",
  ""
)</f>
        <v/>
      </c>
      <c r="S154" s="9" t="str">
        <f>IF(
  OR(
    $H154="",
    $H154="-",
    COUNTIF(カテゴリ,$H154)&gt;0
  ),
  "",
  "★NG★"
)</f>
        <v/>
      </c>
      <c r="T154" s="13" t="str">
        <f ca="1">IF(
  AND($A154&lt;&gt;"",$I154="○"),
  (
    "mkdir """&amp;V154&amp;""" &amp; "
  )&amp;(
    """"&amp;shortcut設定!$F$7&amp;""""&amp;
    " """&amp;V154&amp;"\"&amp;$A154&amp;"（"&amp;$B154&amp;"）.lnk"""&amp;
    " """&amp;$C154&amp;""""&amp;
    IF($D154="-"," """""," """&amp;$D154&amp;"""")&amp;
    IF($E154="-"," """""," """&amp;$E154&amp;"""")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4" s="9" t="str">
        <f ca="1">IFERROR(
  VLOOKUP(
    $H154,
    shortcut設定!$F:$J,
    MATCH(
      "ProgramsIndex",
      shortcut設定!$F$12:$J$12,
      0
    ),
    FALSE
  ),
  ""
)</f>
        <v>132</v>
      </c>
      <c r="V154" s="13" t="str">
        <f ca="1">IF(
  AND($A154&lt;&gt;"",$I154="○"),
  shortcut設定!$F$4&amp;"\"&amp;U154&amp;"_"&amp;H154,
  ""
)</f>
        <v>%USERPROFILE%\AppData\Roaming\Microsoft\Windows\Start Menu\Programs\132_Music_Record</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132</v>
      </c>
      <c r="AC154" s="20" t="str">
        <f>IF(AND($M154&lt;&gt;"",$M154&lt;&gt;"-")," (&amp;"&amp;$M154&amp;")","")</f>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IF(
  AND($A154&lt;&gt;"",$O154&lt;&gt;"-",$O154&lt;&gt;""),
  (
    "schtasks /create /tn """&amp;$O154&amp;""" /tr """&amp;$C154&amp;""" /sc daily /st "&amp;$P154&amp;" /rl highest"
  ),
  ""
)</f>
        <v/>
      </c>
      <c r="AH154" s="13" t="str">
        <f>IF(
  AND($A154&lt;&gt;"",$O154&lt;&gt;"-",$O154&lt;&gt;""),
  (
    "schtasks /delete /tn """&amp;$O154&amp;""""
  ),
  ""
)</f>
        <v/>
      </c>
      <c r="AI154" s="13" t="str">
        <f>IF(
  AND($A154&lt;&gt;"",$Q154&lt;&gt;"-",$Q154&lt;&gt;""),
  (
    """"&amp;shortcut設定!$F$7&amp;""""&amp;
    " """&amp;$Q154&amp;".lnk"""&amp;
    " """&amp;$C154&amp;""""&amp;
    IF($D154="-"," """""," """&amp;$D154&amp;"""")&amp;
    IF($E154="-"," """""," """&amp;$E154&amp;"""")
  ),
  ""
)</f>
        <v/>
      </c>
      <c r="AJ154" s="91" t="s">
        <v>174</v>
      </c>
    </row>
    <row r="155" spans="1:36">
      <c r="A155" s="9" t="s">
        <v>855</v>
      </c>
      <c r="B155" s="9" t="s">
        <v>856</v>
      </c>
      <c r="C155" s="9" t="s">
        <v>1447</v>
      </c>
      <c r="D155" s="15" t="s">
        <v>39</v>
      </c>
      <c r="E155" s="26" t="s">
        <v>39</v>
      </c>
      <c r="F155" s="15" t="s">
        <v>0</v>
      </c>
      <c r="G155" s="15" t="s">
        <v>27</v>
      </c>
      <c r="H155" s="9" t="s">
        <v>69</v>
      </c>
      <c r="I155" s="15" t="s">
        <v>0</v>
      </c>
      <c r="J155" s="15" t="s">
        <v>549</v>
      </c>
      <c r="K155" s="15" t="s">
        <v>39</v>
      </c>
      <c r="L155" s="93" t="s">
        <v>549</v>
      </c>
      <c r="M155" s="94" t="s">
        <v>549</v>
      </c>
      <c r="N155" s="15" t="s">
        <v>549</v>
      </c>
      <c r="O155" s="26" t="s">
        <v>1230</v>
      </c>
      <c r="P155" s="157" t="s">
        <v>1230</v>
      </c>
      <c r="Q155" s="26" t="s">
        <v>935</v>
      </c>
      <c r="R155" s="9" t="str">
        <f>IF(
  AND(
    $A155&lt;&gt;"",
    COUNTIF(C:C,$A155)&gt;1
  ),
  "★NG★",
  ""
)</f>
        <v/>
      </c>
      <c r="S155" s="9" t="str">
        <f t="shared" ref="S155:S187" si="24">IF(
  OR(
    $H155="",
    $H155="-",
    COUNTIF(カテゴリ,$H155)&gt;0
  ),
  "",
  "★NG★"
)</f>
        <v/>
      </c>
      <c r="T155" s="13" t="str">
        <f ca="1">IF(
  AND($A155&lt;&gt;"",$I155="○"),
  (
    "mkdir """&amp;V155&amp;""" &amp; "
  )&amp;(
    """"&amp;shortcut設定!$F$7&amp;""""&amp;
    " """&amp;V155&amp;"\"&amp;$A155&amp;"（"&amp;$B155&amp;"）.lnk"""&amp;
    " """&amp;$C155&amp;""""&amp;
    IF($D155="-"," """""," """&amp;$D155&amp;"""")&amp;
    IF($E155="-"," """""," """&amp;$E155&amp;"""")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5" s="9" t="str">
        <f ca="1">IFERROR(
  VLOOKUP(
    $H155,
    shortcut設定!$F:$J,
    MATCH(
      "ProgramsIndex",
      shortcut設定!$F$12:$J$12,
      0
    ),
    FALSE
  ),
  ""
)</f>
        <v>161</v>
      </c>
      <c r="V155" s="13" t="str">
        <f ca="1">IF(
  AND($A155&lt;&gt;"",$I155="○"),
  shortcut設定!$F$4&amp;"\"&amp;U155&amp;"_"&amp;H155,
  ""
)</f>
        <v>%USERPROFILE%\AppData\Roaming\Microsoft\Windows\Start Menu\Programs\161_Network_Global</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161</v>
      </c>
      <c r="AC155" s="20" t="str">
        <f t="shared" ref="AC155:AC187" si="25">IF(AND($M155&lt;&gt;"",$M155&lt;&gt;"-")," (&amp;"&amp;$M155&amp;")","")</f>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ref="AG155:AG187" si="26">IF(
  AND($A155&lt;&gt;"",$O155&lt;&gt;"-",$O155&lt;&gt;""),
  (
    "schtasks /create /tn """&amp;$O155&amp;""" /tr """&amp;$C155&amp;""" /sc daily /st "&amp;$P155&amp;" /rl highest"
  ),
  ""
)</f>
        <v/>
      </c>
      <c r="AH155" s="13" t="str">
        <f t="shared" ref="AH155:AH187" si="27">IF(
  AND($A155&lt;&gt;"",$O155&lt;&gt;"-",$O155&lt;&gt;""),
  (
    "schtasks /delete /tn """&amp;$O155&amp;""""
  ),
  ""
)</f>
        <v/>
      </c>
      <c r="AI155" s="13" t="str">
        <f>IF(
  AND($A155&lt;&gt;"",$Q155&lt;&gt;"-",$Q155&lt;&gt;""),
  (
    """"&amp;shortcut設定!$F$7&amp;""""&amp;
    " """&amp;$Q155&amp;".lnk"""&amp;
    " """&amp;$C155&amp;""""&amp;
    IF($D155="-"," """""," """&amp;$D155&amp;"""")&amp;
    IF($E155="-"," """""," """&amp;$E155&amp;"""")
  ),
  ""
)</f>
        <v/>
      </c>
      <c r="AJ155" s="91" t="s">
        <v>174</v>
      </c>
    </row>
    <row r="156" spans="1:36">
      <c r="A156" s="9" t="s">
        <v>1124</v>
      </c>
      <c r="B156" s="9" t="s">
        <v>1126</v>
      </c>
      <c r="C156" s="9" t="s">
        <v>1123</v>
      </c>
      <c r="D156" s="15" t="s">
        <v>39</v>
      </c>
      <c r="E156" s="26" t="s">
        <v>1155</v>
      </c>
      <c r="F156" s="15" t="s">
        <v>0</v>
      </c>
      <c r="G156" s="15" t="s">
        <v>0</v>
      </c>
      <c r="H156" s="9" t="s">
        <v>68</v>
      </c>
      <c r="I156" s="15" t="s">
        <v>0</v>
      </c>
      <c r="J156" s="15" t="s">
        <v>1125</v>
      </c>
      <c r="K156" s="15" t="s">
        <v>39</v>
      </c>
      <c r="L156" s="93" t="s">
        <v>39</v>
      </c>
      <c r="M156" s="94" t="s">
        <v>39</v>
      </c>
      <c r="N156" s="15" t="s">
        <v>39</v>
      </c>
      <c r="O156" s="26" t="s">
        <v>1230</v>
      </c>
      <c r="P156" s="157" t="s">
        <v>1230</v>
      </c>
      <c r="Q156" s="26" t="s">
        <v>39</v>
      </c>
      <c r="R156" s="9" t="str">
        <f>IF(
  AND(
    $A156&lt;&gt;"",
    COUNTIF(C:C,$A156)&gt;1
  ),
  "★NG★",
  ""
)</f>
        <v/>
      </c>
      <c r="S156" s="9" t="str">
        <f t="shared" si="24"/>
        <v/>
      </c>
      <c r="T156" s="13" t="str">
        <f ca="1">IF(
  AND($A156&lt;&gt;"",$I156="○"),
  (
    "mkdir """&amp;V156&amp;""" &amp; "
  )&amp;(
    """"&amp;shortcut設定!$F$7&amp;""""&amp;
    " """&amp;V156&amp;"\"&amp;$A156&amp;"（"&amp;$B156&amp;"）.lnk"""&amp;
    " """&amp;$C156&amp;""""&amp;
    IF($D156="-"," """""," """&amp;$D156&amp;"""")&amp;
    IF($E156="-"," """""," """&amp;$E156&amp;"""")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6" s="9" t="str">
        <f ca="1">IFERROR(
  VLOOKUP(
    $H156,
    shortcut設定!$F:$J,
    MATCH(
      "ProgramsIndex",
      shortcut設定!$F$12:$J$12,
      0
    ),
    FALSE
  ),
  ""
)</f>
        <v>172</v>
      </c>
      <c r="V156" s="13" t="str">
        <f ca="1">IF(
  AND($A156&lt;&gt;"",$I156="○"),
  shortcut設定!$F$4&amp;"\"&amp;U156&amp;"_"&amp;H156,
  ""
)</f>
        <v>%USERPROFILE%\AppData\Roaming\Microsoft\Windows\Start Menu\Programs\172_Utility_Other</v>
      </c>
      <c r="W156" s="13" t="str">
        <f>IF(
  AND($A156&lt;&gt;"",$J156&lt;&gt;"-",$J156&lt;&gt;""),
  (
    "mkdir """&amp;shortcut設定!$F$4&amp;"\"&amp;shortcut設定!$F$8&amp;""" &amp; "
  )&amp;(
    """"&amp;shortcut設定!$F$7&amp;""""&amp;
    " """&amp;$X156&amp;""""&amp;
    " """&amp;$C156&amp;""""&amp;
    IF($D156="-"," """""," """&amp;$D156&amp;"""")&amp;
    IF($E156="-"," """""," """&amp;$E156&amp;"""")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6" s="14" t="str">
        <f>IF(
  AND($A156&lt;&gt;"",$J156&lt;&gt;"-",$J156&lt;&gt;""),
  shortcut設定!$F$4&amp;"\"&amp;shortcut設定!$F$8&amp;"\"&amp;$J156&amp;"（"&amp;$B156&amp;"）.lnk",
  ""
)</f>
        <v>%USERPROFILE%\AppData\Roaming\Microsoft\Windows\Start Menu\Programs\$QuickAccess\cmd（コマンドプロンプト起動）.lnk</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172</v>
      </c>
      <c r="AC156" s="20" t="str">
        <f t="shared" si="25"/>
        <v/>
      </c>
      <c r="AD156" s="13" t="str">
        <f>IF(
  AND($A156&lt;&gt;"",$L156="○"),
  shortcut設定!$F$5&amp;"\"&amp;AB156&amp;"_"&amp;A156&amp;"（"&amp;B156&amp;"）"&amp;AC156&amp;".lnk",
  ""
)</f>
        <v/>
      </c>
      <c r="AE156" s="13" t="str">
        <f>IF(
  AND($A156&lt;&gt;"",$N156="○"),
  (
    """"&amp;shortcut設定!$F$7&amp;""""&amp;
    " """&amp;$AF156&amp;""""&amp;
    " """&amp;$C156&amp;""""&amp;
    IF($D156="-"," """""," """&amp;$D156&amp;"""")&amp;
    IF($E156="-"," """""," """&amp;$E156&amp;"""")
  ),
  ""
)</f>
        <v/>
      </c>
      <c r="AF156" s="9" t="str">
        <f>IF(
  AND($A156&lt;&gt;"",$N156="○"),
  shortcut設定!$F$6&amp;"\"&amp;A156&amp;"（"&amp;B156&amp;"）.lnk",
  ""
)</f>
        <v/>
      </c>
      <c r="AG156" s="13" t="str">
        <f t="shared" si="26"/>
        <v/>
      </c>
      <c r="AH156" s="13" t="str">
        <f t="shared" si="27"/>
        <v/>
      </c>
      <c r="AI156" s="13" t="str">
        <f>IF(
  AND($A156&lt;&gt;"",$Q156&lt;&gt;"-",$Q156&lt;&gt;""),
  (
    """"&amp;shortcut設定!$F$7&amp;""""&amp;
    " """&amp;$Q156&amp;".lnk"""&amp;
    " """&amp;$C156&amp;""""&amp;
    IF($D156="-"," """""," """&amp;$D156&amp;"""")&amp;
    IF($E156="-"," """""," """&amp;$E156&amp;"""")
  ),
  ""
)</f>
        <v/>
      </c>
      <c r="AJ156" s="91" t="s">
        <v>174</v>
      </c>
    </row>
    <row r="157" spans="1:36">
      <c r="A157" s="9" t="s">
        <v>1124</v>
      </c>
      <c r="B157" s="9" t="s">
        <v>1157</v>
      </c>
      <c r="C157" s="9" t="s">
        <v>1156</v>
      </c>
      <c r="D157" s="15" t="s">
        <v>1158</v>
      </c>
      <c r="E157" s="26" t="s">
        <v>39</v>
      </c>
      <c r="F157" s="15" t="s">
        <v>0</v>
      </c>
      <c r="G157" s="15" t="s">
        <v>0</v>
      </c>
      <c r="H157" s="9" t="s">
        <v>68</v>
      </c>
      <c r="I157" s="15" t="s">
        <v>0</v>
      </c>
      <c r="J157" s="15" t="s">
        <v>1125</v>
      </c>
      <c r="K157" s="15" t="s">
        <v>39</v>
      </c>
      <c r="L157" s="93" t="s">
        <v>39</v>
      </c>
      <c r="M157" s="94" t="s">
        <v>39</v>
      </c>
      <c r="N157" s="15" t="s">
        <v>39</v>
      </c>
      <c r="O157" s="26" t="s">
        <v>1230</v>
      </c>
      <c r="P157" s="157" t="s">
        <v>1230</v>
      </c>
      <c r="Q157" s="26" t="s">
        <v>39</v>
      </c>
      <c r="R157" s="9" t="str">
        <f>IF(
  AND(
    $A157&lt;&gt;"",
    COUNTIF(C:C,$A157)&gt;1
  ),
  "★NG★",
  ""
)</f>
        <v/>
      </c>
      <c r="S157" s="9" t="str">
        <f t="shared" si="24"/>
        <v/>
      </c>
      <c r="T157" s="13" t="str">
        <f ca="1">IF(
  AND($A157&lt;&gt;"",$I157="○"),
  (
    "mkdir """&amp;V157&amp;""" &amp; "
  )&amp;(
    """"&amp;shortcut設定!$F$7&amp;""""&amp;
    " """&amp;V157&amp;"\"&amp;$A157&amp;"（"&amp;$B157&amp;"）.lnk"""&amp;
    " """&amp;$C157&amp;""""&amp;
    IF($D157="-"," """""," """&amp;$D157&amp;"""")&amp;
    IF($E157="-"," """""," """&amp;$E157&amp;"""")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7" s="9" t="str">
        <f ca="1">IFERROR(
  VLOOKUP(
    $H157,
    shortcut設定!$F:$J,
    MATCH(
      "ProgramsIndex",
      shortcut設定!$F$12:$J$12,
      0
    ),
    FALSE
  ),
  ""
)</f>
        <v>172</v>
      </c>
      <c r="V157" s="13" t="str">
        <f ca="1">IF(
  AND($A157&lt;&gt;"",$I157="○"),
  shortcut設定!$F$4&amp;"\"&amp;U157&amp;"_"&amp;H157,
  ""
)</f>
        <v>%USERPROFILE%\AppData\Roaming\Microsoft\Windows\Start Menu\Programs\172_Utility_Other</v>
      </c>
      <c r="W157" s="13" t="str">
        <f>IF(
  AND($A157&lt;&gt;"",$J157&lt;&gt;"-",$J157&lt;&gt;""),
  (
    "mkdir """&amp;shortcut設定!$F$4&amp;"\"&amp;shortcut設定!$F$8&amp;""" &amp; "
  )&amp;(
    """"&amp;shortcut設定!$F$7&amp;""""&amp;
    " """&amp;$X157&amp;""""&amp;
    " """&amp;$C157&amp;""""&amp;
    IF($D157="-"," """""," """&amp;$D157&amp;"""")&amp;
    IF($E157="-"," """""," """&amp;$E157&amp;"""")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7" s="14" t="str">
        <f>IF(
  AND($A157&lt;&gt;"",$J157&lt;&gt;"-",$J157&lt;&gt;""),
  shortcut設定!$F$4&amp;"\"&amp;shortcut設定!$F$8&amp;"\"&amp;$J157&amp;"（"&amp;$B157&amp;"）.lnk",
  ""
)</f>
        <v>%USERPROFILE%\AppData\Roaming\Microsoft\Windows\Start Menu\Programs\$QuickAccess\cmd（コマンドプロンプト起動_管理者権限）.lnk</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172</v>
      </c>
      <c r="AC157" s="20" t="str">
        <f t="shared" si="25"/>
        <v/>
      </c>
      <c r="AD157" s="13" t="str">
        <f>IF(
  AND($A157&lt;&gt;"",$L157="○"),
  shortcut設定!$F$5&amp;"\"&amp;AB157&amp;"_"&amp;A157&amp;"（"&amp;B157&amp;"）"&amp;AC157&amp;".lnk",
  ""
)</f>
        <v/>
      </c>
      <c r="AE157" s="13" t="str">
        <f>IF(
  AND($A157&lt;&gt;"",$N157="○"),
  (
    """"&amp;shortcut設定!$F$7&amp;""""&amp;
    " """&amp;$AF157&amp;""""&amp;
    " """&amp;$C157&amp;""""&amp;
    IF($D157="-"," """""," """&amp;$D157&amp;"""")&amp;
    IF($E157="-"," """""," """&amp;$E157&amp;"""")
  ),
  ""
)</f>
        <v/>
      </c>
      <c r="AF157" s="9" t="str">
        <f>IF(
  AND($A157&lt;&gt;"",$N157="○"),
  shortcut設定!$F$6&amp;"\"&amp;A157&amp;"（"&amp;B157&amp;"）.lnk",
  ""
)</f>
        <v/>
      </c>
      <c r="AG157" s="13" t="str">
        <f t="shared" si="26"/>
        <v/>
      </c>
      <c r="AH157" s="13" t="str">
        <f t="shared" si="27"/>
        <v/>
      </c>
      <c r="AI157" s="13" t="str">
        <f>IF(
  AND($A157&lt;&gt;"",$Q157&lt;&gt;"-",$Q157&lt;&gt;""),
  (
    """"&amp;shortcut設定!$F$7&amp;""""&amp;
    " """&amp;$Q157&amp;".lnk"""&amp;
    " """&amp;$C157&amp;""""&amp;
    IF($D157="-"," """""," """&amp;$D157&amp;"""")&amp;
    IF($E157="-"," """""," """&amp;$E157&amp;"""")
  ),
  ""
)</f>
        <v/>
      </c>
      <c r="AJ157" s="91" t="s">
        <v>174</v>
      </c>
    </row>
    <row r="158" spans="1:36">
      <c r="A158" s="9" t="s">
        <v>1501</v>
      </c>
      <c r="B158" s="9" t="s">
        <v>793</v>
      </c>
      <c r="C158" s="9" t="s">
        <v>1500</v>
      </c>
      <c r="D158" s="15" t="s">
        <v>39</v>
      </c>
      <c r="E158" s="26" t="s">
        <v>39</v>
      </c>
      <c r="F158" s="15" t="s">
        <v>0</v>
      </c>
      <c r="G158" s="15" t="s">
        <v>0</v>
      </c>
      <c r="H158" s="9" t="s">
        <v>521</v>
      </c>
      <c r="I158" s="15" t="s">
        <v>64</v>
      </c>
      <c r="J158" s="15" t="s">
        <v>64</v>
      </c>
      <c r="K158" s="15" t="s">
        <v>64</v>
      </c>
      <c r="L158" s="93" t="s">
        <v>64</v>
      </c>
      <c r="M158" s="94" t="s">
        <v>39</v>
      </c>
      <c r="N158" s="15" t="s">
        <v>149</v>
      </c>
      <c r="O158" s="26" t="s">
        <v>39</v>
      </c>
      <c r="P158" s="157" t="s">
        <v>39</v>
      </c>
      <c r="Q158" s="26" t="s">
        <v>39</v>
      </c>
      <c r="R158" s="9" t="str">
        <f>IF(
  AND(
    $A158&lt;&gt;"",
    COUNTIF(C:C,$A158)&gt;1
  ),
  "★NG★",
  ""
)</f>
        <v/>
      </c>
      <c r="S158" s="9" t="str">
        <f t="shared" si="24"/>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IF(
  AND($A158&lt;&gt;"",$L158&lt;&gt;"-",$L158&lt;&gt;""),
  (
    """"&amp;shortcut設定!$F$7&amp;""""&amp;
    " """&amp;$AD158&amp;""""&amp;
    " """&amp;$C158&amp;""""&amp;
    IF($D158="-"," """""," """&amp;$D158&amp;"""")&amp;
    IF($E158="-"," """""," """&amp;$E158&amp;"""")
  ),
  ""
)</f>
        <v/>
      </c>
      <c r="AB158" s="9" t="str">
        <f ca="1">IFERROR(
  VLOOKUP(
    $H158,
    shortcut設定!$F:$J,
    MATCH(
      "ProgramsIndex",
      shortcut設定!$F$12:$J$12,
      0
    ),
    FALSE
  ),
  ""
)</f>
        <v>200</v>
      </c>
      <c r="AC158" s="20" t="str">
        <f t="shared" si="25"/>
        <v/>
      </c>
      <c r="AD158" s="13" t="str">
        <f>IF(
  AND($A158&lt;&gt;"",$L158="○"),
  shortcut設定!$F$5&amp;"\"&amp;AB158&amp;"_"&amp;A158&amp;"（"&amp;B158&amp;"）"&amp;AC158&amp;".lnk",
  ""
)</f>
        <v/>
      </c>
      <c r="AE158" s="13" t="str">
        <f>IF(
  AND($A158&lt;&gt;"",$N158="○"),
  (
    """"&amp;shortcut設定!$F$7&amp;""""&amp;
    " """&amp;$AF158&amp;""""&amp;
    " """&amp;$C158&amp;""""&amp;
    IF($D158="-"," """""," """&amp;$D158&amp;"""")&amp;
    IF($E158="-"," """""," """&amp;$E158&amp;"""")
  ),
  ""
)</f>
        <v>"C:\codes\vbs\command\CreateShortcutFile.vbs" "%USERPROFILE%\AppData\Roaming\Microsoft\Windows\Start Menu\Programs\Startup\UserDefHotKey2.bat（ホットキー）.lnk" "C:\codes\ahk\UserDefHotKey2.bat" "" ""</v>
      </c>
      <c r="AF158" s="9" t="str">
        <f>IF(
  AND($A158&lt;&gt;"",$N158="○"),
  shortcut設定!$F$6&amp;"\"&amp;A158&amp;"（"&amp;B158&amp;"）.lnk",
  ""
)</f>
        <v>%USERPROFILE%\AppData\Roaming\Microsoft\Windows\Start Menu\Programs\Startup\UserDefHotKey2.bat（ホットキー）.lnk</v>
      </c>
      <c r="AG158" s="13" t="str">
        <f t="shared" si="26"/>
        <v/>
      </c>
      <c r="AH158" s="13" t="str">
        <f t="shared" si="27"/>
        <v/>
      </c>
      <c r="AI158" s="13" t="str">
        <f>IF(
  AND($A158&lt;&gt;"",$Q158&lt;&gt;"-",$Q158&lt;&gt;""),
  (
    """"&amp;shortcut設定!$F$7&amp;""""&amp;
    " """&amp;$Q158&amp;".lnk"""&amp;
    " """&amp;$C158&amp;""""&amp;
    IF($D158="-"," """""," """&amp;$D158&amp;"""")&amp;
    IF($E158="-"," """""," """&amp;$E158&amp;"""")
  ),
  ""
)</f>
        <v/>
      </c>
      <c r="AJ158" s="91" t="s">
        <v>174</v>
      </c>
    </row>
    <row r="159" spans="1:36">
      <c r="A159" s="9" t="s">
        <v>1496</v>
      </c>
      <c r="B159" s="9" t="s">
        <v>1497</v>
      </c>
      <c r="C159" s="9" t="s">
        <v>1495</v>
      </c>
      <c r="D159" s="15" t="s">
        <v>1498</v>
      </c>
      <c r="E159" s="26" t="s">
        <v>1498</v>
      </c>
      <c r="F159" s="15" t="s">
        <v>0</v>
      </c>
      <c r="G159" s="15" t="s">
        <v>0</v>
      </c>
      <c r="H159" s="9" t="s">
        <v>521</v>
      </c>
      <c r="I159" s="15" t="s">
        <v>1498</v>
      </c>
      <c r="J159" s="15" t="s">
        <v>1498</v>
      </c>
      <c r="K159" s="15" t="s">
        <v>1498</v>
      </c>
      <c r="L159" s="93" t="s">
        <v>1498</v>
      </c>
      <c r="M159" s="94" t="s">
        <v>1498</v>
      </c>
      <c r="N159" s="15" t="s">
        <v>1499</v>
      </c>
      <c r="O159" s="26" t="s">
        <v>1498</v>
      </c>
      <c r="P159" s="157" t="s">
        <v>1498</v>
      </c>
      <c r="Q159" s="26" t="s">
        <v>1498</v>
      </c>
      <c r="R159" s="9" t="str">
        <f>IF(
  AND(
    $A159&lt;&gt;"",
    COUNTIF(C:C,$A159)&gt;1
  ),
  "★NG★",
  ""
)</f>
        <v/>
      </c>
      <c r="S159" s="9" t="str">
        <f>IF(
  OR(
    $H159="",
    $H159="-",
    COUNTIF(カテゴリ,$H159)&gt;0
  ),
  "",
  "★NG★"
)</f>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IF(AND($M159&lt;&gt;"",$M159&lt;&gt;"-")," (&amp;"&amp;$M159&amp;")","")</f>
        <v/>
      </c>
      <c r="AD159" s="13" t="str">
        <f>IF(
  AND($A159&lt;&gt;"",$L159="○"),
  shortcut設定!$F$5&amp;"\"&amp;AB159&amp;"_"&amp;A159&amp;"（"&amp;B159&amp;"）"&amp;AC159&amp;".lnk",
  ""
)</f>
        <v/>
      </c>
      <c r="AE159" s="13" t="str">
        <f>IF(
  AND($A159&lt;&gt;"",$N159="○"),
  (
    """"&amp;shortcut設定!$F$7&amp;""""&amp;
    " """&amp;$AF159&amp;""""&amp;
    " """&amp;$C159&amp;""""&amp;
    IF($D159="-"," """""," """&amp;$D159&amp;"""")&amp;
    IF($E159="-"," """""," """&amp;$E159&amp;"""")
  ),
  ""
)</f>
        <v>"C:\codes\vbs\command\CreateShortcutFile.vbs" "%USERPROFILE%\AppData\Roaming\Microsoft\Windows\Start Menu\Programs\Startup\DesktopClock.ahk（デスクトップ時計）.lnk" "C:\codes\ahk\DesktopClock.ahk" "" ""</v>
      </c>
      <c r="AF159" s="9" t="str">
        <f>IF(
  AND($A159&lt;&gt;"",$N159="○"),
  shortcut設定!$F$6&amp;"\"&amp;A159&amp;"（"&amp;B159&amp;"）.lnk",
  ""
)</f>
        <v>%USERPROFILE%\AppData\Roaming\Microsoft\Windows\Start Menu\Programs\Startup\DesktopClock.ahk（デスクトップ時計）.lnk</v>
      </c>
      <c r="AG159" s="13" t="str">
        <f>IF(
  AND($A159&lt;&gt;"",$O159&lt;&gt;"-",$O159&lt;&gt;""),
  (
    "schtasks /create /tn """&amp;$O159&amp;""" /tr """&amp;$C159&amp;""" /sc daily /st "&amp;$P159&amp;" /rl highest"
  ),
  ""
)</f>
        <v/>
      </c>
      <c r="AH159" s="13" t="str">
        <f>IF(
  AND($A159&lt;&gt;"",$O159&lt;&gt;"-",$O159&lt;&gt;""),
  (
    "schtasks /delete /tn """&amp;$O159&amp;""""
  ),
  ""
)</f>
        <v/>
      </c>
      <c r="AI159" s="13" t="str">
        <f>IF(
  AND($A159&lt;&gt;"",$Q159&lt;&gt;"-",$Q159&lt;&gt;""),
  (
    """"&amp;shortcut設定!$F$7&amp;""""&amp;
    " """&amp;$Q159&amp;".lnk"""&amp;
    " """&amp;$C159&amp;""""&amp;
    IF($D159="-"," """""," """&amp;$D159&amp;"""")&amp;
    IF($E159="-"," """""," """&amp;$E159&amp;"""")
  ),
  ""
)</f>
        <v/>
      </c>
      <c r="AJ159" s="91" t="s">
        <v>174</v>
      </c>
    </row>
    <row r="160" spans="1:36">
      <c r="A160" s="9" t="s">
        <v>658</v>
      </c>
      <c r="B160" s="9" t="s">
        <v>794</v>
      </c>
      <c r="C160" s="9" t="s">
        <v>542</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IF(
  AND(
    $A160&lt;&gt;"",
    COUNTIF(C:C,$A160)&gt;1
  ),
  "★NG★",
  ""
)</f>
        <v/>
      </c>
      <c r="S160" s="9" t="str">
        <f t="shared" si="24"/>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"%USERPROFILE%\AppData\Roaming\Microsoft\Windows\SendTo\200_AddString2FileFolder.vbs（ファイルフォルダ接尾辞付与）.lnk" "C:\codes\vbs\tools\win\file_ope\AddString2FileFolder.vbs" "" ""</v>
      </c>
      <c r="AB160" s="9" t="str">
        <f ca="1">IFERROR(
  VLOOKUP(
    $H160,
    shortcut設定!$F:$J,
    MATCH(
      "ProgramsIndex",
      shortcut設定!$F$12:$J$12,
      0
    ),
    FALSE
  ),
  ""
)</f>
        <v>200</v>
      </c>
      <c r="AC160" s="20" t="str">
        <f t="shared" si="25"/>
        <v/>
      </c>
      <c r="AD160" s="13" t="str">
        <f ca="1">IF(
  AND($A160&lt;&gt;"",$L160="○"),
  shortcut設定!$F$5&amp;"\"&amp;AB160&amp;"_"&amp;A160&amp;"（"&amp;B160&amp;"）"&amp;AC160&amp;".lnk",
  ""
)</f>
        <v>%USERPROFILE%\AppData\Roaming\Microsoft\Windows\SendTo\200_AddString2FileFolder.vbs（ファイルフォルダ接尾辞付与）.lnk</v>
      </c>
      <c r="AE160" s="13" t="str">
        <f>IF(
  AND($A160&lt;&gt;"",$N160="○"),
  (
    """"&amp;shortcut設定!$F$7&amp;""""&amp;
    " """&amp;$AF160&amp;""""&amp;
    " """&amp;$C160&amp;""""&amp;
    IF($D160="-"," """""," """&amp;$D160&amp;"""")&amp;
    IF($E160="-"," """""," """&amp;$E160&amp;"""")
  ),
  ""
)</f>
        <v/>
      </c>
      <c r="AF160" s="9" t="str">
        <f>IF(
  AND($A160&lt;&gt;"",$N160="○"),
  shortcut設定!$F$6&amp;"\"&amp;A160&amp;"（"&amp;B160&amp;"）.lnk",
  ""
)</f>
        <v/>
      </c>
      <c r="AG160" s="13" t="str">
        <f t="shared" si="26"/>
        <v/>
      </c>
      <c r="AH160" s="13" t="str">
        <f t="shared" si="27"/>
        <v/>
      </c>
      <c r="AI160" s="13" t="str">
        <f>IF(
  AND($A160&lt;&gt;"",$Q160&lt;&gt;"-",$Q160&lt;&gt;""),
  (
    """"&amp;shortcut設定!$F$7&amp;""""&amp;
    " """&amp;$Q160&amp;".lnk"""&amp;
    " """&amp;$C160&amp;""""&amp;
    IF($D160="-"," """""," """&amp;$D160&amp;"""")&amp;
    IF($E160="-"," """""," """&amp;$E160&amp;"""")
  ),
  ""
)</f>
        <v/>
      </c>
      <c r="AJ160" s="91" t="s">
        <v>174</v>
      </c>
    </row>
    <row r="161" spans="1:36">
      <c r="A161" s="9" t="s">
        <v>659</v>
      </c>
      <c r="B161" s="9" t="s">
        <v>795</v>
      </c>
      <c r="C161" s="9" t="s">
        <v>94</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IF(
  AND(
    $A161&lt;&gt;"",
    COUNTIF(C:C,$A161)&gt;1
  ),
  "★NG★",
  ""
)</f>
        <v/>
      </c>
      <c r="S161" s="9" t="str">
        <f t="shared" si="24"/>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"%USERPROFILE%\AppData\Roaming\Microsoft\Windows\SendTo\200_BackUpFile.vbs（ファイルバックアップ）.lnk" "C:\codes\vbs\tools\win\file_ope\BackUpFile.vbs" "" ""</v>
      </c>
      <c r="AB161" s="9" t="str">
        <f ca="1">IFERROR(
  VLOOKUP(
    $H161,
    shortcut設定!$F:$J,
    MATCH(
      "ProgramsIndex",
      shortcut設定!$F$12:$J$12,
      0
    ),
    FALSE
  ),
  ""
)</f>
        <v>200</v>
      </c>
      <c r="AC161" s="20" t="str">
        <f t="shared" si="25"/>
        <v/>
      </c>
      <c r="AD161" s="13" t="str">
        <f ca="1">IF(
  AND($A161&lt;&gt;"",$L161="○"),
  shortcut設定!$F$5&amp;"\"&amp;AB161&amp;"_"&amp;A161&amp;"（"&amp;B161&amp;"）"&amp;AC161&amp;".lnk",
  ""
)</f>
        <v>%USERPROFILE%\AppData\Roaming\Microsoft\Windows\SendTo\200_BackUpFile.vbs（ファイルバックアップ）.lnk</v>
      </c>
      <c r="AE161" s="13" t="str">
        <f>IF(
  AND($A161&lt;&gt;"",$N161="○"),
  (
    """"&amp;shortcut設定!$F$7&amp;""""&amp;
    " """&amp;$AF161&amp;""""&amp;
    " """&amp;$C161&amp;""""&amp;
    IF($D161="-"," """""," """&amp;$D161&amp;"""")&amp;
    IF($E161="-"," """""," """&amp;$E161&amp;"""")
  ),
  ""
)</f>
        <v/>
      </c>
      <c r="AF161" s="9" t="str">
        <f>IF(
  AND($A161&lt;&gt;"",$N161="○"),
  shortcut設定!$F$6&amp;"\"&amp;A161&amp;"（"&amp;B161&amp;"）.lnk",
  ""
)</f>
        <v/>
      </c>
      <c r="AG161" s="13" t="str">
        <f t="shared" si="26"/>
        <v/>
      </c>
      <c r="AH161" s="13" t="str">
        <f t="shared" si="27"/>
        <v/>
      </c>
      <c r="AI161" s="13" t="str">
        <f>IF(
  AND($A161&lt;&gt;"",$Q161&lt;&gt;"-",$Q161&lt;&gt;""),
  (
    """"&amp;shortcut設定!$F$7&amp;""""&amp;
    " """&amp;$Q161&amp;".lnk"""&amp;
    " """&amp;$C161&amp;""""&amp;
    IF($D161="-"," """""," """&amp;$D161&amp;"""")&amp;
    IF($E161="-"," """""," """&amp;$E161&amp;"""")
  ),
  ""
)</f>
        <v/>
      </c>
      <c r="AJ161" s="91" t="s">
        <v>174</v>
      </c>
    </row>
    <row r="162" spans="1:36">
      <c r="A162" s="9" t="s">
        <v>660</v>
      </c>
      <c r="B162" s="9" t="s">
        <v>796</v>
      </c>
      <c r="C162" s="9" t="s">
        <v>95</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IF(
  AND(
    $A162&lt;&gt;"",
    COUNTIF(C:C,$A162)&gt;1
  ),
  "★NG★",
  ""
)</f>
        <v/>
      </c>
      <c r="S162" s="9" t="str">
        <f t="shared" si="24"/>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"%USERPROFILE%\AppData\Roaming\Microsoft\Windows\SendTo\200_BackUpMemoFiles.vbs（ファイル一括バックアップ）.lnk" "C:\codes\vbs\tools\win\file_ope\BackUpMemoFiles.vbs" "" ""</v>
      </c>
      <c r="AB162" s="9" t="str">
        <f ca="1">IFERROR(
  VLOOKUP(
    $H162,
    shortcut設定!$F:$J,
    MATCH(
      "ProgramsIndex",
      shortcut設定!$F$12:$J$12,
      0
    ),
    FALSE
  ),
  ""
)</f>
        <v>200</v>
      </c>
      <c r="AC162" s="20" t="str">
        <f t="shared" si="25"/>
        <v/>
      </c>
      <c r="AD162" s="13" t="str">
        <f ca="1">IF(
  AND($A162&lt;&gt;"",$L162="○"),
  shortcut設定!$F$5&amp;"\"&amp;AB162&amp;"_"&amp;A162&amp;"（"&amp;B162&amp;"）"&amp;AC162&amp;".lnk",
  ""
)</f>
        <v>%USERPROFILE%\AppData\Roaming\Microsoft\Windows\SendTo\200_BackUpMemoFiles.vbs（ファイル一括バックアップ）.lnk</v>
      </c>
      <c r="AE162" s="13" t="str">
        <f>IF(
  AND($A162&lt;&gt;"",$N162="○"),
  (
    """"&amp;shortcut設定!$F$7&amp;""""&amp;
    " """&amp;$AF162&amp;""""&amp;
    " """&amp;$C162&amp;""""&amp;
    IF($D162="-"," """""," """&amp;$D162&amp;"""")&amp;
    IF($E162="-"," """""," """&amp;$E162&amp;"""")
  ),
  ""
)</f>
        <v/>
      </c>
      <c r="AF162" s="9" t="str">
        <f>IF(
  AND($A162&lt;&gt;"",$N162="○"),
  shortcut設定!$F$6&amp;"\"&amp;A162&amp;"（"&amp;B162&amp;"）.lnk",
  ""
)</f>
        <v/>
      </c>
      <c r="AG162" s="13" t="str">
        <f t="shared" si="26"/>
        <v/>
      </c>
      <c r="AH162" s="13" t="str">
        <f t="shared" si="27"/>
        <v/>
      </c>
      <c r="AI162" s="13" t="str">
        <f>IF(
  AND($A162&lt;&gt;"",$Q162&lt;&gt;"-",$Q162&lt;&gt;""),
  (
    """"&amp;shortcut設定!$F$7&amp;""""&amp;
    " """&amp;$Q162&amp;".lnk"""&amp;
    " """&amp;$C162&amp;""""&amp;
    IF($D162="-"," """""," """&amp;$D162&amp;"""")&amp;
    IF($E162="-"," """""," """&amp;$E162&amp;"""")
  ),
  ""
)</f>
        <v/>
      </c>
      <c r="AJ162" s="91" t="s">
        <v>174</v>
      </c>
    </row>
    <row r="163" spans="1:36">
      <c r="A163" s="9" t="s">
        <v>661</v>
      </c>
      <c r="B163" s="9" t="s">
        <v>797</v>
      </c>
      <c r="C163" s="9" t="s">
        <v>96</v>
      </c>
      <c r="D163" s="15" t="s">
        <v>39</v>
      </c>
      <c r="E163" s="26" t="s">
        <v>39</v>
      </c>
      <c r="F163" s="15" t="s">
        <v>0</v>
      </c>
      <c r="G163" s="15" t="s">
        <v>0</v>
      </c>
      <c r="H163" s="9" t="s">
        <v>521</v>
      </c>
      <c r="I163" s="15" t="s">
        <v>64</v>
      </c>
      <c r="J163" s="15" t="s">
        <v>64</v>
      </c>
      <c r="K163" s="15" t="s">
        <v>64</v>
      </c>
      <c r="L163" s="93" t="s">
        <v>841</v>
      </c>
      <c r="M163" s="94" t="s">
        <v>545</v>
      </c>
      <c r="N163" s="15" t="s">
        <v>64</v>
      </c>
      <c r="O163" s="26" t="s">
        <v>1230</v>
      </c>
      <c r="P163" s="157" t="s">
        <v>1230</v>
      </c>
      <c r="Q163" s="26" t="s">
        <v>935</v>
      </c>
      <c r="R163" s="9" t="str">
        <f>IF(
  AND(
    $A163&lt;&gt;"",
    COUNTIF(C:C,$A163)&gt;1
  ),
  "★NG★",
  ""
)</f>
        <v/>
      </c>
      <c r="S163" s="9" t="str">
        <f t="shared" si="24"/>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 ca="1">IF(
  AND($A163&lt;&gt;"",$L163&lt;&gt;"-",$L163&lt;&gt;""),
  (
    """"&amp;shortcut設定!$F$7&amp;""""&amp;
    " """&amp;$AD163&amp;""""&amp;
    " """&amp;$C163&amp;""""&amp;
    IF($D163="-"," """""," """&amp;$D163&amp;"""")&amp;
    IF($E163="-"," """""," """&amp;$E163&amp;"""")
  ),
  ""
)</f>
        <v>"C:\codes\vbs\command\CreateShortcutFile.vbs" "%USERPROFILE%\AppData\Roaming\Microsoft\Windows\SendTo\200_CopyRefFile.vbs（参照ファイル複製）.lnk" "C:\codes\vbs\tools\win\file_ope\CopyRefFile.vbs" "" ""</v>
      </c>
      <c r="AB163" s="9" t="str">
        <f ca="1">IFERROR(
  VLOOKUP(
    $H163,
    shortcut設定!$F:$J,
    MATCH(
      "ProgramsIndex",
      shortcut設定!$F$12:$J$12,
      0
    ),
    FALSE
  ),
  ""
)</f>
        <v>200</v>
      </c>
      <c r="AC163" s="20" t="str">
        <f t="shared" si="25"/>
        <v/>
      </c>
      <c r="AD163" s="13" t="str">
        <f ca="1">IF(
  AND($A163&lt;&gt;"",$L163="○"),
  shortcut設定!$F$5&amp;"\"&amp;AB163&amp;"_"&amp;A163&amp;"（"&amp;B163&amp;"）"&amp;AC163&amp;".lnk",
  ""
)</f>
        <v>%USERPROFILE%\AppData\Roaming\Microsoft\Windows\SendTo\200_CopyRefFile.vbs（参照ファイル複製）.lnk</v>
      </c>
      <c r="AE163" s="13" t="str">
        <f>IF(
  AND($A163&lt;&gt;"",$N163="○"),
  (
    """"&amp;shortcut設定!$F$7&amp;""""&amp;
    " """&amp;$AF163&amp;""""&amp;
    " """&amp;$C163&amp;""""&amp;
    IF($D163="-"," """""," """&amp;$D163&amp;"""")&amp;
    IF($E163="-"," """""," """&amp;$E163&amp;"""")
  ),
  ""
)</f>
        <v/>
      </c>
      <c r="AF163" s="9" t="str">
        <f>IF(
  AND($A163&lt;&gt;"",$N163="○"),
  shortcut設定!$F$6&amp;"\"&amp;A163&amp;"（"&amp;B163&amp;"）.lnk",
  ""
)</f>
        <v/>
      </c>
      <c r="AG163" s="13" t="str">
        <f t="shared" si="26"/>
        <v/>
      </c>
      <c r="AH163" s="13" t="str">
        <f t="shared" si="27"/>
        <v/>
      </c>
      <c r="AI163" s="13" t="str">
        <f>IF(
  AND($A163&lt;&gt;"",$Q163&lt;&gt;"-",$Q163&lt;&gt;""),
  (
    """"&amp;shortcut設定!$F$7&amp;""""&amp;
    " """&amp;$Q163&amp;".lnk"""&amp;
    " """&amp;$C163&amp;""""&amp;
    IF($D163="-"," """""," """&amp;$D163&amp;"""")&amp;
    IF($E163="-"," """""," """&amp;$E163&amp;"""")
  ),
  ""
)</f>
        <v/>
      </c>
      <c r="AJ163" s="91" t="s">
        <v>174</v>
      </c>
    </row>
    <row r="164" spans="1:36">
      <c r="A164" s="9" t="s">
        <v>662</v>
      </c>
      <c r="B164" s="9" t="s">
        <v>798</v>
      </c>
      <c r="C164" s="9" t="s">
        <v>97</v>
      </c>
      <c r="D164" s="15" t="s">
        <v>39</v>
      </c>
      <c r="E164" s="26" t="s">
        <v>39</v>
      </c>
      <c r="F164" s="15" t="s">
        <v>0</v>
      </c>
      <c r="G164" s="15" t="s">
        <v>0</v>
      </c>
      <c r="H164" s="9" t="s">
        <v>521</v>
      </c>
      <c r="I164" s="15" t="s">
        <v>64</v>
      </c>
      <c r="J164" s="15" t="s">
        <v>64</v>
      </c>
      <c r="K164" s="15" t="s">
        <v>64</v>
      </c>
      <c r="L164" s="93" t="s">
        <v>841</v>
      </c>
      <c r="M164" s="94" t="s">
        <v>545</v>
      </c>
      <c r="N164" s="15" t="s">
        <v>64</v>
      </c>
      <c r="O164" s="26" t="s">
        <v>1230</v>
      </c>
      <c r="P164" s="157" t="s">
        <v>1230</v>
      </c>
      <c r="Q164" s="26" t="s">
        <v>935</v>
      </c>
      <c r="R164" s="9" t="str">
        <f>IF(
  AND(
    $A164&lt;&gt;"",
    COUNTIF(C:C,$A164)&gt;1
  ),
  "★NG★",
  ""
)</f>
        <v/>
      </c>
      <c r="S164" s="9" t="str">
        <f t="shared" si="24"/>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 ca="1">IF(
  AND($A164&lt;&gt;"",$L164&lt;&gt;"-",$L164&lt;&gt;""),
  (
    """"&amp;shortcut設定!$F$7&amp;""""&amp;
    " """&amp;$AD164&amp;""""&amp;
    " """&amp;$C164&amp;""""&amp;
    IF($D164="-"," """""," """&amp;$D164&amp;"""")&amp;
    IF($E164="-"," """""," """&amp;$E164&amp;"""")
  ),
  ""
)</f>
        <v>"C:\codes\vbs\command\CreateShortcutFile.vbs" "%USERPROFILE%\AppData\Roaming\Microsoft\Windows\SendTo\200_CopyRefFileFromWeb.vbs（参照ファイル複製fromWeb）.lnk" "C:\codes\vbs\tools\win\file_ope\CopyRefFileFromWeb.vbs" "" ""</v>
      </c>
      <c r="AB164" s="9" t="str">
        <f ca="1">IFERROR(
  VLOOKUP(
    $H164,
    shortcut設定!$F:$J,
    MATCH(
      "ProgramsIndex",
      shortcut設定!$F$12:$J$12,
      0
    ),
    FALSE
  ),
  ""
)</f>
        <v>200</v>
      </c>
      <c r="AC164" s="20" t="str">
        <f t="shared" si="25"/>
        <v/>
      </c>
      <c r="AD164" s="13" t="str">
        <f ca="1">IF(
  AND($A164&lt;&gt;"",$L164="○"),
  shortcut設定!$F$5&amp;"\"&amp;AB164&amp;"_"&amp;A164&amp;"（"&amp;B164&amp;"）"&amp;AC164&amp;".lnk",
  ""
)</f>
        <v>%USERPROFILE%\AppData\Roaming\Microsoft\Windows\SendTo\200_CopyRefFileFromWeb.vbs（参照ファイル複製fromWeb）.lnk</v>
      </c>
      <c r="AE164" s="13" t="str">
        <f>IF(
  AND($A164&lt;&gt;"",$N164="○"),
  (
    """"&amp;shortcut設定!$F$7&amp;""""&amp;
    " """&amp;$AF164&amp;""""&amp;
    " """&amp;$C164&amp;""""&amp;
    IF($D164="-"," """""," """&amp;$D164&amp;"""")&amp;
    IF($E164="-"," """""," """&amp;$E164&amp;"""")
  ),
  ""
)</f>
        <v/>
      </c>
      <c r="AF164" s="9" t="str">
        <f>IF(
  AND($A164&lt;&gt;"",$N164="○"),
  shortcut設定!$F$6&amp;"\"&amp;A164&amp;"（"&amp;B164&amp;"）.lnk",
  ""
)</f>
        <v/>
      </c>
      <c r="AG164" s="13" t="str">
        <f t="shared" si="26"/>
        <v/>
      </c>
      <c r="AH164" s="13" t="str">
        <f t="shared" si="27"/>
        <v/>
      </c>
      <c r="AI164" s="13" t="str">
        <f>IF(
  AND($A164&lt;&gt;"",$Q164&lt;&gt;"-",$Q164&lt;&gt;""),
  (
    """"&amp;shortcut設定!$F$7&amp;""""&amp;
    " """&amp;$Q164&amp;".lnk"""&amp;
    " """&amp;$C164&amp;""""&amp;
    IF($D164="-"," """""," """&amp;$D164&amp;"""")&amp;
    IF($E164="-"," """""," """&amp;$E164&amp;"""")
  ),
  ""
)</f>
        <v/>
      </c>
      <c r="AJ164" s="91" t="s">
        <v>174</v>
      </c>
    </row>
    <row r="165" spans="1:36">
      <c r="A165" s="9" t="s">
        <v>663</v>
      </c>
      <c r="B165" s="9" t="s">
        <v>799</v>
      </c>
      <c r="C165" s="9" t="s">
        <v>99</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IF(
  AND(
    $A165&lt;&gt;"",
    COUNTIF(C:C,$A165)&gt;1
  ),
  "★NG★",
  ""
)</f>
        <v/>
      </c>
      <c r="S165" s="9" t="str">
        <f t="shared" si="24"/>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5"/>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6"/>
        <v/>
      </c>
      <c r="AH165" s="13" t="str">
        <f t="shared" si="27"/>
        <v/>
      </c>
      <c r="AI165" s="13" t="str">
        <f>IF(
  AND($A165&lt;&gt;"",$Q165&lt;&gt;"-",$Q165&lt;&gt;""),
  (
    """"&amp;shortcut設定!$F$7&amp;""""&amp;
    " """&amp;$Q165&amp;".lnk"""&amp;
    " """&amp;$C165&amp;""""&amp;
    IF($D165="-"," """""," """&amp;$D165&amp;"""")&amp;
    IF($E165="-"," """""," """&amp;$E165&amp;"""")
  ),
  ""
)</f>
        <v/>
      </c>
      <c r="AJ165" s="91" t="s">
        <v>174</v>
      </c>
    </row>
    <row r="166" spans="1:36">
      <c r="A166" s="9" t="s">
        <v>664</v>
      </c>
      <c r="B166" s="9" t="s">
        <v>800</v>
      </c>
      <c r="C166" s="9" t="s">
        <v>100</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IF(
  AND(
    $A166&lt;&gt;"",
    COUNTIF(C:C,$A166)&gt;1
  ),
  "★NG★",
  ""
)</f>
        <v/>
      </c>
      <c r="S166" s="9" t="str">
        <f t="shared" si="24"/>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5"/>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6"/>
        <v/>
      </c>
      <c r="AH166" s="13" t="str">
        <f t="shared" si="27"/>
        <v/>
      </c>
      <c r="AI166" s="13" t="str">
        <f>IF(
  AND($A166&lt;&gt;"",$Q166&lt;&gt;"-",$Q166&lt;&gt;""),
  (
    """"&amp;shortcut設定!$F$7&amp;""""&amp;
    " """&amp;$Q166&amp;".lnk"""&amp;
    " """&amp;$C166&amp;""""&amp;
    IF($D166="-"," """""," """&amp;$D166&amp;"""")&amp;
    IF($E166="-"," """""," """&amp;$E166&amp;"""")
  ),
  ""
)</f>
        <v/>
      </c>
      <c r="AJ166" s="91" t="s">
        <v>174</v>
      </c>
    </row>
    <row r="167" spans="1:36">
      <c r="A167" s="9" t="s">
        <v>665</v>
      </c>
      <c r="B167" s="9" t="s">
        <v>801</v>
      </c>
      <c r="C167" s="9" t="s">
        <v>101</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IF(
  AND(
    $A167&lt;&gt;"",
    COUNTIF(C:C,$A167)&gt;1
  ),
  "★NG★",
  ""
)</f>
        <v/>
      </c>
      <c r="S167" s="9" t="str">
        <f t="shared" si="24"/>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5"/>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6"/>
        <v/>
      </c>
      <c r="AH167" s="13" t="str">
        <f t="shared" si="27"/>
        <v/>
      </c>
      <c r="AI167" s="13" t="str">
        <f>IF(
  AND($A167&lt;&gt;"",$Q167&lt;&gt;"-",$Q167&lt;&gt;""),
  (
    """"&amp;shortcut設定!$F$7&amp;""""&amp;
    " """&amp;$Q167&amp;".lnk"""&amp;
    " """&amp;$C167&amp;""""&amp;
    IF($D167="-"," """""," """&amp;$D167&amp;"""")&amp;
    IF($E167="-"," """""," """&amp;$E167&amp;"""")
  ),
  ""
)</f>
        <v/>
      </c>
      <c r="AJ167" s="91" t="s">
        <v>174</v>
      </c>
    </row>
    <row r="168" spans="1:36">
      <c r="A168" s="9" t="s">
        <v>666</v>
      </c>
      <c r="B168" s="9" t="s">
        <v>802</v>
      </c>
      <c r="C168" s="9" t="s">
        <v>107</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IF(
  AND(
    $A168&lt;&gt;"",
    COUNTIF(C:C,$A168)&gt;1
  ),
  "★NG★",
  ""
)</f>
        <v/>
      </c>
      <c r="S168" s="9" t="str">
        <f t="shared" si="24"/>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5"/>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6"/>
        <v/>
      </c>
      <c r="AH168" s="13" t="str">
        <f t="shared" si="27"/>
        <v/>
      </c>
      <c r="AI168" s="13" t="str">
        <f>IF(
  AND($A168&lt;&gt;"",$Q168&lt;&gt;"-",$Q168&lt;&gt;""),
  (
    """"&amp;shortcut設定!$F$7&amp;""""&amp;
    " """&amp;$Q168&amp;".lnk"""&amp;
    " """&amp;$C168&amp;""""&amp;
    IF($D168="-"," """""," """&amp;$D168&amp;"""")&amp;
    IF($E168="-"," """""," """&amp;$E168&amp;"""")
  ),
  ""
)</f>
        <v/>
      </c>
      <c r="AJ168" s="91" t="s">
        <v>174</v>
      </c>
    </row>
    <row r="169" spans="1:36">
      <c r="A169" s="9" t="s">
        <v>667</v>
      </c>
      <c r="B169" s="9" t="s">
        <v>803</v>
      </c>
      <c r="C169" s="9" t="s">
        <v>108</v>
      </c>
      <c r="D169" s="15" t="s">
        <v>39</v>
      </c>
      <c r="E169" s="26" t="s">
        <v>39</v>
      </c>
      <c r="F169" s="15" t="s">
        <v>0</v>
      </c>
      <c r="G169" s="15" t="s">
        <v>0</v>
      </c>
      <c r="H169" s="9" t="s">
        <v>521</v>
      </c>
      <c r="I169" s="15" t="s">
        <v>64</v>
      </c>
      <c r="J169" s="15" t="s">
        <v>64</v>
      </c>
      <c r="K169" s="15" t="s">
        <v>64</v>
      </c>
      <c r="L169" s="93" t="s">
        <v>64</v>
      </c>
      <c r="M169" s="94" t="s">
        <v>545</v>
      </c>
      <c r="N169" s="15" t="s">
        <v>64</v>
      </c>
      <c r="O169" s="26" t="s">
        <v>1230</v>
      </c>
      <c r="P169" s="157" t="s">
        <v>1230</v>
      </c>
      <c r="Q169" s="26" t="s">
        <v>935</v>
      </c>
      <c r="R169" s="9" t="str">
        <f>IF(
  AND(
    $A169&lt;&gt;"",
    COUNTIF(C:C,$A169)&gt;1
  ),
  "★NG★",
  ""
)</f>
        <v/>
      </c>
      <c r="S169" s="9" t="str">
        <f t="shared" si="24"/>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IF(
  AND($A169&lt;&gt;"",$L169&lt;&gt;"-",$L169&lt;&gt;""),
  (
    """"&amp;shortcut設定!$F$7&amp;""""&amp;
    " """&amp;$AD169&amp;""""&amp;
    " """&amp;$C169&amp;""""&amp;
    IF($D169="-"," """""," """&amp;$D169&amp;"""")&amp;
    IF($E169="-"," """""," """&amp;$E169&amp;"""")
  ),
  ""
)</f>
        <v/>
      </c>
      <c r="AB169" s="9" t="str">
        <f ca="1">IFERROR(
  VLOOKUP(
    $H169,
    shortcut設定!$F:$J,
    MATCH(
      "ProgramsIndex",
      shortcut設定!$F$12:$J$12,
      0
    ),
    FALSE
  ),
  ""
)</f>
        <v>200</v>
      </c>
      <c r="AC169" s="20" t="str">
        <f t="shared" si="25"/>
        <v/>
      </c>
      <c r="AD169" s="13" t="str">
        <f>IF(
  AND($A169&lt;&gt;"",$L169="○"),
  shortcut設定!$F$5&amp;"\"&amp;AB169&amp;"_"&amp;A169&amp;"（"&amp;B169&amp;"）"&amp;AC169&amp;".lnk",
  ""
)</f>
        <v/>
      </c>
      <c r="AE169" s="13" t="str">
        <f>IF(
  AND($A169&lt;&gt;"",$N169="○"),
  (
    """"&amp;shortcut設定!$F$7&amp;""""&amp;
    " """&amp;$AF169&amp;""""&amp;
    " """&amp;$C169&amp;""""&amp;
    IF($D169="-"," """""," """&amp;$D169&amp;"""")&amp;
    IF($E169="-"," """""," """&amp;$E169&amp;"""")
  ),
  ""
)</f>
        <v/>
      </c>
      <c r="AF169" s="9" t="str">
        <f>IF(
  AND($A169&lt;&gt;"",$N169="○"),
  shortcut設定!$F$6&amp;"\"&amp;A169&amp;"（"&amp;B169&amp;"）.lnk",
  ""
)</f>
        <v/>
      </c>
      <c r="AG169" s="13" t="str">
        <f t="shared" si="26"/>
        <v/>
      </c>
      <c r="AH169" s="13" t="str">
        <f t="shared" si="27"/>
        <v/>
      </c>
      <c r="AI169" s="13" t="str">
        <f>IF(
  AND($A169&lt;&gt;"",$Q169&lt;&gt;"-",$Q169&lt;&gt;""),
  (
    """"&amp;shortcut設定!$F$7&amp;""""&amp;
    " """&amp;$Q169&amp;".lnk"""&amp;
    " """&amp;$C169&amp;""""&amp;
    IF($D169="-"," """""," """&amp;$D169&amp;"""")&amp;
    IF($E169="-"," """""," """&amp;$E169&amp;"""")
  ),
  ""
)</f>
        <v/>
      </c>
      <c r="AJ169" s="91" t="s">
        <v>174</v>
      </c>
    </row>
    <row r="170" spans="1:36">
      <c r="A170" s="9" t="s">
        <v>668</v>
      </c>
      <c r="B170" s="9" t="s">
        <v>804</v>
      </c>
      <c r="C170" s="9" t="s">
        <v>109</v>
      </c>
      <c r="D170" s="15" t="s">
        <v>39</v>
      </c>
      <c r="E170" s="26" t="s">
        <v>39</v>
      </c>
      <c r="F170" s="15" t="s">
        <v>0</v>
      </c>
      <c r="G170" s="15" t="s">
        <v>0</v>
      </c>
      <c r="H170" s="9" t="s">
        <v>521</v>
      </c>
      <c r="I170" s="15" t="s">
        <v>64</v>
      </c>
      <c r="J170" s="15" t="s">
        <v>64</v>
      </c>
      <c r="K170" s="15" t="s">
        <v>64</v>
      </c>
      <c r="L170" s="93" t="s">
        <v>64</v>
      </c>
      <c r="M170" s="94" t="s">
        <v>545</v>
      </c>
      <c r="N170" s="15" t="s">
        <v>64</v>
      </c>
      <c r="O170" s="26" t="s">
        <v>1230</v>
      </c>
      <c r="P170" s="157" t="s">
        <v>1230</v>
      </c>
      <c r="Q170" s="26" t="s">
        <v>935</v>
      </c>
      <c r="R170" s="9" t="str">
        <f>IF(
  AND(
    $A170&lt;&gt;"",
    COUNTIF(C:C,$A170)&gt;1
  ),
  "★NG★",
  ""
)</f>
        <v/>
      </c>
      <c r="S170" s="9" t="str">
        <f t="shared" si="24"/>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5"/>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6"/>
        <v/>
      </c>
      <c r="AH170" s="13" t="str">
        <f t="shared" si="27"/>
        <v/>
      </c>
      <c r="AI170" s="13" t="str">
        <f>IF(
  AND($A170&lt;&gt;"",$Q170&lt;&gt;"-",$Q170&lt;&gt;""),
  (
    """"&amp;shortcut設定!$F$7&amp;""""&amp;
    " """&amp;$Q170&amp;".lnk"""&amp;
    " """&amp;$C170&amp;""""&amp;
    IF($D170="-"," """""," """&amp;$D170&amp;"""")&amp;
    IF($E170="-"," """""," """&amp;$E170&amp;"""")
  ),
  ""
)</f>
        <v/>
      </c>
      <c r="AJ170" s="91" t="s">
        <v>174</v>
      </c>
    </row>
    <row r="171" spans="1:36">
      <c r="A171" s="9" t="s">
        <v>669</v>
      </c>
      <c r="B171" s="9" t="s">
        <v>805</v>
      </c>
      <c r="C171" s="9" t="s">
        <v>29</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IF(
  AND(
    $A171&lt;&gt;"",
    COUNTIF(C:C,$A171)&gt;1
  ),
  "★NG★",
  ""
)</f>
        <v/>
      </c>
      <c r="S171" s="9" t="str">
        <f t="shared" si="24"/>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"%USERPROFILE%\AppData\Roaming\Microsoft\Windows\SendTo\200_CreateRenameBat.vbs（リネーム用バッチ作成）.lnk" "C:\codes\vbs\tools\win\file_ope\CreateRenameBat.vbs" "" ""</v>
      </c>
      <c r="AB171" s="9" t="str">
        <f ca="1">IFERROR(
  VLOOKUP(
    $H171,
    shortcut設定!$F:$J,
    MATCH(
      "ProgramsIndex",
      shortcut設定!$F$12:$J$12,
      0
    ),
    FALSE
  ),
  ""
)</f>
        <v>200</v>
      </c>
      <c r="AC171" s="20" t="str">
        <f t="shared" si="25"/>
        <v/>
      </c>
      <c r="AD171" s="13" t="str">
        <f ca="1">IF(
  AND($A171&lt;&gt;"",$L171="○"),
  shortcut設定!$F$5&amp;"\"&amp;AB171&amp;"_"&amp;A171&amp;"（"&amp;B171&amp;"）"&amp;AC171&amp;".lnk",
  ""
)</f>
        <v>%USERPROFILE%\AppData\Roaming\Microsoft\Windows\SendTo\200_CreateRenameBat.vbs（リネーム用バッチ作成）.lnk</v>
      </c>
      <c r="AE171" s="13" t="str">
        <f>IF(
  AND($A171&lt;&gt;"",$N171="○"),
  (
    """"&amp;shortcut設定!$F$7&amp;""""&amp;
    " """&amp;$AF171&amp;""""&amp;
    " """&amp;$C171&amp;""""&amp;
    IF($D171="-"," """""," """&amp;$D171&amp;"""")&amp;
    IF($E171="-"," """""," """&amp;$E171&amp;"""")
  ),
  ""
)</f>
        <v/>
      </c>
      <c r="AF171" s="9" t="str">
        <f>IF(
  AND($A171&lt;&gt;"",$N171="○"),
  shortcut設定!$F$6&amp;"\"&amp;A171&amp;"（"&amp;B171&amp;"）.lnk",
  ""
)</f>
        <v/>
      </c>
      <c r="AG171" s="13" t="str">
        <f t="shared" si="26"/>
        <v/>
      </c>
      <c r="AH171" s="13" t="str">
        <f t="shared" si="27"/>
        <v/>
      </c>
      <c r="AI171" s="13" t="str">
        <f>IF(
  AND($A171&lt;&gt;"",$Q171&lt;&gt;"-",$Q171&lt;&gt;""),
  (
    """"&amp;shortcut設定!$F$7&amp;""""&amp;
    " """&amp;$Q171&amp;".lnk"""&amp;
    " """&amp;$C171&amp;""""&amp;
    IF($D171="-"," """""," """&amp;$D171&amp;"""")&amp;
    IF($E171="-"," """""," """&amp;$E171&amp;"""")
  ),
  ""
)</f>
        <v/>
      </c>
      <c r="AJ171" s="91" t="s">
        <v>174</v>
      </c>
    </row>
    <row r="172" spans="1:36">
      <c r="A172" s="9" t="s">
        <v>670</v>
      </c>
      <c r="B172" s="9" t="s">
        <v>806</v>
      </c>
      <c r="C172" s="9" t="s">
        <v>30</v>
      </c>
      <c r="D172" s="15" t="s">
        <v>39</v>
      </c>
      <c r="E172" s="26" t="s">
        <v>39</v>
      </c>
      <c r="F172" s="15" t="s">
        <v>0</v>
      </c>
      <c r="G172" s="15" t="s">
        <v>0</v>
      </c>
      <c r="H172" s="9" t="s">
        <v>521</v>
      </c>
      <c r="I172" s="15" t="s">
        <v>64</v>
      </c>
      <c r="J172" s="15" t="s">
        <v>64</v>
      </c>
      <c r="K172" s="15" t="s">
        <v>64</v>
      </c>
      <c r="L172" s="93" t="s">
        <v>841</v>
      </c>
      <c r="M172" s="94" t="s">
        <v>545</v>
      </c>
      <c r="N172" s="15" t="s">
        <v>64</v>
      </c>
      <c r="O172" s="26" t="s">
        <v>1230</v>
      </c>
      <c r="P172" s="157" t="s">
        <v>1230</v>
      </c>
      <c r="Q172" s="26" t="s">
        <v>935</v>
      </c>
      <c r="R172" s="9" t="str">
        <f>IF(
  AND(
    $A172&lt;&gt;"",
    COUNTIF(C:C,$A172)&gt;1
  ),
  "★NG★",
  ""
)</f>
        <v/>
      </c>
      <c r="S172" s="9" t="str">
        <f t="shared" si="24"/>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 ca="1">IF(
  AND($A172&lt;&gt;"",$L172&lt;&gt;"-",$L172&lt;&gt;""),
  (
    """"&amp;shortcut設定!$F$7&amp;""""&amp;
    " """&amp;$AD172&amp;""""&amp;
    " """&amp;$C172&amp;""""&amp;
    IF($D172="-"," """""," """&amp;$D172&amp;"""")&amp;
    IF($E172="-"," """""," """&amp;$E172&amp;"""")
  ),
  ""
)</f>
        <v>"C:\codes\vbs\command\CreateShortcutFile.vbs" "%USERPROFILE%\AppData\Roaming\Microsoft\Windows\SendTo\200_CreateSymbolicLink.vbs（シンボリックリンク作成）.lnk" "C:\codes\vbs\tools\win\file_ope\CreateSymbolicLink.vbs" "" ""</v>
      </c>
      <c r="AB172" s="9" t="str">
        <f ca="1">IFERROR(
  VLOOKUP(
    $H172,
    shortcut設定!$F:$J,
    MATCH(
      "ProgramsIndex",
      shortcut設定!$F$12:$J$12,
      0
    ),
    FALSE
  ),
  ""
)</f>
        <v>200</v>
      </c>
      <c r="AC172" s="20" t="str">
        <f t="shared" si="25"/>
        <v/>
      </c>
      <c r="AD172" s="13" t="str">
        <f ca="1">IF(
  AND($A172&lt;&gt;"",$L172="○"),
  shortcut設定!$F$5&amp;"\"&amp;AB172&amp;"_"&amp;A172&amp;"（"&amp;B172&amp;"）"&amp;AC172&amp;".lnk",
  ""
)</f>
        <v>%USERPROFILE%\AppData\Roaming\Microsoft\Windows\SendTo\200_CreateSymbolicLink.vbs（シンボリックリンク作成）.lnk</v>
      </c>
      <c r="AE172" s="13" t="str">
        <f>IF(
  AND($A172&lt;&gt;"",$N172="○"),
  (
    """"&amp;shortcut設定!$F$7&amp;""""&amp;
    " """&amp;$AF172&amp;""""&amp;
    " """&amp;$C172&amp;""""&amp;
    IF($D172="-"," """""," """&amp;$D172&amp;"""")&amp;
    IF($E172="-"," """""," """&amp;$E172&amp;"""")
  ),
  ""
)</f>
        <v/>
      </c>
      <c r="AF172" s="9" t="str">
        <f>IF(
  AND($A172&lt;&gt;"",$N172="○"),
  shortcut設定!$F$6&amp;"\"&amp;A172&amp;"（"&amp;B172&amp;"）.lnk",
  ""
)</f>
        <v/>
      </c>
      <c r="AG172" s="13" t="str">
        <f t="shared" si="26"/>
        <v/>
      </c>
      <c r="AH172" s="13" t="str">
        <f t="shared" si="27"/>
        <v/>
      </c>
      <c r="AI172" s="13" t="str">
        <f>IF(
  AND($A172&lt;&gt;"",$Q172&lt;&gt;"-",$Q172&lt;&gt;""),
  (
    """"&amp;shortcut設定!$F$7&amp;""""&amp;
    " """&amp;$Q172&amp;".lnk"""&amp;
    " """&amp;$C172&amp;""""&amp;
    IF($D172="-"," """""," """&amp;$D172&amp;"""")&amp;
    IF($E172="-"," """""," """&amp;$E172&amp;"""")
  ),
  ""
)</f>
        <v/>
      </c>
      <c r="AJ172" s="91" t="s">
        <v>174</v>
      </c>
    </row>
    <row r="173" spans="1:36">
      <c r="A173" s="9" t="s">
        <v>671</v>
      </c>
      <c r="B173" s="9" t="s">
        <v>807</v>
      </c>
      <c r="C173" s="9" t="s">
        <v>102</v>
      </c>
      <c r="D173" s="15" t="s">
        <v>39</v>
      </c>
      <c r="E173" s="26" t="s">
        <v>39</v>
      </c>
      <c r="F173" s="15" t="s">
        <v>0</v>
      </c>
      <c r="G173" s="15" t="s">
        <v>0</v>
      </c>
      <c r="H173" s="9" t="s">
        <v>521</v>
      </c>
      <c r="I173" s="15" t="s">
        <v>64</v>
      </c>
      <c r="J173" s="15" t="s">
        <v>64</v>
      </c>
      <c r="K173" s="15" t="s">
        <v>64</v>
      </c>
      <c r="L173" s="93" t="s">
        <v>841</v>
      </c>
      <c r="M173" s="94" t="s">
        <v>545</v>
      </c>
      <c r="N173" s="15" t="s">
        <v>64</v>
      </c>
      <c r="O173" s="26" t="s">
        <v>1230</v>
      </c>
      <c r="P173" s="157" t="s">
        <v>1230</v>
      </c>
      <c r="Q173" s="26" t="s">
        <v>935</v>
      </c>
      <c r="R173" s="9" t="str">
        <f>IF(
  AND(
    $A173&lt;&gt;"",
    COUNTIF(C:C,$A173)&gt;1
  ),
  "★NG★",
  ""
)</f>
        <v/>
      </c>
      <c r="S173" s="9" t="str">
        <f t="shared" si="24"/>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"%USERPROFILE%\AppData\Roaming\Microsoft\Windows\SendTo\200_ExtractIfdef.vbs（C言語ifdef削除）.lnk" "C:\codes\vbs\tools\win\file_ope\ExtractIfdef.vbs" "" ""</v>
      </c>
      <c r="AB173" s="9" t="str">
        <f ca="1">IFERROR(
  VLOOKUP(
    $H173,
    shortcut設定!$F:$J,
    MATCH(
      "ProgramsIndex",
      shortcut設定!$F$12:$J$12,
      0
    ),
    FALSE
  ),
  ""
)</f>
        <v>200</v>
      </c>
      <c r="AC173" s="20" t="str">
        <f t="shared" si="25"/>
        <v/>
      </c>
      <c r="AD173" s="13" t="str">
        <f ca="1">IF(
  AND($A173&lt;&gt;"",$L173="○"),
  shortcut設定!$F$5&amp;"\"&amp;AB173&amp;"_"&amp;A173&amp;"（"&amp;B173&amp;"）"&amp;AC173&amp;".lnk",
  ""
)</f>
        <v>%USERPROFILE%\AppData\Roaming\Microsoft\Windows\SendTo\200_ExtractIfdef.vbs（C言語ifdef削除）.lnk</v>
      </c>
      <c r="AE173" s="13" t="str">
        <f>IF(
  AND($A173&lt;&gt;"",$N173="○"),
  (
    """"&amp;shortcut設定!$F$7&amp;""""&amp;
    " """&amp;$AF173&amp;""""&amp;
    " """&amp;$C173&amp;""""&amp;
    IF($D173="-"," """""," """&amp;$D173&amp;"""")&amp;
    IF($E173="-"," """""," """&amp;$E173&amp;"""")
  ),
  ""
)</f>
        <v/>
      </c>
      <c r="AF173" s="9" t="str">
        <f>IF(
  AND($A173&lt;&gt;"",$N173="○"),
  shortcut設定!$F$6&amp;"\"&amp;A173&amp;"（"&amp;B173&amp;"）.lnk",
  ""
)</f>
        <v/>
      </c>
      <c r="AG173" s="13" t="str">
        <f t="shared" si="26"/>
        <v/>
      </c>
      <c r="AH173" s="13" t="str">
        <f t="shared" si="27"/>
        <v/>
      </c>
      <c r="AI173" s="13" t="str">
        <f>IF(
  AND($A173&lt;&gt;"",$Q173&lt;&gt;"-",$Q173&lt;&gt;""),
  (
    """"&amp;shortcut設定!$F$7&amp;""""&amp;
    " """&amp;$Q173&amp;".lnk"""&amp;
    " """&amp;$C173&amp;""""&amp;
    IF($D173="-"," """""," """&amp;$D173&amp;"""")&amp;
    IF($E173="-"," """""," """&amp;$E173&amp;"""")
  ),
  ""
)</f>
        <v/>
      </c>
      <c r="AJ173" s="91" t="s">
        <v>174</v>
      </c>
    </row>
    <row r="174" spans="1:36">
      <c r="A174" s="77" t="s">
        <v>672</v>
      </c>
      <c r="B174" s="77" t="s">
        <v>808</v>
      </c>
      <c r="C174" s="9" t="s">
        <v>103</v>
      </c>
      <c r="D174" s="15" t="s">
        <v>39</v>
      </c>
      <c r="E174" s="26" t="s">
        <v>39</v>
      </c>
      <c r="F174" s="15" t="s">
        <v>0</v>
      </c>
      <c r="G174" s="15" t="s">
        <v>0</v>
      </c>
      <c r="H174" s="9" t="s">
        <v>521</v>
      </c>
      <c r="I174" s="15" t="s">
        <v>64</v>
      </c>
      <c r="J174" s="15" t="s">
        <v>64</v>
      </c>
      <c r="K174" s="15" t="s">
        <v>64</v>
      </c>
      <c r="L174" s="93" t="s">
        <v>64</v>
      </c>
      <c r="M174" s="94" t="s">
        <v>545</v>
      </c>
      <c r="N174" s="15" t="s">
        <v>64</v>
      </c>
      <c r="O174" s="26" t="s">
        <v>1230</v>
      </c>
      <c r="P174" s="157" t="s">
        <v>1230</v>
      </c>
      <c r="Q174" s="26" t="s">
        <v>935</v>
      </c>
      <c r="R174" s="9" t="str">
        <f>IF(
  AND(
    $A174&lt;&gt;"",
    COUNTIF(C:C,$A174)&gt;1
  ),
  "★NG★",
  ""
)</f>
        <v/>
      </c>
      <c r="S174" s="9" t="str">
        <f t="shared" si="24"/>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5"/>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6"/>
        <v/>
      </c>
      <c r="AH174" s="13" t="str">
        <f t="shared" si="27"/>
        <v/>
      </c>
      <c r="AI174" s="13" t="str">
        <f>IF(
  AND($A174&lt;&gt;"",$Q174&lt;&gt;"-",$Q174&lt;&gt;""),
  (
    """"&amp;shortcut設定!$F$7&amp;""""&amp;
    " """&amp;$Q174&amp;".lnk"""&amp;
    " """&amp;$C174&amp;""""&amp;
    IF($D174="-"," """""," """&amp;$D174&amp;"""")&amp;
    IF($E174="-"," """""," """&amp;$E174&amp;"""")
  ),
  ""
)</f>
        <v/>
      </c>
      <c r="AJ174" s="91" t="s">
        <v>174</v>
      </c>
    </row>
    <row r="175" spans="1:36">
      <c r="A175" s="9" t="s">
        <v>673</v>
      </c>
      <c r="B175" s="9" t="s">
        <v>809</v>
      </c>
      <c r="C175" s="9" t="s">
        <v>98</v>
      </c>
      <c r="D175" s="15" t="s">
        <v>39</v>
      </c>
      <c r="E175" s="26" t="s">
        <v>39</v>
      </c>
      <c r="F175" s="15" t="s">
        <v>0</v>
      </c>
      <c r="G175" s="15" t="s">
        <v>0</v>
      </c>
      <c r="H175" s="9" t="s">
        <v>521</v>
      </c>
      <c r="I175" s="15" t="s">
        <v>64</v>
      </c>
      <c r="J175" s="15" t="s">
        <v>64</v>
      </c>
      <c r="K175" s="15" t="s">
        <v>64</v>
      </c>
      <c r="L175" s="93" t="s">
        <v>841</v>
      </c>
      <c r="M175" s="94" t="s">
        <v>545</v>
      </c>
      <c r="N175" s="15" t="s">
        <v>64</v>
      </c>
      <c r="O175" s="26" t="s">
        <v>1230</v>
      </c>
      <c r="P175" s="157" t="s">
        <v>1230</v>
      </c>
      <c r="Q175" s="26" t="s">
        <v>935</v>
      </c>
      <c r="R175" s="9" t="str">
        <f>IF(
  AND(
    $A175&lt;&gt;"",
    COUNTIF(C:C,$A175)&gt;1
  ),
  "★NG★",
  ""
)</f>
        <v/>
      </c>
      <c r="S175" s="9" t="str">
        <f t="shared" si="24"/>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 ca="1">IF(
  AND($A175&lt;&gt;"",$L175&lt;&gt;"-",$L175&lt;&gt;""),
  (
    """"&amp;shortcut設定!$F$7&amp;""""&amp;
    " """&amp;$AD175&amp;""""&amp;
    " """&amp;$C175&amp;""""&amp;
    IF($D175="-"," """""," """&amp;$D175&amp;"""")&amp;
    IF($E175="-"," """""," """&amp;$E175&amp;"""")
  ),
  ""
)</f>
        <v>"C:\codes\vbs\command\CreateShortcutFile.vbs" "%USERPROFILE%\AppData\Roaming\Microsoft\Windows\SendTo\200_CopyToDir.vbs（フォルダファイルコピー）.lnk" "C:\codes\vbs\tools\win\file_ope\CopyToDir.vbs" "" ""</v>
      </c>
      <c r="AB175" s="9" t="str">
        <f ca="1">IFERROR(
  VLOOKUP(
    $H175,
    shortcut設定!$F:$J,
    MATCH(
      "ProgramsIndex",
      shortcut設定!$F$12:$J$12,
      0
    ),
    FALSE
  ),
  ""
)</f>
        <v>200</v>
      </c>
      <c r="AC175" s="20" t="str">
        <f t="shared" si="25"/>
        <v/>
      </c>
      <c r="AD175" s="13" t="str">
        <f ca="1">IF(
  AND($A175&lt;&gt;"",$L175="○"),
  shortcut設定!$F$5&amp;"\"&amp;AB175&amp;"_"&amp;A175&amp;"（"&amp;B175&amp;"）"&amp;AC175&amp;".lnk",
  ""
)</f>
        <v>%USERPROFILE%\AppData\Roaming\Microsoft\Windows\SendTo\200_CopyToDir.vbs（フォルダファイルコピー）.lnk</v>
      </c>
      <c r="AE175" s="13" t="str">
        <f>IF(
  AND($A175&lt;&gt;"",$N175="○"),
  (
    """"&amp;shortcut設定!$F$7&amp;""""&amp;
    " """&amp;$AF175&amp;""""&amp;
    " """&amp;$C175&amp;""""&amp;
    IF($D175="-"," """""," """&amp;$D175&amp;"""")&amp;
    IF($E175="-"," """""," """&amp;$E175&amp;"""")
  ),
  ""
)</f>
        <v/>
      </c>
      <c r="AF175" s="9" t="str">
        <f>IF(
  AND($A175&lt;&gt;"",$N175="○"),
  shortcut設定!$F$6&amp;"\"&amp;A175&amp;"（"&amp;B175&amp;"）.lnk",
  ""
)</f>
        <v/>
      </c>
      <c r="AG175" s="13" t="str">
        <f t="shared" si="26"/>
        <v/>
      </c>
      <c r="AH175" s="13" t="str">
        <f t="shared" si="27"/>
        <v/>
      </c>
      <c r="AI175" s="13" t="str">
        <f>IF(
  AND($A175&lt;&gt;"",$Q175&lt;&gt;"-",$Q175&lt;&gt;""),
  (
    """"&amp;shortcut設定!$F$7&amp;""""&amp;
    " """&amp;$Q175&amp;".lnk"""&amp;
    " """&amp;$C175&amp;""""&amp;
    IF($D175="-"," """""," """&amp;$D175&amp;"""")&amp;
    IF($E175="-"," """""," """&amp;$E175&amp;"""")
  ),
  ""
)</f>
        <v/>
      </c>
      <c r="AJ175" s="91" t="s">
        <v>174</v>
      </c>
    </row>
    <row r="176" spans="1:36">
      <c r="A176" s="9" t="s">
        <v>674</v>
      </c>
      <c r="B176" s="9" t="s">
        <v>810</v>
      </c>
      <c r="C176" s="9" t="s">
        <v>104</v>
      </c>
      <c r="D176" s="15" t="s">
        <v>39</v>
      </c>
      <c r="E176" s="26" t="s">
        <v>39</v>
      </c>
      <c r="F176" s="15" t="s">
        <v>0</v>
      </c>
      <c r="G176" s="15" t="s">
        <v>0</v>
      </c>
      <c r="H176" s="9" t="s">
        <v>521</v>
      </c>
      <c r="I176" s="15" t="s">
        <v>64</v>
      </c>
      <c r="J176" s="15" t="s">
        <v>64</v>
      </c>
      <c r="K176" s="15" t="s">
        <v>64</v>
      </c>
      <c r="L176" s="93" t="s">
        <v>64</v>
      </c>
      <c r="M176" s="94" t="s">
        <v>545</v>
      </c>
      <c r="N176" s="15" t="s">
        <v>64</v>
      </c>
      <c r="O176" s="26" t="s">
        <v>1230</v>
      </c>
      <c r="P176" s="157" t="s">
        <v>1230</v>
      </c>
      <c r="Q176" s="26" t="s">
        <v>935</v>
      </c>
      <c r="R176" s="9" t="str">
        <f>IF(
  AND(
    $A176&lt;&gt;"",
    COUNTIF(C:C,$A176)&gt;1
  ),
  "★NG★",
  ""
)</f>
        <v/>
      </c>
      <c r="S176" s="9" t="str">
        <f t="shared" si="24"/>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5"/>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6"/>
        <v/>
      </c>
      <c r="AH176" s="13" t="str">
        <f t="shared" si="27"/>
        <v/>
      </c>
      <c r="AI176" s="13" t="str">
        <f>IF(
  AND($A176&lt;&gt;"",$Q176&lt;&gt;"-",$Q176&lt;&gt;""),
  (
    """"&amp;shortcut設定!$F$7&amp;""""&amp;
    " """&amp;$Q176&amp;".lnk"""&amp;
    " """&amp;$C176&amp;""""&amp;
    IF($D176="-"," """""," """&amp;$D176&amp;"""")&amp;
    IF($E176="-"," """""," """&amp;$E176&amp;"""")
  ),
  ""
)</f>
        <v/>
      </c>
      <c r="AJ176" s="91" t="s">
        <v>174</v>
      </c>
    </row>
    <row r="177" spans="1:36">
      <c r="A177" s="9" t="s">
        <v>675</v>
      </c>
      <c r="B177" s="9" t="s">
        <v>811</v>
      </c>
      <c r="C177" s="9" t="s">
        <v>105</v>
      </c>
      <c r="D177" s="15" t="s">
        <v>39</v>
      </c>
      <c r="E177" s="26" t="s">
        <v>39</v>
      </c>
      <c r="F177" s="15" t="s">
        <v>540</v>
      </c>
      <c r="G177" s="15" t="s">
        <v>0</v>
      </c>
      <c r="H177" s="9" t="s">
        <v>521</v>
      </c>
      <c r="I177" s="15" t="s">
        <v>64</v>
      </c>
      <c r="J177" s="15" t="s">
        <v>64</v>
      </c>
      <c r="K177" s="15" t="s">
        <v>64</v>
      </c>
      <c r="L177" s="93" t="s">
        <v>64</v>
      </c>
      <c r="M177" s="94" t="s">
        <v>545</v>
      </c>
      <c r="N177" s="15" t="s">
        <v>64</v>
      </c>
      <c r="O177" s="26" t="s">
        <v>1230</v>
      </c>
      <c r="P177" s="157" t="s">
        <v>1230</v>
      </c>
      <c r="Q177" s="26" t="s">
        <v>935</v>
      </c>
      <c r="R177" s="9" t="str">
        <f>IF(
  AND(
    $A177&lt;&gt;"",
    COUNTIF(C:C,$A177)&gt;1
  ),
  "★NG★",
  ""
)</f>
        <v/>
      </c>
      <c r="S177" s="9" t="str">
        <f t="shared" si="24"/>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5"/>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6"/>
        <v/>
      </c>
      <c r="AH177" s="13" t="str">
        <f t="shared" si="27"/>
        <v/>
      </c>
      <c r="AI177" s="13" t="str">
        <f>IF(
  AND($A177&lt;&gt;"",$Q177&lt;&gt;"-",$Q177&lt;&gt;""),
  (
    """"&amp;shortcut設定!$F$7&amp;""""&amp;
    " """&amp;$Q177&amp;".lnk"""&amp;
    " """&amp;$C177&amp;""""&amp;
    IF($D177="-"," """""," """&amp;$D177&amp;"""")&amp;
    IF($E177="-"," """""," """&amp;$E177&amp;"""")
  ),
  ""
)</f>
        <v/>
      </c>
      <c r="AJ177" s="91" t="s">
        <v>174</v>
      </c>
    </row>
    <row r="178" spans="1:36">
      <c r="A178" s="9" t="s">
        <v>676</v>
      </c>
      <c r="B178" s="9" t="s">
        <v>812</v>
      </c>
      <c r="C178" s="9" t="s">
        <v>106</v>
      </c>
      <c r="D178" s="15" t="s">
        <v>39</v>
      </c>
      <c r="E178" s="26" t="s">
        <v>39</v>
      </c>
      <c r="F178" s="15" t="s">
        <v>540</v>
      </c>
      <c r="G178" s="15" t="s">
        <v>0</v>
      </c>
      <c r="H178" s="9" t="s">
        <v>521</v>
      </c>
      <c r="I178" s="15" t="s">
        <v>64</v>
      </c>
      <c r="J178" s="15" t="s">
        <v>64</v>
      </c>
      <c r="K178" s="15" t="s">
        <v>64</v>
      </c>
      <c r="L178" s="93" t="s">
        <v>64</v>
      </c>
      <c r="M178" s="94" t="s">
        <v>545</v>
      </c>
      <c r="N178" s="15" t="s">
        <v>64</v>
      </c>
      <c r="O178" s="26" t="s">
        <v>1230</v>
      </c>
      <c r="P178" s="157" t="s">
        <v>1230</v>
      </c>
      <c r="Q178" s="26" t="s">
        <v>935</v>
      </c>
      <c r="R178" s="9" t="str">
        <f>IF(
  AND(
    $A178&lt;&gt;"",
    COUNTIF(C:C,$A178)&gt;1
  ),
  "★NG★",
  ""
)</f>
        <v/>
      </c>
      <c r="S178" s="9" t="str">
        <f t="shared" si="24"/>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5"/>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6"/>
        <v/>
      </c>
      <c r="AH178" s="13" t="str">
        <f t="shared" si="27"/>
        <v/>
      </c>
      <c r="AI178" s="13" t="str">
        <f>IF(
  AND($A178&lt;&gt;"",$Q178&lt;&gt;"-",$Q178&lt;&gt;""),
  (
    """"&amp;shortcut設定!$F$7&amp;""""&amp;
    " """&amp;$Q178&amp;".lnk"""&amp;
    " """&amp;$C178&amp;""""&amp;
    IF($D178="-"," """""," """&amp;$D178&amp;"""")&amp;
    IF($E178="-"," """""," """&amp;$E178&amp;"""")
  ),
  ""
)</f>
        <v/>
      </c>
      <c r="AJ178" s="91" t="s">
        <v>174</v>
      </c>
    </row>
    <row r="179" spans="1:36">
      <c r="A179" s="9" t="s">
        <v>677</v>
      </c>
      <c r="B179" s="9" t="s">
        <v>813</v>
      </c>
      <c r="C179" s="9" t="s">
        <v>110</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IF(
  AND(
    $A179&lt;&gt;"",
    COUNTIF(C:C,$A179)&gt;1
  ),
  "★NG★",
  ""
)</f>
        <v/>
      </c>
      <c r="S179" s="9" t="str">
        <f t="shared" si="24"/>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5"/>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6"/>
        <v/>
      </c>
      <c r="AH179" s="13" t="str">
        <f t="shared" si="27"/>
        <v/>
      </c>
      <c r="AI179" s="13" t="str">
        <f>IF(
  AND($A179&lt;&gt;"",$Q179&lt;&gt;"-",$Q179&lt;&gt;""),
  (
    """"&amp;shortcut設定!$F$7&amp;""""&amp;
    " """&amp;$Q179&amp;".lnk"""&amp;
    " """&amp;$C179&amp;""""&amp;
    IF($D179="-"," """""," """&amp;$D179&amp;"""")&amp;
    IF($E179="-"," """""," """&amp;$E179&amp;"""")
  ),
  ""
)</f>
        <v/>
      </c>
      <c r="AJ179" s="91" t="s">
        <v>174</v>
      </c>
    </row>
    <row r="180" spans="1:36">
      <c r="A180" s="9" t="s">
        <v>678</v>
      </c>
      <c r="B180" s="9" t="s">
        <v>814</v>
      </c>
      <c r="C180" s="9" t="s">
        <v>112</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IF(
  AND(
    $A180&lt;&gt;"",
    COUNTIF(C:C,$A180)&gt;1
  ),
  "★NG★",
  ""
)</f>
        <v/>
      </c>
      <c r="S180" s="9" t="str">
        <f t="shared" si="24"/>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5"/>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6"/>
        <v/>
      </c>
      <c r="AH180" s="13" t="str">
        <f t="shared" si="27"/>
        <v/>
      </c>
      <c r="AI180" s="13" t="str">
        <f>IF(
  AND($A180&lt;&gt;"",$Q180&lt;&gt;"-",$Q180&lt;&gt;""),
  (
    """"&amp;shortcut設定!$F$7&amp;""""&amp;
    " """&amp;$Q180&amp;".lnk"""&amp;
    " """&amp;$C180&amp;""""&amp;
    IF($D180="-"," """""," """&amp;$D180&amp;"""")&amp;
    IF($E180="-"," """""," """&amp;$E180&amp;"""")
  ),
  ""
)</f>
        <v/>
      </c>
      <c r="AJ180" s="91" t="s">
        <v>174</v>
      </c>
    </row>
    <row r="181" spans="1:36">
      <c r="A181" s="9" t="s">
        <v>679</v>
      </c>
      <c r="B181" s="9" t="s">
        <v>815</v>
      </c>
      <c r="C181" s="9" t="s">
        <v>111</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IF(
  AND(
    $A181&lt;&gt;"",
    COUNTIF(C:C,$A181)&gt;1
  ),
  "★NG★",
  ""
)</f>
        <v/>
      </c>
      <c r="S181" s="9" t="str">
        <f t="shared" si="24"/>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5"/>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6"/>
        <v/>
      </c>
      <c r="AH181" s="13" t="str">
        <f t="shared" si="27"/>
        <v/>
      </c>
      <c r="AI181" s="13" t="str">
        <f>IF(
  AND($A181&lt;&gt;"",$Q181&lt;&gt;"-",$Q181&lt;&gt;""),
  (
    """"&amp;shortcut設定!$F$7&amp;""""&amp;
    " """&amp;$Q181&amp;".lnk"""&amp;
    " """&amp;$C181&amp;""""&amp;
    IF($D181="-"," """""," """&amp;$D181&amp;"""")&amp;
    IF($E181="-"," """""," """&amp;$E181&amp;"""")
  ),
  ""
)</f>
        <v/>
      </c>
      <c r="AJ181" s="91" t="s">
        <v>174</v>
      </c>
    </row>
    <row r="182" spans="1:36">
      <c r="A182" s="9" t="s">
        <v>1476</v>
      </c>
      <c r="B182" s="9" t="s">
        <v>816</v>
      </c>
      <c r="C182" s="9" t="s">
        <v>1475</v>
      </c>
      <c r="D182" s="15" t="s">
        <v>39</v>
      </c>
      <c r="E182" s="26" t="s">
        <v>39</v>
      </c>
      <c r="F182" s="15" t="s">
        <v>0</v>
      </c>
      <c r="G182" s="15" t="s">
        <v>0</v>
      </c>
      <c r="H182" s="9" t="s">
        <v>521</v>
      </c>
      <c r="I182" s="15" t="s">
        <v>64</v>
      </c>
      <c r="J182" s="15" t="s">
        <v>64</v>
      </c>
      <c r="K182" s="15" t="s">
        <v>64</v>
      </c>
      <c r="L182" s="93" t="s">
        <v>64</v>
      </c>
      <c r="M182" s="94" t="s">
        <v>545</v>
      </c>
      <c r="N182" s="15" t="s">
        <v>64</v>
      </c>
      <c r="O182" s="26" t="s">
        <v>1230</v>
      </c>
      <c r="P182" s="157" t="s">
        <v>1230</v>
      </c>
      <c r="Q182" s="26" t="s">
        <v>935</v>
      </c>
      <c r="R182" s="9" t="str">
        <f>IF(
  AND(
    $A182&lt;&gt;"",
    COUNTIF(C:C,$A182)&gt;1
  ),
  "★NG★",
  ""
)</f>
        <v/>
      </c>
      <c r="S182" s="9" t="str">
        <f t="shared" si="24"/>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si="25"/>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si="26"/>
        <v/>
      </c>
      <c r="AH182" s="13" t="str">
        <f t="shared" si="27"/>
        <v/>
      </c>
      <c r="AI182" s="13" t="str">
        <f>IF(
  AND($A182&lt;&gt;"",$Q182&lt;&gt;"-",$Q182&lt;&gt;""),
  (
    """"&amp;shortcut設定!$F$7&amp;""""&amp;
    " """&amp;$Q182&amp;".lnk"""&amp;
    " """&amp;$C182&amp;""""&amp;
    IF($D182="-"," """""," """&amp;$D182&amp;"""")&amp;
    IF($E182="-"," """""," """&amp;$E182&amp;"""")
  ),
  ""
)</f>
        <v/>
      </c>
      <c r="AJ182" s="91" t="s">
        <v>174</v>
      </c>
    </row>
    <row r="183" spans="1:36">
      <c r="A183" s="9" t="s">
        <v>680</v>
      </c>
      <c r="B183" s="9" t="s">
        <v>817</v>
      </c>
      <c r="C183" s="9" t="s">
        <v>113</v>
      </c>
      <c r="D183" s="15" t="s">
        <v>39</v>
      </c>
      <c r="E183" s="26" t="s">
        <v>39</v>
      </c>
      <c r="F183" s="15" t="s">
        <v>0</v>
      </c>
      <c r="G183" s="15" t="s">
        <v>0</v>
      </c>
      <c r="H183" s="9" t="s">
        <v>521</v>
      </c>
      <c r="I183" s="15" t="s">
        <v>64</v>
      </c>
      <c r="J183" s="15" t="s">
        <v>64</v>
      </c>
      <c r="K183" s="15" t="s">
        <v>64</v>
      </c>
      <c r="L183" s="93" t="s">
        <v>64</v>
      </c>
      <c r="M183" s="94" t="s">
        <v>545</v>
      </c>
      <c r="N183" s="15" t="s">
        <v>64</v>
      </c>
      <c r="O183" s="26" t="s">
        <v>1230</v>
      </c>
      <c r="P183" s="157" t="s">
        <v>1230</v>
      </c>
      <c r="Q183" s="26" t="s">
        <v>935</v>
      </c>
      <c r="R183" s="9" t="str">
        <f>IF(
  AND(
    $A183&lt;&gt;"",
    COUNTIF(C:C,$A183)&gt;1
  ),
  "★NG★",
  ""
)</f>
        <v/>
      </c>
      <c r="S183" s="9" t="str">
        <f t="shared" si="24"/>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5"/>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6"/>
        <v/>
      </c>
      <c r="AH183" s="13" t="str">
        <f t="shared" si="27"/>
        <v/>
      </c>
      <c r="AI183" s="13" t="str">
        <f>IF(
  AND($A183&lt;&gt;"",$Q183&lt;&gt;"-",$Q183&lt;&gt;""),
  (
    """"&amp;shortcut設定!$F$7&amp;""""&amp;
    " """&amp;$Q183&amp;".lnk"""&amp;
    " """&amp;$C183&amp;""""&amp;
    IF($D183="-"," """""," """&amp;$D183&amp;"""")&amp;
    IF($E183="-"," """""," """&amp;$E183&amp;"""")
  ),
  ""
)</f>
        <v/>
      </c>
      <c r="AJ183" s="91" t="s">
        <v>174</v>
      </c>
    </row>
    <row r="184" spans="1:36">
      <c r="A184" s="9" t="s">
        <v>681</v>
      </c>
      <c r="B184" s="9" t="s">
        <v>818</v>
      </c>
      <c r="C184" s="9" t="s">
        <v>114</v>
      </c>
      <c r="D184" s="15" t="s">
        <v>39</v>
      </c>
      <c r="E184" s="26" t="s">
        <v>39</v>
      </c>
      <c r="F184" s="15" t="s">
        <v>0</v>
      </c>
      <c r="G184" s="15" t="s">
        <v>0</v>
      </c>
      <c r="H184" s="9" t="s">
        <v>521</v>
      </c>
      <c r="I184" s="15" t="s">
        <v>64</v>
      </c>
      <c r="J184" s="15" t="s">
        <v>64</v>
      </c>
      <c r="K184" s="15" t="s">
        <v>64</v>
      </c>
      <c r="L184" s="93" t="s">
        <v>841</v>
      </c>
      <c r="M184" s="94" t="s">
        <v>545</v>
      </c>
      <c r="N184" s="15" t="s">
        <v>64</v>
      </c>
      <c r="O184" s="26" t="s">
        <v>1230</v>
      </c>
      <c r="P184" s="157" t="s">
        <v>1230</v>
      </c>
      <c r="Q184" s="26" t="s">
        <v>935</v>
      </c>
      <c r="R184" s="9" t="str">
        <f>IF(
  AND(
    $A184&lt;&gt;"",
    COUNTIF(C:C,$A184)&gt;1
  ),
  "★NG★",
  ""
)</f>
        <v/>
      </c>
      <c r="S184" s="9" t="str">
        <f t="shared" si="24"/>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"%USERPROFILE%\AppData\Roaming\Microsoft\Windows\SendTo\200_OutputFileInfo.vbs（ファイル情報出力）.lnk" "C:\codes\vbs\tools\win\file_info\OutputFileInfo.vbs" "" ""</v>
      </c>
      <c r="AB184" s="9" t="str">
        <f ca="1">IFERROR(
  VLOOKUP(
    $H184,
    shortcut設定!$F:$J,
    MATCH(
      "ProgramsIndex",
      shortcut設定!$F$12:$J$12,
      0
    ),
    FALSE
  ),
  ""
)</f>
        <v>200</v>
      </c>
      <c r="AC184" s="20" t="str">
        <f t="shared" si="25"/>
        <v/>
      </c>
      <c r="AD184" s="13" t="str">
        <f ca="1">IF(
  AND($A184&lt;&gt;"",$L184="○"),
  shortcut設定!$F$5&amp;"\"&amp;AB184&amp;"_"&amp;A184&amp;"（"&amp;B184&amp;"）"&amp;AC184&amp;".lnk",
  ""
)</f>
        <v>%USERPROFILE%\AppData\Roaming\Microsoft\Windows\SendTo\200_OutputFileInfo.vbs（ファイル情報出力）.lnk</v>
      </c>
      <c r="AE184" s="13" t="str">
        <f>IF(
  AND($A184&lt;&gt;"",$N184="○"),
  (
    """"&amp;shortcut設定!$F$7&amp;""""&amp;
    " """&amp;$AF184&amp;""""&amp;
    " """&amp;$C184&amp;""""&amp;
    IF($D184="-"," """""," """&amp;$D184&amp;"""")&amp;
    IF($E184="-"," """""," """&amp;$E184&amp;"""")
  ),
  ""
)</f>
        <v/>
      </c>
      <c r="AF184" s="9" t="str">
        <f>IF(
  AND($A184&lt;&gt;"",$N184="○"),
  shortcut設定!$F$6&amp;"\"&amp;A184&amp;"（"&amp;B184&amp;"）.lnk",
  ""
)</f>
        <v/>
      </c>
      <c r="AG184" s="13" t="str">
        <f t="shared" si="26"/>
        <v/>
      </c>
      <c r="AH184" s="13" t="str">
        <f t="shared" si="27"/>
        <v/>
      </c>
      <c r="AI184" s="13" t="str">
        <f>IF(
  AND($A184&lt;&gt;"",$Q184&lt;&gt;"-",$Q184&lt;&gt;""),
  (
    """"&amp;shortcut設定!$F$7&amp;""""&amp;
    " """&amp;$Q184&amp;".lnk"""&amp;
    " """&amp;$C184&amp;""""&amp;
    IF($D184="-"," """""," """&amp;$D184&amp;"""")&amp;
    IF($E184="-"," """""," """&amp;$E184&amp;"""")
  ),
  ""
)</f>
        <v/>
      </c>
      <c r="AJ184" s="91" t="s">
        <v>174</v>
      </c>
    </row>
    <row r="185" spans="1:36">
      <c r="A185" s="9" t="s">
        <v>682</v>
      </c>
      <c r="B185" s="9" t="s">
        <v>819</v>
      </c>
      <c r="C185" s="9" t="s">
        <v>115</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IF(
  AND(
    $A185&lt;&gt;"",
    COUNTIF(C:C,$A185)&gt;1
  ),
  "★NG★",
  ""
)</f>
        <v/>
      </c>
      <c r="S185" s="9" t="str">
        <f t="shared" si="24"/>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5"/>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6"/>
        <v/>
      </c>
      <c r="AH185" s="13" t="str">
        <f t="shared" si="27"/>
        <v/>
      </c>
      <c r="AI185" s="13" t="str">
        <f>IF(
  AND($A185&lt;&gt;"",$Q185&lt;&gt;"-",$Q185&lt;&gt;""),
  (
    """"&amp;shortcut設定!$F$7&amp;""""&amp;
    " """&amp;$Q185&amp;".lnk"""&amp;
    " """&amp;$C185&amp;""""&amp;
    IF($D185="-"," """""," """&amp;$D185&amp;"""")&amp;
    IF($E185="-"," """""," """&amp;$E185&amp;"""")
  ),
  ""
)</f>
        <v/>
      </c>
      <c r="AJ185" s="91" t="s">
        <v>174</v>
      </c>
    </row>
    <row r="186" spans="1:36">
      <c r="A186" s="9" t="s">
        <v>683</v>
      </c>
      <c r="B186" s="9" t="s">
        <v>820</v>
      </c>
      <c r="C186" s="9" t="s">
        <v>116</v>
      </c>
      <c r="D186" s="15" t="s">
        <v>39</v>
      </c>
      <c r="E186" s="26" t="s">
        <v>39</v>
      </c>
      <c r="F186" s="15" t="s">
        <v>0</v>
      </c>
      <c r="G186" s="15" t="s">
        <v>0</v>
      </c>
      <c r="H186" s="9" t="s">
        <v>521</v>
      </c>
      <c r="I186" s="15" t="s">
        <v>64</v>
      </c>
      <c r="J186" s="15" t="s">
        <v>64</v>
      </c>
      <c r="K186" s="15" t="s">
        <v>64</v>
      </c>
      <c r="L186" s="93" t="s">
        <v>64</v>
      </c>
      <c r="M186" s="94" t="s">
        <v>545</v>
      </c>
      <c r="N186" s="15" t="s">
        <v>64</v>
      </c>
      <c r="O186" s="26" t="s">
        <v>1230</v>
      </c>
      <c r="P186" s="157" t="s">
        <v>1230</v>
      </c>
      <c r="Q186" s="26" t="s">
        <v>935</v>
      </c>
      <c r="R186" s="9" t="str">
        <f>IF(
  AND(
    $A186&lt;&gt;"",
    COUNTIF(C:C,$A186)&gt;1
  ),
  "★NG★",
  ""
)</f>
        <v/>
      </c>
      <c r="S186" s="9" t="str">
        <f t="shared" si="24"/>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si="25"/>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si="26"/>
        <v/>
      </c>
      <c r="AH186" s="13" t="str">
        <f t="shared" si="27"/>
        <v/>
      </c>
      <c r="AI186" s="13" t="str">
        <f>IF(
  AND($A186&lt;&gt;"",$Q186&lt;&gt;"-",$Q186&lt;&gt;""),
  (
    """"&amp;shortcut設定!$F$7&amp;""""&amp;
    " """&amp;$Q186&amp;".lnk"""&amp;
    " """&amp;$C186&amp;""""&amp;
    IF($D186="-"," """""," """&amp;$D186&amp;"""")&amp;
    IF($E186="-"," """""," """&amp;$E186&amp;"""")
  ),
  ""
)</f>
        <v/>
      </c>
      <c r="AJ186" s="91" t="s">
        <v>174</v>
      </c>
    </row>
    <row r="187" spans="1:36">
      <c r="A187" s="9" t="s">
        <v>684</v>
      </c>
      <c r="B187" s="9" t="s">
        <v>821</v>
      </c>
      <c r="C187" s="9" t="s">
        <v>117</v>
      </c>
      <c r="D187" s="15" t="s">
        <v>39</v>
      </c>
      <c r="E187" s="26" t="s">
        <v>39</v>
      </c>
      <c r="F187" s="15" t="s">
        <v>0</v>
      </c>
      <c r="G187" s="15" t="s">
        <v>0</v>
      </c>
      <c r="H187" s="9" t="s">
        <v>521</v>
      </c>
      <c r="I187" s="15" t="s">
        <v>64</v>
      </c>
      <c r="J187" s="15" t="s">
        <v>64</v>
      </c>
      <c r="K187" s="15" t="s">
        <v>64</v>
      </c>
      <c r="L187" s="93" t="s">
        <v>64</v>
      </c>
      <c r="M187" s="94" t="s">
        <v>545</v>
      </c>
      <c r="N187" s="15" t="s">
        <v>64</v>
      </c>
      <c r="O187" s="26" t="s">
        <v>1230</v>
      </c>
      <c r="P187" s="157" t="s">
        <v>1230</v>
      </c>
      <c r="Q187" s="26" t="s">
        <v>935</v>
      </c>
      <c r="R187" s="9" t="str">
        <f>IF(
  AND(
    $A187&lt;&gt;"",
    COUNTIF(C:C,$A187)&gt;1
  ),
  "★NG★",
  ""
)</f>
        <v/>
      </c>
      <c r="S187" s="9" t="str">
        <f t="shared" si="24"/>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IF(
  AND($A187&lt;&gt;"",$L187&lt;&gt;"-",$L187&lt;&gt;""),
  (
    """"&amp;shortcut設定!$F$7&amp;""""&amp;
    " """&amp;$AD187&amp;""""&amp;
    " """&amp;$C187&amp;""""&amp;
    IF($D187="-"," """""," """&amp;$D187&amp;"""")&amp;
    IF($E187="-"," """""," """&amp;$E187&amp;"""")
  ),
  ""
)</f>
        <v/>
      </c>
      <c r="AB187" s="9" t="str">
        <f ca="1">IFERROR(
  VLOOKUP(
    $H187,
    shortcut設定!$F:$J,
    MATCH(
      "ProgramsIndex",
      shortcut設定!$F$12:$J$12,
      0
    ),
    FALSE
  ),
  ""
)</f>
        <v>200</v>
      </c>
      <c r="AC187" s="20" t="str">
        <f t="shared" si="25"/>
        <v/>
      </c>
      <c r="AD187" s="13" t="str">
        <f>IF(
  AND($A187&lt;&gt;"",$L187="○"),
  shortcut設定!$F$5&amp;"\"&amp;AB187&amp;"_"&amp;A187&amp;"（"&amp;B187&amp;"）"&amp;AC187&amp;".lnk",
  ""
)</f>
        <v/>
      </c>
      <c r="AE187" s="13" t="str">
        <f>IF(
  AND($A187&lt;&gt;"",$N187="○"),
  (
    """"&amp;shortcut設定!$F$7&amp;""""&amp;
    " """&amp;$AF187&amp;""""&amp;
    " """&amp;$C187&amp;""""&amp;
    IF($D187="-"," """""," """&amp;$D187&amp;"""")&amp;
    IF($E187="-"," """""," """&amp;$E187&amp;"""")
  ),
  ""
)</f>
        <v/>
      </c>
      <c r="AF187" s="9" t="str">
        <f>IF(
  AND($A187&lt;&gt;"",$N187="○"),
  shortcut設定!$F$6&amp;"\"&amp;A187&amp;"（"&amp;B187&amp;"）.lnk",
  ""
)</f>
        <v/>
      </c>
      <c r="AG187" s="13" t="str">
        <f t="shared" si="26"/>
        <v/>
      </c>
      <c r="AH187" s="13" t="str">
        <f t="shared" si="27"/>
        <v/>
      </c>
      <c r="AI187" s="13" t="str">
        <f>IF(
  AND($A187&lt;&gt;"",$Q187&lt;&gt;"-",$Q187&lt;&gt;""),
  (
    """"&amp;shortcut設定!$F$7&amp;""""&amp;
    " """&amp;$Q187&amp;".lnk"""&amp;
    " """&amp;$C187&amp;""""&amp;
    IF($D187="-"," """""," """&amp;$D187&amp;"""")&amp;
    IF($E187="-"," """""," """&amp;$E187&amp;"""")
  ),
  ""
)</f>
        <v/>
      </c>
      <c r="AJ187" s="91" t="s">
        <v>174</v>
      </c>
    </row>
    <row r="188" spans="1:36">
      <c r="A188" s="9" t="s">
        <v>685</v>
      </c>
      <c r="B188" s="9" t="s">
        <v>822</v>
      </c>
      <c r="C188" s="9" t="s">
        <v>118</v>
      </c>
      <c r="D188" s="15" t="s">
        <v>39</v>
      </c>
      <c r="E188" s="26" t="s">
        <v>39</v>
      </c>
      <c r="F188" s="15" t="s">
        <v>0</v>
      </c>
      <c r="G188" s="15" t="s">
        <v>27</v>
      </c>
      <c r="H188" s="9" t="s">
        <v>521</v>
      </c>
      <c r="I188" s="15" t="s">
        <v>64</v>
      </c>
      <c r="J188" s="15" t="s">
        <v>64</v>
      </c>
      <c r="K188" s="15" t="s">
        <v>64</v>
      </c>
      <c r="L188" s="93" t="s">
        <v>64</v>
      </c>
      <c r="M188" s="94" t="s">
        <v>545</v>
      </c>
      <c r="N188" s="15" t="s">
        <v>64</v>
      </c>
      <c r="O188" s="26" t="s">
        <v>1230</v>
      </c>
      <c r="P188" s="157" t="s">
        <v>1230</v>
      </c>
      <c r="Q188" s="26" t="s">
        <v>935</v>
      </c>
      <c r="R188" s="9" t="str">
        <f>IF(
  AND(
    $A188&lt;&gt;"",
    COUNTIF(C:C,$A188)&gt;1
  ),
  "★NG★",
  ""
)</f>
        <v/>
      </c>
      <c r="S188" s="9" t="str">
        <f t="shared" ref="S188:S226" si="28">IF(
  OR(
    $H188="",
    $H188="-",
    COUNTIF(カテゴリ,$H188)&gt;0
  ),
  "",
  "★NG★"
)</f>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IF(
  AND($A188&lt;&gt;"",$L188&lt;&gt;"-",$L188&lt;&gt;""),
  (
    """"&amp;shortcut設定!$F$7&amp;""""&amp;
    " """&amp;$AD188&amp;""""&amp;
    " """&amp;$C188&amp;""""&amp;
    IF($D188="-"," """""," """&amp;$D188&amp;"""")&amp;
    IF($E188="-"," """""," """&amp;$E188&amp;"""")
  ),
  ""
)</f>
        <v/>
      </c>
      <c r="AB188" s="9" t="str">
        <f ca="1">IFERROR(
  VLOOKUP(
    $H188,
    shortcut設定!$F:$J,
    MATCH(
      "ProgramsIndex",
      shortcut設定!$F$12:$J$12,
      0
    ),
    FALSE
  ),
  ""
)</f>
        <v>200</v>
      </c>
      <c r="AC188" s="20" t="str">
        <f t="shared" ref="AC188:AC226" si="29">IF(AND($M188&lt;&gt;"",$M188&lt;&gt;"-")," (&amp;"&amp;$M188&amp;")","")</f>
        <v/>
      </c>
      <c r="AD188" s="13" t="str">
        <f>IF(
  AND($A188&lt;&gt;"",$L188="○"),
  shortcut設定!$F$5&amp;"\"&amp;AB188&amp;"_"&amp;A188&amp;"（"&amp;B188&amp;"）"&amp;AC188&amp;".lnk",
  ""
)</f>
        <v/>
      </c>
      <c r="AE188" s="13" t="str">
        <f>IF(
  AND($A188&lt;&gt;"",$N188="○"),
  (
    """"&amp;shortcut設定!$F$7&amp;""""&amp;
    " """&amp;$AF188&amp;""""&amp;
    " """&amp;$C188&amp;""""&amp;
    IF($D188="-"," """""," """&amp;$D188&amp;"""")&amp;
    IF($E188="-"," """""," """&amp;$E188&amp;"""")
  ),
  ""
)</f>
        <v/>
      </c>
      <c r="AF188" s="9" t="str">
        <f>IF(
  AND($A188&lt;&gt;"",$N188="○"),
  shortcut設定!$F$6&amp;"\"&amp;A188&amp;"（"&amp;B188&amp;"）.lnk",
  ""
)</f>
        <v/>
      </c>
      <c r="AG188" s="13" t="str">
        <f t="shared" ref="AG188:AG226" si="30">IF(
  AND($A188&lt;&gt;"",$O188&lt;&gt;"-",$O188&lt;&gt;""),
  (
    "schtasks /create /tn """&amp;$O188&amp;""" /tr """&amp;$C188&amp;""" /sc daily /st "&amp;$P188&amp;" /rl highest"
  ),
  ""
)</f>
        <v/>
      </c>
      <c r="AH188" s="13" t="str">
        <f t="shared" ref="AH188:AH226" si="31">IF(
  AND($A188&lt;&gt;"",$O188&lt;&gt;"-",$O188&lt;&gt;""),
  (
    "schtasks /delete /tn """&amp;$O188&amp;""""
  ),
  ""
)</f>
        <v/>
      </c>
      <c r="AI188" s="13" t="str">
        <f>IF(
  AND($A188&lt;&gt;"",$Q188&lt;&gt;"-",$Q188&lt;&gt;""),
  (
    """"&amp;shortcut設定!$F$7&amp;""""&amp;
    " """&amp;$Q188&amp;".lnk"""&amp;
    " """&amp;$C188&amp;""""&amp;
    IF($D188="-"," """""," """&amp;$D188&amp;"""")&amp;
    IF($E188="-"," """""," """&amp;$E188&amp;"""")
  ),
  ""
)</f>
        <v/>
      </c>
      <c r="AJ188" s="91" t="s">
        <v>174</v>
      </c>
    </row>
    <row r="189" spans="1:36">
      <c r="A189" s="9" t="s">
        <v>686</v>
      </c>
      <c r="B189" s="9" t="s">
        <v>823</v>
      </c>
      <c r="C189" s="9" t="s">
        <v>119</v>
      </c>
      <c r="D189" s="15" t="s">
        <v>39</v>
      </c>
      <c r="E189" s="26" t="s">
        <v>39</v>
      </c>
      <c r="F189" s="15" t="s">
        <v>0</v>
      </c>
      <c r="G189" s="15" t="s">
        <v>0</v>
      </c>
      <c r="H189" s="9" t="s">
        <v>521</v>
      </c>
      <c r="I189" s="15" t="s">
        <v>64</v>
      </c>
      <c r="J189" s="15" t="s">
        <v>64</v>
      </c>
      <c r="K189" s="15" t="s">
        <v>64</v>
      </c>
      <c r="L189" s="93" t="s">
        <v>841</v>
      </c>
      <c r="M189" s="94" t="s">
        <v>546</v>
      </c>
      <c r="N189" s="15" t="s">
        <v>64</v>
      </c>
      <c r="O189" s="26" t="s">
        <v>1230</v>
      </c>
      <c r="P189" s="157" t="s">
        <v>1230</v>
      </c>
      <c r="Q189" s="26" t="s">
        <v>935</v>
      </c>
      <c r="R189" s="9" t="str">
        <f>IF(
  AND(
    $A189&lt;&gt;"",
    COUNTIF(C:C,$A189)&gt;1
  ),
  "★NG★",
  ""
)</f>
        <v/>
      </c>
      <c r="S189" s="9" t="str">
        <f t="shared" si="28"/>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 ca="1">IF(
  AND($A189&lt;&gt;"",$L189&lt;&gt;"-",$L189&lt;&gt;""),
  (
    """"&amp;shortcut設定!$F$7&amp;""""&amp;
    " """&amp;$AD189&amp;""""&amp;
    " """&amp;$C189&amp;""""&amp;
    IF($D189="-"," """""," """&amp;$D189&amp;"""")&amp;
    IF($E189="-"," """""," """&amp;$E189&amp;"""")
  ),
  ""
)</f>
        <v>"C:\codes\vbs\command\CreateShortcutFile.vbs" "%USERPROFILE%\AppData\Roaming\Microsoft\Windows\SendTo\200_CompareWithWinmerge.vbs（ファイル比較＠Winmerge） (&amp;D).lnk" "C:\codes\vbs\tools\wimmerge\CompareWithWinmerge.vbs" "" ""</v>
      </c>
      <c r="AB189" s="9" t="str">
        <f ca="1">IFERROR(
  VLOOKUP(
    $H189,
    shortcut設定!$F:$J,
    MATCH(
      "ProgramsIndex",
      shortcut設定!$F$12:$J$12,
      0
    ),
    FALSE
  ),
  ""
)</f>
        <v>200</v>
      </c>
      <c r="AC189" s="20" t="str">
        <f t="shared" si="29"/>
        <v xml:space="preserve"> (&amp;D)</v>
      </c>
      <c r="AD189" s="13" t="str">
        <f ca="1">IF(
  AND($A189&lt;&gt;"",$L189="○"),
  shortcut設定!$F$5&amp;"\"&amp;AB189&amp;"_"&amp;A189&amp;"（"&amp;B189&amp;"）"&amp;AC189&amp;".lnk",
  ""
)</f>
        <v>%USERPROFILE%\AppData\Roaming\Microsoft\Windows\SendTo\200_CompareWithWinmerge.vbs（ファイル比較＠Winmerge） (&amp;D).lnk</v>
      </c>
      <c r="AE189" s="13" t="str">
        <f>IF(
  AND($A189&lt;&gt;"",$N189="○"),
  (
    """"&amp;shortcut設定!$F$7&amp;""""&amp;
    " """&amp;$AF189&amp;""""&amp;
    " """&amp;$C189&amp;""""&amp;
    IF($D189="-"," """""," """&amp;$D189&amp;"""")&amp;
    IF($E189="-"," """""," """&amp;$E189&amp;"""")
  ),
  ""
)</f>
        <v/>
      </c>
      <c r="AF189" s="9" t="str">
        <f>IF(
  AND($A189&lt;&gt;"",$N189="○"),
  shortcut設定!$F$6&amp;"\"&amp;A189&amp;"（"&amp;B189&amp;"）.lnk",
  ""
)</f>
        <v/>
      </c>
      <c r="AG189" s="13" t="str">
        <f t="shared" si="30"/>
        <v/>
      </c>
      <c r="AH189" s="13" t="str">
        <f t="shared" si="31"/>
        <v/>
      </c>
      <c r="AI189" s="13" t="str">
        <f>IF(
  AND($A189&lt;&gt;"",$Q189&lt;&gt;"-",$Q189&lt;&gt;""),
  (
    """"&amp;shortcut設定!$F$7&amp;""""&amp;
    " """&amp;$Q189&amp;".lnk"""&amp;
    " """&amp;$C189&amp;""""&amp;
    IF($D189="-"," """""," """&amp;$D189&amp;"""")&amp;
    IF($E189="-"," """""," """&amp;$E189&amp;"""")
  ),
  ""
)</f>
        <v/>
      </c>
      <c r="AJ189" s="91" t="s">
        <v>174</v>
      </c>
    </row>
    <row r="190" spans="1:36">
      <c r="A190" s="9" t="s">
        <v>687</v>
      </c>
      <c r="B190" s="9" t="s">
        <v>824</v>
      </c>
      <c r="C190" s="9" t="s">
        <v>120</v>
      </c>
      <c r="D190" s="15" t="s">
        <v>39</v>
      </c>
      <c r="E190" s="26" t="s">
        <v>39</v>
      </c>
      <c r="F190" s="15" t="s">
        <v>0</v>
      </c>
      <c r="G190" s="15" t="s">
        <v>0</v>
      </c>
      <c r="H190" s="9" t="s">
        <v>521</v>
      </c>
      <c r="I190" s="15" t="s">
        <v>64</v>
      </c>
      <c r="J190" s="15" t="s">
        <v>64</v>
      </c>
      <c r="K190" s="15" t="s">
        <v>64</v>
      </c>
      <c r="L190" s="93" t="s">
        <v>841</v>
      </c>
      <c r="M190" s="94" t="s">
        <v>545</v>
      </c>
      <c r="N190" s="15" t="s">
        <v>64</v>
      </c>
      <c r="O190" s="26" t="s">
        <v>1230</v>
      </c>
      <c r="P190" s="157" t="s">
        <v>1230</v>
      </c>
      <c r="Q190" s="26" t="s">
        <v>935</v>
      </c>
      <c r="R190" s="9" t="str">
        <f>IF(
  AND(
    $A190&lt;&gt;"",
    COUNTIF(C:C,$A190)&gt;1
  ),
  "★NG★",
  ""
)</f>
        <v/>
      </c>
      <c r="S190" s="9" t="str">
        <f t="shared" si="28"/>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"%USERPROFILE%\AppData\Roaming\Microsoft\Windows\SendTo\200_OpenAllFilesWithVim.vbs（全ファイル開く＠Vim）.lnk" "C:\codes\vbs\tools\vim\OpenAllFilesWithVim.vbs" "" ""</v>
      </c>
      <c r="AB190" s="9" t="str">
        <f ca="1">IFERROR(
  VLOOKUP(
    $H190,
    shortcut設定!$F:$J,
    MATCH(
      "ProgramsIndex",
      shortcut設定!$F$12:$J$12,
      0
    ),
    FALSE
  ),
  ""
)</f>
        <v>200</v>
      </c>
      <c r="AC190" s="20" t="str">
        <f t="shared" si="29"/>
        <v/>
      </c>
      <c r="AD190" s="13" t="str">
        <f ca="1">IF(
  AND($A190&lt;&gt;"",$L190="○"),
  shortcut設定!$F$5&amp;"\"&amp;AB190&amp;"_"&amp;A190&amp;"（"&amp;B190&amp;"）"&amp;AC190&amp;".lnk",
  ""
)</f>
        <v>%USERPROFILE%\AppData\Roaming\Microsoft\Windows\SendTo\200_OpenAllFilesWithVim.vbs（全ファイル開く＠Vim）.lnk</v>
      </c>
      <c r="AE190" s="13" t="str">
        <f>IF(
  AND($A190&lt;&gt;"",$N190="○"),
  (
    """"&amp;shortcut設定!$F$7&amp;""""&amp;
    " """&amp;$AF190&amp;""""&amp;
    " """&amp;$C190&amp;""""&amp;
    IF($D190="-"," """""," """&amp;$D190&amp;"""")&amp;
    IF($E190="-"," """""," """&amp;$E190&amp;"""")
  ),
  ""
)</f>
        <v/>
      </c>
      <c r="AF190" s="9" t="str">
        <f>IF(
  AND($A190&lt;&gt;"",$N190="○"),
  shortcut設定!$F$6&amp;"\"&amp;A190&amp;"（"&amp;B190&amp;"）.lnk",
  ""
)</f>
        <v/>
      </c>
      <c r="AG190" s="13" t="str">
        <f t="shared" si="30"/>
        <v/>
      </c>
      <c r="AH190" s="13" t="str">
        <f t="shared" si="31"/>
        <v/>
      </c>
      <c r="AI190" s="13" t="str">
        <f>IF(
  AND($A190&lt;&gt;"",$Q190&lt;&gt;"-",$Q190&lt;&gt;""),
  (
    """"&amp;shortcut設定!$F$7&amp;""""&amp;
    " """&amp;$Q190&amp;".lnk"""&amp;
    " """&amp;$C190&amp;""""&amp;
    IF($D190="-"," """""," """&amp;$D190&amp;"""")&amp;
    IF($E190="-"," """""," """&amp;$E190&amp;"""")
  ),
  ""
)</f>
        <v/>
      </c>
      <c r="AJ190" s="91" t="s">
        <v>174</v>
      </c>
    </row>
    <row r="191" spans="1:36">
      <c r="A191" s="9" t="s">
        <v>688</v>
      </c>
      <c r="B191" s="9" t="s">
        <v>825</v>
      </c>
      <c r="C191" s="9" t="s">
        <v>121</v>
      </c>
      <c r="D191" s="15" t="s">
        <v>39</v>
      </c>
      <c r="E191" s="26" t="s">
        <v>39</v>
      </c>
      <c r="F191" s="15" t="s">
        <v>0</v>
      </c>
      <c r="G191" s="15" t="s">
        <v>0</v>
      </c>
      <c r="H191" s="9" t="s">
        <v>521</v>
      </c>
      <c r="I191" s="15" t="s">
        <v>64</v>
      </c>
      <c r="J191" s="15" t="s">
        <v>64</v>
      </c>
      <c r="K191" s="15" t="s">
        <v>64</v>
      </c>
      <c r="L191" s="93" t="s">
        <v>64</v>
      </c>
      <c r="M191" s="94" t="s">
        <v>545</v>
      </c>
      <c r="N191" s="15" t="s">
        <v>64</v>
      </c>
      <c r="O191" s="26" t="s">
        <v>1230</v>
      </c>
      <c r="P191" s="157" t="s">
        <v>1230</v>
      </c>
      <c r="Q191" s="26" t="s">
        <v>935</v>
      </c>
      <c r="R191" s="9" t="str">
        <f>IF(
  AND(
    $A191&lt;&gt;"",
    COUNTIF(C:C,$A191)&gt;1
  ),
  "★NG★",
  ""
)</f>
        <v/>
      </c>
      <c r="S191" s="9" t="str">
        <f t="shared" si="28"/>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9"/>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30"/>
        <v/>
      </c>
      <c r="AH191" s="13" t="str">
        <f t="shared" si="31"/>
        <v/>
      </c>
      <c r="AI191" s="13" t="str">
        <f>IF(
  AND($A191&lt;&gt;"",$Q191&lt;&gt;"-",$Q191&lt;&gt;""),
  (
    """"&amp;shortcut設定!$F$7&amp;""""&amp;
    " """&amp;$Q191&amp;".lnk"""&amp;
    " """&amp;$C191&amp;""""&amp;
    IF($D191="-"," """""," """&amp;$D191&amp;"""")&amp;
    IF($E191="-"," """""," """&amp;$E191&amp;"""")
  ),
  ""
)</f>
        <v/>
      </c>
      <c r="AJ191" s="91" t="s">
        <v>174</v>
      </c>
    </row>
    <row r="192" spans="1:36">
      <c r="A192" s="9" t="s">
        <v>689</v>
      </c>
      <c r="B192" s="9" t="s">
        <v>826</v>
      </c>
      <c r="C192" s="9" t="s">
        <v>122</v>
      </c>
      <c r="D192" s="15" t="s">
        <v>39</v>
      </c>
      <c r="E192" s="26" t="s">
        <v>39</v>
      </c>
      <c r="F192" s="15" t="s">
        <v>0</v>
      </c>
      <c r="G192" s="15" t="s">
        <v>0</v>
      </c>
      <c r="H192" s="9" t="s">
        <v>521</v>
      </c>
      <c r="I192" s="15" t="s">
        <v>64</v>
      </c>
      <c r="J192" s="15" t="s">
        <v>64</v>
      </c>
      <c r="K192" s="15" t="s">
        <v>64</v>
      </c>
      <c r="L192" s="93" t="s">
        <v>841</v>
      </c>
      <c r="M192" s="94" t="s">
        <v>547</v>
      </c>
      <c r="N192" s="15" t="s">
        <v>64</v>
      </c>
      <c r="O192" s="26" t="s">
        <v>1230</v>
      </c>
      <c r="P192" s="157" t="s">
        <v>1230</v>
      </c>
      <c r="Q192" s="26" t="s">
        <v>935</v>
      </c>
      <c r="R192" s="9" t="str">
        <f>IF(
  AND(
    $A192&lt;&gt;"",
    COUNTIF(C:C,$A192)&gt;1
  ),
  "★NG★",
  ""
)</f>
        <v/>
      </c>
      <c r="S192" s="9" t="str">
        <f t="shared" si="28"/>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"%USERPROFILE%\AppData\Roaming\Microsoft\Windows\SendTo\200_UnzipFile.vbs（Zip解凍） (&amp;U).lnk" "C:\codes\vbs\tools\7zip\UnzipFile.vbs" "" ""</v>
      </c>
      <c r="AB192" s="9" t="str">
        <f ca="1">IFERROR(
  VLOOKUP(
    $H192,
    shortcut設定!$F:$J,
    MATCH(
      "ProgramsIndex",
      shortcut設定!$F$12:$J$12,
      0
    ),
    FALSE
  ),
  ""
)</f>
        <v>200</v>
      </c>
      <c r="AC192" s="20" t="str">
        <f t="shared" si="29"/>
        <v xml:space="preserve"> (&amp;U)</v>
      </c>
      <c r="AD192" s="13" t="str">
        <f ca="1">IF(
  AND($A192&lt;&gt;"",$L192="○"),
  shortcut設定!$F$5&amp;"\"&amp;AB192&amp;"_"&amp;A192&amp;"（"&amp;B192&amp;"）"&amp;AC192&amp;".lnk",
  ""
)</f>
        <v>%USERPROFILE%\AppData\Roaming\Microsoft\Windows\SendTo\200_UnzipFile.vbs（Zip解凍） (&amp;U).lnk</v>
      </c>
      <c r="AE192" s="13" t="str">
        <f>IF(
  AND($A192&lt;&gt;"",$N192="○"),
  (
    """"&amp;shortcut設定!$F$7&amp;""""&amp;
    " """&amp;$AF192&amp;""""&amp;
    " """&amp;$C192&amp;""""&amp;
    IF($D192="-"," """""," """&amp;$D192&amp;"""")&amp;
    IF($E192="-"," """""," """&amp;$E192&amp;"""")
  ),
  ""
)</f>
        <v/>
      </c>
      <c r="AF192" s="9" t="str">
        <f>IF(
  AND($A192&lt;&gt;"",$N192="○"),
  shortcut設定!$F$6&amp;"\"&amp;A192&amp;"（"&amp;B192&amp;"）.lnk",
  ""
)</f>
        <v/>
      </c>
      <c r="AG192" s="13" t="str">
        <f t="shared" si="30"/>
        <v/>
      </c>
      <c r="AH192" s="13" t="str">
        <f t="shared" si="31"/>
        <v/>
      </c>
      <c r="AI192" s="13" t="str">
        <f>IF(
  AND($A192&lt;&gt;"",$Q192&lt;&gt;"-",$Q192&lt;&gt;""),
  (
    """"&amp;shortcut設定!$F$7&amp;""""&amp;
    " """&amp;$Q192&amp;".lnk"""&amp;
    " """&amp;$C192&amp;""""&amp;
    IF($D192="-"," """""," """&amp;$D192&amp;"""")&amp;
    IF($E192="-"," """""," """&amp;$E192&amp;"""")
  ),
  ""
)</f>
        <v/>
      </c>
      <c r="AJ192" s="91" t="s">
        <v>174</v>
      </c>
    </row>
    <row r="193" spans="1:36">
      <c r="A193" s="9" t="s">
        <v>690</v>
      </c>
      <c r="B193" s="9" t="s">
        <v>827</v>
      </c>
      <c r="C193" s="9" t="s">
        <v>123</v>
      </c>
      <c r="D193" s="15" t="s">
        <v>39</v>
      </c>
      <c r="E193" s="26" t="s">
        <v>39</v>
      </c>
      <c r="F193" s="15" t="s">
        <v>0</v>
      </c>
      <c r="G193" s="15" t="s">
        <v>0</v>
      </c>
      <c r="H193" s="9" t="s">
        <v>521</v>
      </c>
      <c r="I193" s="15" t="s">
        <v>64</v>
      </c>
      <c r="J193" s="15" t="s">
        <v>64</v>
      </c>
      <c r="K193" s="15" t="s">
        <v>64</v>
      </c>
      <c r="L193" s="93" t="s">
        <v>841</v>
      </c>
      <c r="M193" s="94" t="s">
        <v>548</v>
      </c>
      <c r="N193" s="15" t="s">
        <v>64</v>
      </c>
      <c r="O193" s="26" t="s">
        <v>1230</v>
      </c>
      <c r="P193" s="157" t="s">
        <v>1230</v>
      </c>
      <c r="Q193" s="26" t="s">
        <v>935</v>
      </c>
      <c r="R193" s="9" t="str">
        <f>IF(
  AND(
    $A193&lt;&gt;"",
    COUNTIF(C:C,$A193)&gt;1
  ),
  "★NG★",
  ""
)</f>
        <v/>
      </c>
      <c r="S193" s="9" t="str">
        <f t="shared" si="28"/>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 ca="1">IF(
  AND($A193&lt;&gt;"",$L193&lt;&gt;"-",$L193&lt;&gt;""),
  (
    """"&amp;shortcut設定!$F$7&amp;""""&amp;
    " """&amp;$AD193&amp;""""&amp;
    " """&amp;$C193&amp;""""&amp;
    IF($D193="-"," """""," """&amp;$D193&amp;"""")&amp;
    IF($E193="-"," """""," """&amp;$E193&amp;"""")
  ),
  ""
)</f>
        <v>"C:\codes\vbs\command\CreateShortcutFile.vbs" "%USERPROFILE%\AppData\Roaming\Microsoft\Windows\SendTo\200_ZipFile.vbs（Zip圧縮） (&amp;Z).lnk" "C:\codes\vbs\tools\7zip\ZipFile.vbs" "" ""</v>
      </c>
      <c r="AB193" s="9" t="str">
        <f ca="1">IFERROR(
  VLOOKUP(
    $H193,
    shortcut設定!$F:$J,
    MATCH(
      "ProgramsIndex",
      shortcut設定!$F$12:$J$12,
      0
    ),
    FALSE
  ),
  ""
)</f>
        <v>200</v>
      </c>
      <c r="AC193" s="20" t="str">
        <f t="shared" si="29"/>
        <v xml:space="preserve"> (&amp;Z)</v>
      </c>
      <c r="AD193" s="13" t="str">
        <f ca="1">IF(
  AND($A193&lt;&gt;"",$L193="○"),
  shortcut設定!$F$5&amp;"\"&amp;AB193&amp;"_"&amp;A193&amp;"（"&amp;B193&amp;"）"&amp;AC193&amp;".lnk",
  ""
)</f>
        <v>%USERPROFILE%\AppData\Roaming\Microsoft\Windows\SendTo\200_ZipFile.vbs（Zip圧縮） (&amp;Z).lnk</v>
      </c>
      <c r="AE193" s="13" t="str">
        <f>IF(
  AND($A193&lt;&gt;"",$N193="○"),
  (
    """"&amp;shortcut設定!$F$7&amp;""""&amp;
    " """&amp;$AF193&amp;""""&amp;
    " """&amp;$C193&amp;""""&amp;
    IF($D193="-"," """""," """&amp;$D193&amp;"""")&amp;
    IF($E193="-"," """""," """&amp;$E193&amp;"""")
  ),
  ""
)</f>
        <v/>
      </c>
      <c r="AF193" s="9" t="str">
        <f>IF(
  AND($A193&lt;&gt;"",$N193="○"),
  shortcut設定!$F$6&amp;"\"&amp;A193&amp;"（"&amp;B193&amp;"）.lnk",
  ""
)</f>
        <v/>
      </c>
      <c r="AG193" s="13" t="str">
        <f t="shared" si="30"/>
        <v/>
      </c>
      <c r="AH193" s="13" t="str">
        <f t="shared" si="31"/>
        <v/>
      </c>
      <c r="AI193" s="13" t="str">
        <f>IF(
  AND($A193&lt;&gt;"",$Q193&lt;&gt;"-",$Q193&lt;&gt;""),
  (
    """"&amp;shortcut設定!$F$7&amp;""""&amp;
    " """&amp;$Q193&amp;".lnk"""&amp;
    " """&amp;$C193&amp;""""&amp;
    IF($D193="-"," """""," """&amp;$D193&amp;"""")&amp;
    IF($E193="-"," """""," """&amp;$E193&amp;"""")
  ),
  ""
)</f>
        <v/>
      </c>
      <c r="AJ193" s="91" t="s">
        <v>174</v>
      </c>
    </row>
    <row r="194" spans="1:36">
      <c r="A194" s="9" t="s">
        <v>691</v>
      </c>
      <c r="B194" s="9" t="s">
        <v>828</v>
      </c>
      <c r="C194" s="9" t="s">
        <v>124</v>
      </c>
      <c r="D194" s="15" t="s">
        <v>39</v>
      </c>
      <c r="E194" s="26" t="s">
        <v>39</v>
      </c>
      <c r="F194" s="15" t="s">
        <v>0</v>
      </c>
      <c r="G194" s="15" t="s">
        <v>0</v>
      </c>
      <c r="H194" s="9" t="s">
        <v>521</v>
      </c>
      <c r="I194" s="15" t="s">
        <v>64</v>
      </c>
      <c r="J194" s="15" t="s">
        <v>64</v>
      </c>
      <c r="K194" s="15" t="s">
        <v>64</v>
      </c>
      <c r="L194" s="93" t="s">
        <v>841</v>
      </c>
      <c r="M194" s="94" t="s">
        <v>545</v>
      </c>
      <c r="N194" s="15" t="s">
        <v>64</v>
      </c>
      <c r="O194" s="26" t="s">
        <v>1230</v>
      </c>
      <c r="P194" s="157" t="s">
        <v>1230</v>
      </c>
      <c r="Q194" s="26" t="s">
        <v>935</v>
      </c>
      <c r="R194" s="9" t="str">
        <f>IF(
  AND(
    $A194&lt;&gt;"",
    COUNTIF(C:C,$A194)&gt;1
  ),
  "★NG★",
  ""
)</f>
        <v/>
      </c>
      <c r="S194" s="9" t="str">
        <f t="shared" si="28"/>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 ca="1">IF(
  AND($A194&lt;&gt;"",$L194&lt;&gt;"-",$L194&lt;&gt;""),
  (
    """"&amp;shortcut設定!$F$7&amp;""""&amp;
    " """&amp;$AD194&amp;""""&amp;
    " """&amp;$C194&amp;""""&amp;
    IF($D194="-"," """""," """&amp;$D194&amp;"""")&amp;
    IF($E194="-"," """""," """&amp;$E194&amp;"""")
  ),
  ""
)</f>
        <v>"C:\codes\vbs\command\CreateShortcutFile.vbs" "%USERPROFILE%\AppData\Roaming\Microsoft\Windows\SendTo\200_ZipPasswordFile.vbs（Zipパスワード圧縮）.lnk" "C:\codes\vbs\tools\7zip\ZipPasswordFile.vbs" "" ""</v>
      </c>
      <c r="AB194" s="9" t="str">
        <f ca="1">IFERROR(
  VLOOKUP(
    $H194,
    shortcut設定!$F:$J,
    MATCH(
      "ProgramsIndex",
      shortcut設定!$F$12:$J$12,
      0
    ),
    FALSE
  ),
  ""
)</f>
        <v>200</v>
      </c>
      <c r="AC194" s="20" t="str">
        <f t="shared" si="29"/>
        <v/>
      </c>
      <c r="AD194" s="13" t="str">
        <f ca="1">IF(
  AND($A194&lt;&gt;"",$L194="○"),
  shortcut設定!$F$5&amp;"\"&amp;AB194&amp;"_"&amp;A194&amp;"（"&amp;B194&amp;"）"&amp;AC194&amp;".lnk",
  ""
)</f>
        <v>%USERPROFILE%\AppData\Roaming\Microsoft\Windows\SendTo\200_ZipPasswordFile.vbs（Zipパスワード圧縮）.lnk</v>
      </c>
      <c r="AE194" s="13" t="str">
        <f>IF(
  AND($A194&lt;&gt;"",$N194="○"),
  (
    """"&amp;shortcut設定!$F$7&amp;""""&amp;
    " """&amp;$AF194&amp;""""&amp;
    " """&amp;$C194&amp;""""&amp;
    IF($D194="-"," """""," """&amp;$D194&amp;"""")&amp;
    IF($E194="-"," """""," """&amp;$E194&amp;"""")
  ),
  ""
)</f>
        <v/>
      </c>
      <c r="AF194" s="9" t="str">
        <f>IF(
  AND($A194&lt;&gt;"",$N194="○"),
  shortcut設定!$F$6&amp;"\"&amp;A194&amp;"（"&amp;B194&amp;"）.lnk",
  ""
)</f>
        <v/>
      </c>
      <c r="AG194" s="13" t="str">
        <f t="shared" si="30"/>
        <v/>
      </c>
      <c r="AH194" s="13" t="str">
        <f t="shared" si="31"/>
        <v/>
      </c>
      <c r="AI194" s="13" t="str">
        <f>IF(
  AND($A194&lt;&gt;"",$Q194&lt;&gt;"-",$Q194&lt;&gt;""),
  (
    """"&amp;shortcut設定!$F$7&amp;""""&amp;
    " """&amp;$Q194&amp;".lnk"""&amp;
    " """&amp;$C194&amp;""""&amp;
    IF($D194="-"," """""," """&amp;$D194&amp;"""")&amp;
    IF($E194="-"," """""," """&amp;$E194&amp;"""")
  ),
  ""
)</f>
        <v/>
      </c>
      <c r="AJ194" s="91" t="s">
        <v>174</v>
      </c>
    </row>
    <row r="195" spans="1:36">
      <c r="A195" s="9" t="s">
        <v>692</v>
      </c>
      <c r="B195" s="9" t="s">
        <v>829</v>
      </c>
      <c r="C195" s="9" t="s">
        <v>541</v>
      </c>
      <c r="D195" s="15" t="s">
        <v>39</v>
      </c>
      <c r="E195" s="26" t="s">
        <v>39</v>
      </c>
      <c r="F195" s="15" t="s">
        <v>0</v>
      </c>
      <c r="G195" s="15" t="s">
        <v>0</v>
      </c>
      <c r="H195" s="9" t="s">
        <v>521</v>
      </c>
      <c r="I195" s="15" t="s">
        <v>64</v>
      </c>
      <c r="J195" s="15" t="s">
        <v>64</v>
      </c>
      <c r="K195" s="15" t="s">
        <v>64</v>
      </c>
      <c r="L195" s="93" t="s">
        <v>64</v>
      </c>
      <c r="M195" s="94" t="s">
        <v>545</v>
      </c>
      <c r="N195" s="15" t="s">
        <v>64</v>
      </c>
      <c r="O195" s="26" t="s">
        <v>1230</v>
      </c>
      <c r="P195" s="157" t="s">
        <v>1230</v>
      </c>
      <c r="Q195" s="26" t="s">
        <v>935</v>
      </c>
      <c r="R195" s="9" t="str">
        <f>IF(
  AND(
    $A195&lt;&gt;"",
    COUNTIF(C:C,$A195)&gt;1
  ),
  "★NG★",
  ""
)</f>
        <v/>
      </c>
      <c r="S195" s="9" t="str">
        <f t="shared" si="28"/>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
      </c>
      <c r="X195" s="14" t="str">
        <f>IF(
  AND($A195&lt;&gt;"",$J195&lt;&gt;"-",$J195&lt;&gt;""),
  shortcut設定!$F$4&amp;"\"&amp;shortcut設定!$F$8&amp;"\"&amp;$J195&amp;"（"&amp;$B195&amp;"）.lnk",
  ""
)</f>
        <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9"/>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0"/>
        <v/>
      </c>
      <c r="AH195" s="13" t="str">
        <f t="shared" si="31"/>
        <v/>
      </c>
      <c r="AI195" s="13" t="str">
        <f>IF(
  AND($A195&lt;&gt;"",$Q195&lt;&gt;"-",$Q195&lt;&gt;""),
  (
    """"&amp;shortcut設定!$F$7&amp;""""&amp;
    " """&amp;$Q195&amp;".lnk"""&amp;
    " """&amp;$C195&amp;""""&amp;
    IF($D195="-"," """""," """&amp;$D195&amp;"""")&amp;
    IF($E195="-"," """""," """&amp;$E195&amp;"""")
  ),
  ""
)</f>
        <v/>
      </c>
      <c r="AJ195" s="91" t="s">
        <v>174</v>
      </c>
    </row>
    <row r="196" spans="1:36">
      <c r="A196" s="9" t="s">
        <v>693</v>
      </c>
      <c r="B196" s="9" t="s">
        <v>830</v>
      </c>
      <c r="C196" s="9" t="s">
        <v>527</v>
      </c>
      <c r="D196" s="15" t="s">
        <v>39</v>
      </c>
      <c r="E196" s="26" t="s">
        <v>39</v>
      </c>
      <c r="F196" s="15" t="s">
        <v>27</v>
      </c>
      <c r="G196" s="15" t="s">
        <v>0</v>
      </c>
      <c r="H196" s="9" t="s">
        <v>521</v>
      </c>
      <c r="I196" s="15" t="s">
        <v>64</v>
      </c>
      <c r="J196" s="15" t="s">
        <v>64</v>
      </c>
      <c r="K196" s="15" t="s">
        <v>64</v>
      </c>
      <c r="L196" s="93" t="s">
        <v>64</v>
      </c>
      <c r="M196" s="94" t="s">
        <v>545</v>
      </c>
      <c r="N196" s="15" t="s">
        <v>39</v>
      </c>
      <c r="O196" s="26" t="s">
        <v>1230</v>
      </c>
      <c r="P196" s="157" t="s">
        <v>1230</v>
      </c>
      <c r="Q196" s="26" t="s">
        <v>935</v>
      </c>
      <c r="R196" s="9" t="str">
        <f>IF(
  AND(
    $A196&lt;&gt;"",
    COUNTIF(C:C,$A196)&gt;1
  ),
  "★NG★",
  ""
)</f>
        <v/>
      </c>
      <c r="S196" s="9" t="str">
        <f t="shared" si="28"/>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
      </c>
      <c r="X196" s="14" t="str">
        <f>IF(
  AND($A196&lt;&gt;"",$J196&lt;&gt;"-",$J196&lt;&gt;""),
  shortcut設定!$F$4&amp;"\"&amp;shortcut設定!$F$8&amp;"\"&amp;$J196&amp;"（"&amp;$B196&amp;"）.lnk",
  ""
)</f>
        <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9"/>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0"/>
        <v/>
      </c>
      <c r="AH196" s="13" t="str">
        <f t="shared" si="31"/>
        <v/>
      </c>
      <c r="AI196" s="13" t="str">
        <f>IF(
  AND($A196&lt;&gt;"",$Q196&lt;&gt;"-",$Q196&lt;&gt;""),
  (
    """"&amp;shortcut設定!$F$7&amp;""""&amp;
    " """&amp;$Q196&amp;".lnk"""&amp;
    " """&amp;$C196&amp;""""&amp;
    IF($D196="-"," """""," """&amp;$D196&amp;"""")&amp;
    IF($E196="-"," """""," """&amp;$E196&amp;"""")
  ),
  ""
)</f>
        <v/>
      </c>
      <c r="AJ196" s="91" t="s">
        <v>174</v>
      </c>
    </row>
    <row r="197" spans="1:36">
      <c r="A197" s="9" t="s">
        <v>694</v>
      </c>
      <c r="B197" s="9" t="s">
        <v>831</v>
      </c>
      <c r="C197" s="9" t="s">
        <v>528</v>
      </c>
      <c r="D197" s="15" t="s">
        <v>39</v>
      </c>
      <c r="E197" s="26" t="s">
        <v>39</v>
      </c>
      <c r="F197" s="15" t="s">
        <v>0</v>
      </c>
      <c r="G197" s="15" t="s">
        <v>0</v>
      </c>
      <c r="H197" s="9" t="s">
        <v>521</v>
      </c>
      <c r="I197" s="15" t="s">
        <v>64</v>
      </c>
      <c r="J197" s="15" t="s">
        <v>842</v>
      </c>
      <c r="K197" s="15" t="s">
        <v>64</v>
      </c>
      <c r="L197" s="93" t="s">
        <v>64</v>
      </c>
      <c r="M197" s="94" t="s">
        <v>545</v>
      </c>
      <c r="N197" s="15" t="s">
        <v>64</v>
      </c>
      <c r="O197" s="26" t="s">
        <v>1230</v>
      </c>
      <c r="P197" s="157" t="s">
        <v>1230</v>
      </c>
      <c r="Q197" s="26" t="s">
        <v>935</v>
      </c>
      <c r="R197" s="9" t="str">
        <f>IF(
  AND(
    $A197&lt;&gt;"",
    COUNTIF(C:C,$A197)&gt;1
  ),
  "★NG★",
  ""
)</f>
        <v/>
      </c>
      <c r="S197" s="9" t="str">
        <f t="shared" si="28"/>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7" s="14" t="str">
        <f>IF(
  AND($A197&lt;&gt;"",$J197&lt;&gt;"-",$J197&lt;&gt;""),
  shortcut設定!$F$4&amp;"\"&amp;shortcut設定!$F$8&amp;"\"&amp;$J197&amp;"（"&amp;$B197&amp;"）.lnk",
  ""
)</f>
        <v>%USERPROFILE%\AppData\Roaming\Microsoft\Windows\Start Menu\Programs\$QuickAccess\ttw（SSH接続toWSL2＠Teraterm）.lnk</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9"/>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0"/>
        <v/>
      </c>
      <c r="AH197" s="13" t="str">
        <f t="shared" si="31"/>
        <v/>
      </c>
      <c r="AI197" s="13" t="str">
        <f>IF(
  AND($A197&lt;&gt;"",$Q197&lt;&gt;"-",$Q197&lt;&gt;""),
  (
    """"&amp;shortcut設定!$F$7&amp;""""&amp;
    " """&amp;$Q197&amp;".lnk"""&amp;
    " """&amp;$C197&amp;""""&amp;
    IF($D197="-"," """""," """&amp;$D197&amp;"""")&amp;
    IF($E197="-"," """""," """&amp;$E197&amp;"""")
  ),
  ""
)</f>
        <v/>
      </c>
      <c r="AJ197" s="91" t="s">
        <v>174</v>
      </c>
    </row>
    <row r="198" spans="1:36">
      <c r="A198" s="9" t="s">
        <v>1460</v>
      </c>
      <c r="B198" s="9" t="s">
        <v>1461</v>
      </c>
      <c r="C198" s="9" t="s">
        <v>1459</v>
      </c>
      <c r="D198" s="15" t="s">
        <v>39</v>
      </c>
      <c r="E198" s="26" t="s">
        <v>39</v>
      </c>
      <c r="F198" s="15" t="s">
        <v>0</v>
      </c>
      <c r="G198" s="15" t="s">
        <v>0</v>
      </c>
      <c r="H198" s="9" t="s">
        <v>521</v>
      </c>
      <c r="I198" s="15" t="s">
        <v>64</v>
      </c>
      <c r="J198" s="15" t="s">
        <v>1462</v>
      </c>
      <c r="K198" s="15" t="s">
        <v>64</v>
      </c>
      <c r="L198" s="93" t="s">
        <v>64</v>
      </c>
      <c r="M198" s="94" t="s">
        <v>39</v>
      </c>
      <c r="N198" s="15" t="s">
        <v>64</v>
      </c>
      <c r="O198" s="26" t="s">
        <v>39</v>
      </c>
      <c r="P198" s="157" t="s">
        <v>39</v>
      </c>
      <c r="Q198" s="26" t="s">
        <v>39</v>
      </c>
      <c r="R198" s="9" t="str">
        <f>IF(
  AND(
    $A198&lt;&gt;"",
    COUNTIF(C:C,$A198)&gt;1
  ),
  "★NG★",
  ""
)</f>
        <v/>
      </c>
      <c r="S198" s="9" t="str">
        <f t="shared" si="28"/>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8" s="14" t="str">
        <f>IF(
  AND($A198&lt;&gt;"",$J198&lt;&gt;"-",$J198&lt;&gt;""),
  shortcut設定!$F$4&amp;"\"&amp;shortcut設定!$F$8&amp;"\"&amp;$J198&amp;"（"&amp;$B198&amp;"）.lnk",
  ""
)</f>
        <v>%USERPROFILE%\AppData\Roaming\Microsoft\Windows\Start Menu\Programs\$QuickAccess\wtw（SSH接続toWSL2＠WezTerm）.lnk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9"/>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0"/>
        <v/>
      </c>
      <c r="AH198" s="13" t="str">
        <f t="shared" si="31"/>
        <v/>
      </c>
      <c r="AI198" s="13" t="str">
        <f>IF(
  AND($A198&lt;&gt;"",$Q198&lt;&gt;"-",$Q198&lt;&gt;""),
  (
    """"&amp;shortcut設定!$F$7&amp;""""&amp;
    " """&amp;$Q198&amp;".lnk"""&amp;
    " """&amp;$C198&amp;""""&amp;
    IF($D198="-"," """""," """&amp;$D198&amp;"""")&amp;
    IF($E198="-"," """""," """&amp;$E198&amp;"""")
  ),
  ""
)</f>
        <v/>
      </c>
      <c r="AJ198" s="91" t="s">
        <v>174</v>
      </c>
    </row>
    <row r="199" spans="1:36">
      <c r="A199" s="9" t="s">
        <v>695</v>
      </c>
      <c r="B199" s="9" t="s">
        <v>831</v>
      </c>
      <c r="C199" s="9" t="s">
        <v>125</v>
      </c>
      <c r="D199" s="15" t="s">
        <v>39</v>
      </c>
      <c r="E199" s="26" t="s">
        <v>39</v>
      </c>
      <c r="F199" s="15" t="s">
        <v>0</v>
      </c>
      <c r="G199" s="15" t="s">
        <v>0</v>
      </c>
      <c r="H199" s="9" t="s">
        <v>521</v>
      </c>
      <c r="I199" s="15" t="s">
        <v>64</v>
      </c>
      <c r="J199" s="15" t="s">
        <v>64</v>
      </c>
      <c r="K199" s="15" t="s">
        <v>64</v>
      </c>
      <c r="L199" s="93" t="s">
        <v>64</v>
      </c>
      <c r="M199" s="94" t="s">
        <v>545</v>
      </c>
      <c r="N199" s="15" t="s">
        <v>64</v>
      </c>
      <c r="O199" s="26" t="s">
        <v>1230</v>
      </c>
      <c r="P199" s="157" t="s">
        <v>1230</v>
      </c>
      <c r="Q199" s="26" t="s">
        <v>935</v>
      </c>
      <c r="R199" s="9" t="str">
        <f>IF(
  AND(
    $A199&lt;&gt;"",
    COUNTIF(C:C,$A199)&gt;1
  ),
  "★NG★",
  ""
)</f>
        <v/>
      </c>
      <c r="S199" s="9" t="str">
        <f t="shared" si="28"/>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9"/>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0"/>
        <v/>
      </c>
      <c r="AH199" s="13" t="str">
        <f t="shared" si="31"/>
        <v/>
      </c>
      <c r="AI199" s="13" t="str">
        <f>IF(
  AND($A199&lt;&gt;"",$Q199&lt;&gt;"-",$Q199&lt;&gt;""),
  (
    """"&amp;shortcut設定!$F$7&amp;""""&amp;
    " """&amp;$Q199&amp;".lnk"""&amp;
    " """&amp;$C199&amp;""""&amp;
    IF($D199="-"," """""," """&amp;$D199&amp;"""")&amp;
    IF($E199="-"," """""," """&amp;$E199&amp;"""")
  ),
  ""
)</f>
        <v/>
      </c>
      <c r="AJ199" s="91" t="s">
        <v>174</v>
      </c>
    </row>
    <row r="200" spans="1:36">
      <c r="A200" s="9" t="s">
        <v>696</v>
      </c>
      <c r="B200" s="9" t="s">
        <v>832</v>
      </c>
      <c r="C200" s="9" t="s">
        <v>126</v>
      </c>
      <c r="D200" s="15" t="s">
        <v>39</v>
      </c>
      <c r="E200" s="26" t="s">
        <v>39</v>
      </c>
      <c r="F200" s="15" t="s">
        <v>27</v>
      </c>
      <c r="G200" s="15" t="s">
        <v>0</v>
      </c>
      <c r="H200" s="9" t="s">
        <v>521</v>
      </c>
      <c r="I200" s="15" t="s">
        <v>64</v>
      </c>
      <c r="J200" s="15" t="s">
        <v>843</v>
      </c>
      <c r="K200" s="15" t="s">
        <v>64</v>
      </c>
      <c r="L200" s="93" t="s">
        <v>64</v>
      </c>
      <c r="M200" s="94" t="s">
        <v>545</v>
      </c>
      <c r="N200" s="15" t="s">
        <v>64</v>
      </c>
      <c r="O200" s="26" t="s">
        <v>1230</v>
      </c>
      <c r="P200" s="157" t="s">
        <v>1230</v>
      </c>
      <c r="Q200" s="26" t="s">
        <v>935</v>
      </c>
      <c r="R200" s="9" t="str">
        <f>IF(
  AND(
    $A200&lt;&gt;"",
    COUNTIF(C:C,$A200)&gt;1
  ),
  "★NG★",
  ""
)</f>
        <v/>
      </c>
      <c r="S200" s="9" t="str">
        <f t="shared" si="28"/>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Menu\Programs\$QuickAccess\ttr（SSH接続toMyRaspberryPi＠Teraterm）.lnk" "C:\codes\ttl\login_raspberrypi.ttl" "" ""</v>
      </c>
      <c r="X200" s="14" t="str">
        <f>IF(
  AND($A200&lt;&gt;"",$J200&lt;&gt;"-",$J200&lt;&gt;""),
  shortcut設定!$F$4&amp;"\"&amp;shortcut設定!$F$8&amp;"\"&amp;$J200&amp;"（"&amp;$B200&amp;"）.lnk",
  ""
)</f>
        <v>%USERPROFILE%\AppData\Roaming\Microsoft\Windows\Start Menu\Programs\$QuickAccess\ttr（SSH接続toMyRaspberryPi＠Teraterm）.lnk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9"/>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0"/>
        <v/>
      </c>
      <c r="AH200" s="13" t="str">
        <f t="shared" si="31"/>
        <v/>
      </c>
      <c r="AI200" s="13" t="str">
        <f>IF(
  AND($A200&lt;&gt;"",$Q200&lt;&gt;"-",$Q200&lt;&gt;""),
  (
    """"&amp;shortcut設定!$F$7&amp;""""&amp;
    " """&amp;$Q200&amp;".lnk"""&amp;
    " """&amp;$C200&amp;""""&amp;
    IF($D200="-"," """""," """&amp;$D200&amp;"""")&amp;
    IF($E200="-"," """""," """&amp;$E200&amp;"""")
  ),
  ""
)</f>
        <v/>
      </c>
      <c r="AJ200" s="91" t="s">
        <v>174</v>
      </c>
    </row>
    <row r="201" spans="1:36">
      <c r="A201" s="9" t="s">
        <v>697</v>
      </c>
      <c r="B201" s="9" t="s">
        <v>833</v>
      </c>
      <c r="C201" s="9" t="s">
        <v>529</v>
      </c>
      <c r="D201" s="15" t="s">
        <v>39</v>
      </c>
      <c r="E201" s="26" t="s">
        <v>39</v>
      </c>
      <c r="F201" s="15" t="s">
        <v>27</v>
      </c>
      <c r="G201" s="15" t="s">
        <v>0</v>
      </c>
      <c r="H201" s="9" t="s">
        <v>521</v>
      </c>
      <c r="I201" s="15" t="s">
        <v>64</v>
      </c>
      <c r="J201" s="15" t="s">
        <v>844</v>
      </c>
      <c r="K201" s="15" t="s">
        <v>64</v>
      </c>
      <c r="L201" s="93" t="s">
        <v>64</v>
      </c>
      <c r="M201" s="94" t="s">
        <v>545</v>
      </c>
      <c r="N201" s="15" t="s">
        <v>64</v>
      </c>
      <c r="O201" s="26" t="s">
        <v>1230</v>
      </c>
      <c r="P201" s="157" t="s">
        <v>1230</v>
      </c>
      <c r="Q201" s="26" t="s">
        <v>935</v>
      </c>
      <c r="R201" s="9" t="str">
        <f>IF(
  AND(
    $A201&lt;&gt;"",
    COUNTIF(C:C,$A201)&gt;1
  ),
  "★NG★",
  ""
)</f>
        <v/>
      </c>
      <c r="S201" s="9" t="str">
        <f t="shared" si="28"/>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Menu\Programs\$QuickAccess\ttm（SSH接続toMyMac＠Teraterm）.lnk" "C:\codes\ttl\login_mac.ttl" "" ""</v>
      </c>
      <c r="X201" s="14" t="str">
        <f>IF(
  AND($A201&lt;&gt;"",$J201&lt;&gt;"-",$J201&lt;&gt;""),
  shortcut設定!$F$4&amp;"\"&amp;shortcut設定!$F$8&amp;"\"&amp;$J201&amp;"（"&amp;$B201&amp;"）.lnk",
  ""
)</f>
        <v>%USERPROFILE%\AppData\Roaming\Microsoft\Windows\Start Menu\Programs\$QuickAccess\ttm（SSH接続toMyMac＠Teraterm）.lnk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9"/>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0"/>
        <v/>
      </c>
      <c r="AH201" s="13" t="str">
        <f t="shared" si="31"/>
        <v/>
      </c>
      <c r="AI201" s="13" t="str">
        <f>IF(
  AND($A201&lt;&gt;"",$Q201&lt;&gt;"-",$Q201&lt;&gt;""),
  (
    """"&amp;shortcut設定!$F$7&amp;""""&amp;
    " """&amp;$Q201&amp;".lnk"""&amp;
    " """&amp;$C201&amp;""""&amp;
    IF($D201="-"," """""," """&amp;$D201&amp;"""")&amp;
    IF($E201="-"," """""," """&amp;$E201&amp;"""")
  ),
  ""
)</f>
        <v/>
      </c>
      <c r="AJ201" s="91" t="s">
        <v>174</v>
      </c>
    </row>
    <row r="202" spans="1:36">
      <c r="A202" s="9" t="s">
        <v>698</v>
      </c>
      <c r="B202" s="9" t="s">
        <v>834</v>
      </c>
      <c r="C202" s="9" t="s">
        <v>530</v>
      </c>
      <c r="D202" s="15" t="s">
        <v>39</v>
      </c>
      <c r="E202" s="26" t="s">
        <v>39</v>
      </c>
      <c r="F202" s="15" t="s">
        <v>27</v>
      </c>
      <c r="G202" s="15" t="s">
        <v>0</v>
      </c>
      <c r="H202" s="9" t="s">
        <v>521</v>
      </c>
      <c r="I202" s="15" t="s">
        <v>64</v>
      </c>
      <c r="J202" s="15" t="s">
        <v>845</v>
      </c>
      <c r="K202" s="15" t="s">
        <v>64</v>
      </c>
      <c r="L202" s="93" t="s">
        <v>64</v>
      </c>
      <c r="M202" s="94" t="s">
        <v>545</v>
      </c>
      <c r="N202" s="15" t="s">
        <v>64</v>
      </c>
      <c r="O202" s="26" t="s">
        <v>1230</v>
      </c>
      <c r="P202" s="157" t="s">
        <v>1230</v>
      </c>
      <c r="Q202" s="26" t="s">
        <v>935</v>
      </c>
      <c r="R202" s="9" t="str">
        <f>IF(
  AND(
    $A202&lt;&gt;"",
    COUNTIF(C:C,$A202)&gt;1
  ),
  "★NG★",
  ""
)</f>
        <v/>
      </c>
      <c r="S202" s="9" t="str">
        <f t="shared" si="28"/>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2" s="14" t="str">
        <f>IF(
  AND($A202&lt;&gt;"",$J202&lt;&gt;"-",$J202&lt;&gt;""),
  shortcut設定!$F$4&amp;"\"&amp;shortcut設定!$F$8&amp;"\"&amp;$J202&amp;"（"&amp;$B202&amp;"）.lnk",
  ""
)</f>
        <v>%USERPROFILE%\AppData\Roaming\Microsoft\Windows\Start Menu\Programs\$QuickAccess\wsr（SFTP接続toMyRaspberryPi＠WinSCP）.lnk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9"/>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30"/>
        <v/>
      </c>
      <c r="AH202" s="13" t="str">
        <f t="shared" si="31"/>
        <v/>
      </c>
      <c r="AI202" s="13" t="str">
        <f>IF(
  AND($A202&lt;&gt;"",$Q202&lt;&gt;"-",$Q202&lt;&gt;""),
  (
    """"&amp;shortcut設定!$F$7&amp;""""&amp;
    " """&amp;$Q202&amp;".lnk"""&amp;
    " """&amp;$C202&amp;""""&amp;
    IF($D202="-"," """""," """&amp;$D202&amp;"""")&amp;
    IF($E202="-"," """""," """&amp;$E202&amp;"""")
  ),
  ""
)</f>
        <v/>
      </c>
      <c r="AJ202" s="91" t="s">
        <v>174</v>
      </c>
    </row>
    <row r="203" spans="1:36">
      <c r="A203" s="9" t="s">
        <v>699</v>
      </c>
      <c r="B203" s="9" t="s">
        <v>835</v>
      </c>
      <c r="C203" s="9" t="s">
        <v>531</v>
      </c>
      <c r="D203" s="15" t="s">
        <v>39</v>
      </c>
      <c r="E203" s="26" t="s">
        <v>39</v>
      </c>
      <c r="F203" s="15" t="s">
        <v>0</v>
      </c>
      <c r="G203" s="15" t="s">
        <v>27</v>
      </c>
      <c r="H203" s="9" t="s">
        <v>521</v>
      </c>
      <c r="I203" s="15" t="s">
        <v>64</v>
      </c>
      <c r="J203" s="15" t="s">
        <v>64</v>
      </c>
      <c r="K203" s="15" t="s">
        <v>64</v>
      </c>
      <c r="L203" s="93" t="s">
        <v>64</v>
      </c>
      <c r="M203" s="94" t="s">
        <v>545</v>
      </c>
      <c r="N203" s="15" t="s">
        <v>64</v>
      </c>
      <c r="O203" s="26" t="s">
        <v>1230</v>
      </c>
      <c r="P203" s="157" t="s">
        <v>1230</v>
      </c>
      <c r="Q203" s="26" t="s">
        <v>935</v>
      </c>
      <c r="R203" s="9" t="str">
        <f>IF(
  AND(
    $A203&lt;&gt;"",
    COUNTIF(C:C,$A203)&gt;1
  ),
  "★NG★",
  ""
)</f>
        <v/>
      </c>
      <c r="S203" s="9" t="str">
        <f t="shared" si="28"/>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
      </c>
      <c r="X203" s="14" t="str">
        <f>IF(
  AND($A203&lt;&gt;"",$J203&lt;&gt;"-",$J203&lt;&gt;""),
  shortcut設定!$F$4&amp;"\"&amp;shortcut設定!$F$8&amp;"\"&amp;$J203&amp;"（"&amp;$B203&amp;"）.lnk",
  ""
)</f>
        <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 t="shared" si="29"/>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 t="shared" si="30"/>
        <v/>
      </c>
      <c r="AH203" s="13" t="str">
        <f t="shared" si="31"/>
        <v/>
      </c>
      <c r="AI203" s="13" t="str">
        <f>IF(
  AND($A203&lt;&gt;"",$Q203&lt;&gt;"-",$Q203&lt;&gt;""),
  (
    """"&amp;shortcut設定!$F$7&amp;""""&amp;
    " """&amp;$Q203&amp;".lnk"""&amp;
    " """&amp;$C203&amp;""""&amp;
    IF($D203="-"," """""," """&amp;$D203&amp;"""")&amp;
    IF($E203="-"," """""," """&amp;$E203&amp;"""")
  ),
  ""
)</f>
        <v/>
      </c>
      <c r="AJ203" s="91" t="s">
        <v>174</v>
      </c>
    </row>
    <row r="204" spans="1:36">
      <c r="A204" s="9" t="s">
        <v>700</v>
      </c>
      <c r="B204" s="9" t="s">
        <v>836</v>
      </c>
      <c r="C204" s="9" t="s">
        <v>532</v>
      </c>
      <c r="D204" s="15" t="s">
        <v>39</v>
      </c>
      <c r="E204" s="26" t="s">
        <v>39</v>
      </c>
      <c r="F204" s="15" t="s">
        <v>0</v>
      </c>
      <c r="G204" s="15" t="s">
        <v>0</v>
      </c>
      <c r="H204" s="9" t="s">
        <v>521</v>
      </c>
      <c r="I204" s="15" t="s">
        <v>64</v>
      </c>
      <c r="J204" s="15" t="s">
        <v>64</v>
      </c>
      <c r="K204" s="15" t="s">
        <v>64</v>
      </c>
      <c r="L204" s="93" t="s">
        <v>64</v>
      </c>
      <c r="M204" s="94" t="s">
        <v>545</v>
      </c>
      <c r="N204" s="15" t="s">
        <v>841</v>
      </c>
      <c r="O204" s="26" t="s">
        <v>1230</v>
      </c>
      <c r="P204" s="157" t="s">
        <v>1230</v>
      </c>
      <c r="Q204" s="26" t="s">
        <v>935</v>
      </c>
      <c r="R204" s="9" t="str">
        <f>IF(
  AND(
    $A204&lt;&gt;"",
    COUNTIF(C:C,$A204)&gt;1
  ),
  "★NG★",
  ""
)</f>
        <v/>
      </c>
      <c r="S204" s="9" t="str">
        <f t="shared" si="28"/>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9"/>
        <v/>
      </c>
      <c r="AD204" s="13" t="str">
        <f>IF(
  AND($A204&lt;&gt;"",$L204="○"),
  shortcut設定!$F$5&amp;"\"&amp;AB204&amp;"_"&amp;A204&amp;"（"&amp;B204&amp;"）"&amp;AC204&amp;".lnk",
  ""
)</f>
        <v/>
      </c>
      <c r="AE204" s="13" t="str">
        <f>IF(
  AND($A204&lt;&gt;"",$N204="○"),
  (
    """"&amp;shortcut設定!$F$7&amp;""""&amp;
    " """&amp;$AF204&amp;""""&amp;
    " """&amp;$C204&amp;""""&amp;
    IF($D204="-"," """""," """&amp;$D204&amp;"""")&amp;
    IF($E204="-"," """""," """&amp;$E204&amp;"""")
  ),
  ""
)</f>
        <v>"C:\codes\vbs\command\CreateShortcutFile.vbs" "%USERPROFILE%\AppData\Roaming\Microsoft\Windows\Start Menu\Programs\Startup\XF_BackupIniToTabbak.bat（X-Finder.iniタブバックアップ）.lnk" "C:\prg_exe\X-Finder\BackupIniToTabbak.bat" "" ""</v>
      </c>
      <c r="AF204" s="9" t="str">
        <f>IF(
  AND($A204&lt;&gt;"",$N204="○"),
  shortcut設定!$F$6&amp;"\"&amp;A204&amp;"（"&amp;B204&amp;"）.lnk",
  ""
)</f>
        <v>%USERPROFILE%\AppData\Roaming\Microsoft\Windows\Start Menu\Programs\Startup\XF_BackupIniToTabbak.bat（X-Finder.iniタブバックアップ）.lnk</v>
      </c>
      <c r="AG204" s="13" t="str">
        <f t="shared" si="30"/>
        <v/>
      </c>
      <c r="AH204" s="13" t="str">
        <f t="shared" si="31"/>
        <v/>
      </c>
      <c r="AI204" s="13" t="str">
        <f>IF(
  AND($A204&lt;&gt;"",$Q204&lt;&gt;"-",$Q204&lt;&gt;""),
  (
    """"&amp;shortcut設定!$F$7&amp;""""&amp;
    " """&amp;$Q204&amp;".lnk"""&amp;
    " """&amp;$C204&amp;""""&amp;
    IF($D204="-"," """""," """&amp;$D204&amp;"""")&amp;
    IF($E204="-"," """""," """&amp;$E204&amp;"""")
  ),
  ""
)</f>
        <v/>
      </c>
      <c r="AJ204" s="91" t="s">
        <v>174</v>
      </c>
    </row>
    <row r="205" spans="1:36">
      <c r="A205" s="9" t="s">
        <v>1506</v>
      </c>
      <c r="B205" s="9" t="s">
        <v>1507</v>
      </c>
      <c r="C205" s="9" t="s">
        <v>1517</v>
      </c>
      <c r="D205" s="15" t="s">
        <v>39</v>
      </c>
      <c r="E205" s="26" t="s">
        <v>39</v>
      </c>
      <c r="F205" s="15" t="s">
        <v>0</v>
      </c>
      <c r="G205" s="15" t="s">
        <v>27</v>
      </c>
      <c r="H205" s="9" t="s">
        <v>521</v>
      </c>
      <c r="I205" s="15" t="s">
        <v>39</v>
      </c>
      <c r="J205" s="15" t="s">
        <v>1508</v>
      </c>
      <c r="K205" s="15" t="s">
        <v>39</v>
      </c>
      <c r="L205" s="93" t="s">
        <v>39</v>
      </c>
      <c r="M205" s="94" t="s">
        <v>39</v>
      </c>
      <c r="N205" s="15" t="s">
        <v>39</v>
      </c>
      <c r="O205" s="26" t="s">
        <v>39</v>
      </c>
      <c r="P205" s="157" t="s">
        <v>39</v>
      </c>
      <c r="Q205" s="26" t="s">
        <v>39</v>
      </c>
      <c r="R205" s="9" t="str">
        <f>IF(
  AND(
    $A205&lt;&gt;"",
    COUNTIF(C:C,$A205)&gt;1
  ),
  "★NG★",
  ""
)</f>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Menu\Programs\$QuickAccess\rdpc31（RDP接続toPC31）.lnk" "C:\root\ConnectPC31withRdp.rdp" "" ""</v>
      </c>
      <c r="X205" s="14" t="str">
        <f>IF(
  AND($A205&lt;&gt;"",$J205&lt;&gt;"-",$J205&lt;&gt;""),
  shortcut設定!$F$4&amp;"\"&amp;shortcut設定!$F$8&amp;"\"&amp;$J205&amp;"（"&amp;$B205&amp;"）.lnk",
  ""
)</f>
        <v>%USERPROFILE%\AppData\Roaming\Microsoft\Windows\Start Menu\Programs\$QuickAccess\rdpc31（RDP接続toPC31）.lnk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174</v>
      </c>
    </row>
    <row r="206" spans="1:36">
      <c r="A206" s="9" t="s">
        <v>701</v>
      </c>
      <c r="B206" s="9" t="s">
        <v>795</v>
      </c>
      <c r="C206" s="9" t="s">
        <v>533</v>
      </c>
      <c r="D206" s="15" t="s">
        <v>39</v>
      </c>
      <c r="E206" s="26" t="s">
        <v>39</v>
      </c>
      <c r="F206" s="15" t="s">
        <v>0</v>
      </c>
      <c r="G206" s="15" t="s">
        <v>27</v>
      </c>
      <c r="H206" s="9" t="s">
        <v>521</v>
      </c>
      <c r="I206" s="15" t="s">
        <v>64</v>
      </c>
      <c r="J206" s="15" t="s">
        <v>64</v>
      </c>
      <c r="K206" s="15" t="s">
        <v>64</v>
      </c>
      <c r="L206" s="93" t="s">
        <v>64</v>
      </c>
      <c r="M206" s="94" t="s">
        <v>545</v>
      </c>
      <c r="N206" s="15" t="s">
        <v>539</v>
      </c>
      <c r="O206" s="26" t="s">
        <v>1230</v>
      </c>
      <c r="P206" s="157" t="s">
        <v>1230</v>
      </c>
      <c r="Q206" s="26" t="s">
        <v>935</v>
      </c>
      <c r="R206" s="9" t="str">
        <f>IF(
  AND(
    $A206&lt;&gt;"",
    COUNTIF(C:C,$A206)&gt;1
  ),
  "★NG★",
  ""
)</f>
        <v/>
      </c>
      <c r="S206" s="9" t="str">
        <f t="shared" si="28"/>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29"/>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0"/>
        <v/>
      </c>
      <c r="AH206" s="13" t="str">
        <f t="shared" si="31"/>
        <v/>
      </c>
      <c r="AI206" s="13" t="str">
        <f>IF(
  AND($A206&lt;&gt;"",$Q206&lt;&gt;"-",$Q206&lt;&gt;""),
  (
    """"&amp;shortcut設定!$F$7&amp;""""&amp;
    " """&amp;$Q206&amp;".lnk"""&amp;
    " """&amp;$C206&amp;""""&amp;
    IF($D206="-"," """""," """&amp;$D206&amp;"""")&amp;
    IF($E206="-"," """""," """&amp;$E206&amp;"""")
  ),
  ""
)</f>
        <v/>
      </c>
      <c r="AJ206" s="91" t="s">
        <v>174</v>
      </c>
    </row>
    <row r="207" spans="1:36">
      <c r="A207" s="9" t="s">
        <v>702</v>
      </c>
      <c r="B207" s="9" t="s">
        <v>837</v>
      </c>
      <c r="C207" s="9" t="s">
        <v>1562</v>
      </c>
      <c r="D207" s="15" t="s">
        <v>39</v>
      </c>
      <c r="E207" s="26" t="s">
        <v>1563</v>
      </c>
      <c r="F207" s="15" t="s">
        <v>0</v>
      </c>
      <c r="G207" s="15" t="s">
        <v>27</v>
      </c>
      <c r="H207" s="9" t="s">
        <v>521</v>
      </c>
      <c r="I207" s="15" t="s">
        <v>64</v>
      </c>
      <c r="J207" s="15" t="s">
        <v>64</v>
      </c>
      <c r="K207" s="15" t="s">
        <v>64</v>
      </c>
      <c r="L207" s="93" t="s">
        <v>64</v>
      </c>
      <c r="M207" s="94" t="s">
        <v>545</v>
      </c>
      <c r="N207" s="15" t="s">
        <v>841</v>
      </c>
      <c r="O207" s="26" t="s">
        <v>1230</v>
      </c>
      <c r="P207" s="157" t="s">
        <v>1230</v>
      </c>
      <c r="Q207" s="26" t="s">
        <v>935</v>
      </c>
      <c r="R207" s="9" t="str">
        <f>IF(
  AND(
    $A207&lt;&gt;"",
    COUNTIF(C:C,$A207)&gt;1
  ),
  "★NG★",
  ""
)</f>
        <v/>
      </c>
      <c r="S207" s="9" t="str">
        <f t="shared" si="28"/>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
      </c>
      <c r="X207" s="14" t="str">
        <f>IF(
  AND($A207&lt;&gt;"",$J207&lt;&gt;"-",$J207&lt;&gt;""),
  shortcut設定!$F$4&amp;"\"&amp;shortcut設定!$F$8&amp;"\"&amp;$J207&amp;"（"&amp;$B207&amp;"）.lnk",
  ""
)</f>
        <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9"/>
        <v/>
      </c>
      <c r="AD207" s="13" t="str">
        <f>IF(
  AND($A207&lt;&gt;"",$L207="○"),
  shortcut設定!$F$5&amp;"\"&amp;AB207&amp;"_"&amp;A207&amp;"（"&amp;B207&amp;"）"&amp;AC207&amp;".lnk",
  ""
)</f>
        <v/>
      </c>
      <c r="AE207" s="13" t="str">
        <f>IF(
  AND($A207&lt;&gt;"",$N207="○"),
  (
    """"&amp;shortcut設定!$F$7&amp;""""&amp;
    " """&amp;$AF207&amp;""""&amp;
    " """&amp;$C207&amp;""""&amp;
    IF($D207="-"," """""," """&amp;$D207&amp;"""")&amp;
    IF($E207="-"," """""," """&amp;$E207&amp;"""")
  ),
  ""
)</f>
        <v>"C:\codes\vbs\command\CreateShortcutFile.vbs" "%USERPROFILE%\AppData\Roaming\Microsoft\Windows\Start Menu\Programs\Startup\ScheduledBackup.bat（定期ファイルバックアップ）.lnk" "C:\root\30_tool\ScheduledBackup.bat" "" "C:\root\30_tool"</v>
      </c>
      <c r="AF207" s="9" t="str">
        <f>IF(
  AND($A207&lt;&gt;"",$N207="○"),
  shortcut設定!$F$6&amp;"\"&amp;A207&amp;"（"&amp;B207&amp;"）.lnk",
  ""
)</f>
        <v>%USERPROFILE%\AppData\Roaming\Microsoft\Windows\Start Menu\Programs\Startup\ScheduledBackup.bat（定期ファイルバックアップ）.lnk</v>
      </c>
      <c r="AG207" s="13" t="str">
        <f t="shared" si="30"/>
        <v/>
      </c>
      <c r="AH207" s="13" t="str">
        <f t="shared" si="31"/>
        <v/>
      </c>
      <c r="AI207" s="13" t="str">
        <f>IF(
  AND($A207&lt;&gt;"",$Q207&lt;&gt;"-",$Q207&lt;&gt;""),
  (
    """"&amp;shortcut設定!$F$7&amp;""""&amp;
    " """&amp;$Q207&amp;".lnk"""&amp;
    " """&amp;$C207&amp;""""&amp;
    IF($D207="-"," """""," """&amp;$D207&amp;"""")&amp;
    IF($E207="-"," """""," """&amp;$E207&amp;"""")
  ),
  ""
)</f>
        <v/>
      </c>
      <c r="AJ207" s="91" t="s">
        <v>174</v>
      </c>
    </row>
    <row r="208" spans="1:36">
      <c r="A208" s="9" t="s">
        <v>703</v>
      </c>
      <c r="B208" s="9" t="s">
        <v>838</v>
      </c>
      <c r="C208" s="9" t="s">
        <v>534</v>
      </c>
      <c r="D208" s="15" t="s">
        <v>39</v>
      </c>
      <c r="E208" s="26" t="s">
        <v>39</v>
      </c>
      <c r="F208" s="15" t="s">
        <v>0</v>
      </c>
      <c r="G208" s="15" t="s">
        <v>27</v>
      </c>
      <c r="H208" s="9" t="s">
        <v>521</v>
      </c>
      <c r="I208" s="15" t="s">
        <v>64</v>
      </c>
      <c r="J208" s="15" t="s">
        <v>1448</v>
      </c>
      <c r="K208" s="15" t="s">
        <v>64</v>
      </c>
      <c r="L208" s="93" t="s">
        <v>64</v>
      </c>
      <c r="M208" s="94" t="s">
        <v>545</v>
      </c>
      <c r="N208" s="15" t="s">
        <v>64</v>
      </c>
      <c r="O208" s="26" t="s">
        <v>1230</v>
      </c>
      <c r="P208" s="157" t="s">
        <v>1230</v>
      </c>
      <c r="Q208" s="26" t="s">
        <v>935</v>
      </c>
      <c r="R208" s="9" t="str">
        <f>IF(
  AND(
    $A208&lt;&gt;"",
    COUNTIF(C:C,$A208)&gt;1
  ),
  "★NG★",
  ""
)</f>
        <v/>
      </c>
      <c r="S208" s="9" t="str">
        <f t="shared" si="28"/>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8" s="14" t="str">
        <f>IF(
  AND($A208&lt;&gt;"",$J208&lt;&gt;"-",$J208&lt;&gt;""),
  shortcut設定!$F$4&amp;"\"&amp;shortcut設定!$F$8&amp;"\"&amp;$J208&amp;"（"&amp;$B208&amp;"）.lnk",
  ""
)</f>
        <v>%USERPROFILE%\AppData\Roaming\Microsoft\Windows\Start Menu\Programs\$QuickAccess\tva1（VNC接続toRobocipA1＠TurboVNC）.lnk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 t="shared" si="29"/>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 t="shared" si="30"/>
        <v/>
      </c>
      <c r="AH208" s="13" t="str">
        <f t="shared" si="31"/>
        <v/>
      </c>
      <c r="AI208" s="13" t="str">
        <f>IF(
  AND($A208&lt;&gt;"",$Q208&lt;&gt;"-",$Q208&lt;&gt;""),
  (
    """"&amp;shortcut設定!$F$7&amp;""""&amp;
    " """&amp;$Q208&amp;".lnk"""&amp;
    " """&amp;$C208&amp;""""&amp;
    IF($D208="-"," """""," """&amp;$D208&amp;"""")&amp;
    IF($E208="-"," """""," """&amp;$E208&amp;"""")
  ),
  ""
)</f>
        <v/>
      </c>
      <c r="AJ208" s="91" t="s">
        <v>174</v>
      </c>
    </row>
    <row r="209" spans="1:36">
      <c r="A209" s="9" t="s">
        <v>704</v>
      </c>
      <c r="B209" s="9" t="s">
        <v>839</v>
      </c>
      <c r="C209" s="9" t="s">
        <v>535</v>
      </c>
      <c r="D209" s="15" t="s">
        <v>39</v>
      </c>
      <c r="E209" s="26" t="s">
        <v>39</v>
      </c>
      <c r="F209" s="15" t="s">
        <v>0</v>
      </c>
      <c r="G209" s="15" t="s">
        <v>27</v>
      </c>
      <c r="H209" s="9" t="s">
        <v>521</v>
      </c>
      <c r="I209" s="15" t="s">
        <v>64</v>
      </c>
      <c r="J209" s="15" t="s">
        <v>1449</v>
      </c>
      <c r="K209" s="15" t="s">
        <v>64</v>
      </c>
      <c r="L209" s="93" t="s">
        <v>64</v>
      </c>
      <c r="M209" s="94" t="s">
        <v>545</v>
      </c>
      <c r="N209" s="15" t="s">
        <v>64</v>
      </c>
      <c r="O209" s="26" t="s">
        <v>1230</v>
      </c>
      <c r="P209" s="157" t="s">
        <v>1230</v>
      </c>
      <c r="Q209" s="26" t="s">
        <v>935</v>
      </c>
      <c r="R209" s="9" t="str">
        <f>IF(
  AND(
    $A209&lt;&gt;"",
    COUNTIF(C:C,$A209)&gt;1
  ),
  "★NG★",
  ""
)</f>
        <v/>
      </c>
      <c r="S209" s="9" t="str">
        <f t="shared" si="28"/>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9" s="14" t="str">
        <f>IF(
  AND($A209&lt;&gt;"",$J209&lt;&gt;"-",$J209&lt;&gt;""),
  shortcut設定!$F$4&amp;"\"&amp;shortcut設定!$F$8&amp;"\"&amp;$J209&amp;"（"&amp;$B209&amp;"）.lnk",
  ""
)</f>
        <v>%USERPROFILE%\AppData\Roaming\Microsoft\Windows\Start Menu\Programs\$QuickAccess\tta1（SSH接続toRobocipA1＠Teraterm）.lnk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9"/>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0"/>
        <v/>
      </c>
      <c r="AH209" s="13" t="str">
        <f t="shared" si="31"/>
        <v/>
      </c>
      <c r="AI209" s="13" t="str">
        <f>IF(
  AND($A209&lt;&gt;"",$Q209&lt;&gt;"-",$Q209&lt;&gt;""),
  (
    """"&amp;shortcut設定!$F$7&amp;""""&amp;
    " """&amp;$Q209&amp;".lnk"""&amp;
    " """&amp;$C209&amp;""""&amp;
    IF($D209="-"," """""," """&amp;$D209&amp;"""")&amp;
    IF($E209="-"," """""," """&amp;$E209&amp;"""")
  ),
  ""
)</f>
        <v/>
      </c>
      <c r="AJ209" s="91" t="s">
        <v>174</v>
      </c>
    </row>
    <row r="210" spans="1:36">
      <c r="A210" s="9" t="s">
        <v>1456</v>
      </c>
      <c r="B210" s="9" t="s">
        <v>1457</v>
      </c>
      <c r="C210" s="9" t="s">
        <v>1455</v>
      </c>
      <c r="D210" s="15" t="s">
        <v>39</v>
      </c>
      <c r="E210" s="26" t="s">
        <v>39</v>
      </c>
      <c r="F210" s="15" t="s">
        <v>0</v>
      </c>
      <c r="G210" s="15" t="s">
        <v>27</v>
      </c>
      <c r="H210" s="9" t="s">
        <v>521</v>
      </c>
      <c r="I210" s="15" t="s">
        <v>64</v>
      </c>
      <c r="J210" s="15" t="s">
        <v>1458</v>
      </c>
      <c r="K210" s="15" t="s">
        <v>64</v>
      </c>
      <c r="L210" s="93" t="s">
        <v>64</v>
      </c>
      <c r="M210" s="94" t="s">
        <v>39</v>
      </c>
      <c r="N210" s="15" t="s">
        <v>64</v>
      </c>
      <c r="O210" s="26" t="s">
        <v>39</v>
      </c>
      <c r="P210" s="157" t="s">
        <v>39</v>
      </c>
      <c r="Q210" s="26" t="s">
        <v>39</v>
      </c>
      <c r="R210" s="9" t="str">
        <f>IF(
  AND(
    $A210&lt;&gt;"",
    COUNTIF(C:C,$A210)&gt;1
  ),
  "★NG★",
  ""
)</f>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10" s="14" t="str">
        <f>IF(
  AND($A210&lt;&gt;"",$J210&lt;&gt;"-",$J210&lt;&gt;""),
  shortcut設定!$F$4&amp;"\"&amp;shortcut設定!$F$8&amp;"\"&amp;$J210&amp;"（"&amp;$B210&amp;"）.lnk",
  ""
)</f>
        <v>%USERPROFILE%\AppData\Roaming\Microsoft\Windows\Start Menu\Programs\$QuickAccess\wta1（SSH接続toRobocipA1＠WezTerm）.lnk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705</v>
      </c>
      <c r="B211" s="9" t="s">
        <v>840</v>
      </c>
      <c r="C211" s="9" t="s">
        <v>1358</v>
      </c>
      <c r="D211" s="15" t="s">
        <v>39</v>
      </c>
      <c r="E211" s="26" t="s">
        <v>39</v>
      </c>
      <c r="F211" s="15" t="s">
        <v>0</v>
      </c>
      <c r="G211" s="15" t="s">
        <v>27</v>
      </c>
      <c r="H211" s="9" t="s">
        <v>521</v>
      </c>
      <c r="I211" s="15" t="s">
        <v>64</v>
      </c>
      <c r="J211" s="15" t="s">
        <v>1450</v>
      </c>
      <c r="K211" s="15" t="s">
        <v>64</v>
      </c>
      <c r="L211" s="93" t="s">
        <v>64</v>
      </c>
      <c r="M211" s="94" t="s">
        <v>545</v>
      </c>
      <c r="N211" s="15" t="s">
        <v>64</v>
      </c>
      <c r="O211" s="26" t="s">
        <v>1230</v>
      </c>
      <c r="P211" s="157" t="s">
        <v>1230</v>
      </c>
      <c r="Q211" s="26" t="s">
        <v>935</v>
      </c>
      <c r="R211" s="9" t="str">
        <f>IF(
  AND(
    $A211&lt;&gt;"",
    COUNTIF(C:C,$A211)&gt;1
  ),
  "★NG★",
  ""
)</f>
        <v/>
      </c>
      <c r="S211" s="9" t="str">
        <f t="shared" si="28"/>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11" s="14" t="str">
        <f>IF(
  AND($A211&lt;&gt;"",$J211&lt;&gt;"-",$J211&lt;&gt;""),
  shortcut設定!$F$4&amp;"\"&amp;shortcut設定!$F$8&amp;"\"&amp;$J211&amp;"（"&amp;$B211&amp;"）.lnk",
  ""
)</f>
        <v>%USERPROFILE%\AppData\Roaming\Microsoft\Windows\Start Menu\Programs\$QuickAccess\wsa1（SFTP接続toRobocipA1＠WinSCP）.lnk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9"/>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30"/>
        <v/>
      </c>
      <c r="AH211" s="13" t="str">
        <f t="shared" si="31"/>
        <v/>
      </c>
      <c r="AI211" s="13" t="str">
        <f>IF(
  AND($A211&lt;&gt;"",$Q211&lt;&gt;"-",$Q211&lt;&gt;""),
  (
    """"&amp;shortcut設定!$F$7&amp;""""&amp;
    " """&amp;$Q211&amp;".lnk"""&amp;
    " """&amp;$C211&amp;""""&amp;
    IF($D211="-"," """""," """&amp;$D211&amp;"""")&amp;
    IF($E211="-"," """""," """&amp;$E211&amp;"""")
  ),
  ""
)</f>
        <v/>
      </c>
      <c r="AJ211" s="91" t="s">
        <v>174</v>
      </c>
    </row>
    <row r="212" spans="1:36">
      <c r="A212" s="9" t="s">
        <v>1444</v>
      </c>
      <c r="B212" s="9" t="s">
        <v>1445</v>
      </c>
      <c r="C212" s="9" t="s">
        <v>1443</v>
      </c>
      <c r="D212" s="15" t="s">
        <v>1446</v>
      </c>
      <c r="E212" s="26" t="s">
        <v>1446</v>
      </c>
      <c r="F212" s="15" t="s">
        <v>0</v>
      </c>
      <c r="G212" s="15" t="s">
        <v>27</v>
      </c>
      <c r="H212" s="9" t="s">
        <v>521</v>
      </c>
      <c r="I212" s="15" t="s">
        <v>1446</v>
      </c>
      <c r="J212" s="15" t="s">
        <v>1463</v>
      </c>
      <c r="K212" s="15" t="s">
        <v>1446</v>
      </c>
      <c r="L212" s="93" t="s">
        <v>1446</v>
      </c>
      <c r="M212" s="94" t="s">
        <v>1446</v>
      </c>
      <c r="N212" s="15" t="s">
        <v>1446</v>
      </c>
      <c r="O212" s="26" t="s">
        <v>1446</v>
      </c>
      <c r="P212" s="157" t="s">
        <v>1446</v>
      </c>
      <c r="Q212" s="26" t="s">
        <v>1446</v>
      </c>
      <c r="R212" s="9" t="str">
        <f>IF(
  AND(
    $A212&lt;&gt;"",
    COUNTIF(C:C,$A212)&gt;1
  ),
  "★NG★",
  ""
)</f>
        <v/>
      </c>
      <c r="S212" s="9" t="str">
        <f>IF(
  OR(
    $H212="",
    $H212="-",
    COUNTIF(カテゴリ,$H212)&gt;0
  ),
  "",
  "★NG★"
)</f>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2" s="14" t="str">
        <f>IF(
  AND($A212&lt;&gt;"",$J212&lt;&gt;"-",$J212&lt;&gt;""),
  shortcut設定!$F$4&amp;"\"&amp;shortcut設定!$F$8&amp;"\"&amp;$J212&amp;"（"&amp;$B212&amp;"）.lnk",
  ""
)</f>
        <v>%USERPROFILE%\AppData\Roaming\Microsoft\Windows\Start Menu\Programs\$QuickAccess\rdc3（RDP接続toRobocipC3）.lnk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IF(AND($M212&lt;&gt;"",$M212&lt;&gt;"-")," (&amp;"&amp;$M212&amp;")","")</f>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IF(
  AND($A212&lt;&gt;"",$O212&lt;&gt;"-",$O212&lt;&gt;""),
  (
    "schtasks /create /tn """&amp;$O212&amp;""" /tr """&amp;$C212&amp;""" /sc daily /st "&amp;$P212&amp;" /rl highest"
  ),
  ""
)</f>
        <v/>
      </c>
      <c r="AH212" s="13" t="str">
        <f>IF(
  AND($A212&lt;&gt;"",$O212&lt;&gt;"-",$O212&lt;&gt;""),
  (
    "schtasks /delete /tn """&amp;$O212&amp;""""
  ),
  ""
)</f>
        <v/>
      </c>
      <c r="AI212" s="13" t="str">
        <f>IF(
  AND($A212&lt;&gt;"",$Q212&lt;&gt;"-",$Q212&lt;&gt;""),
  (
    """"&amp;shortcut設定!$F$7&amp;""""&amp;
    " """&amp;$Q212&amp;".lnk"""&amp;
    " """&amp;$C212&amp;""""&amp;
    IF($D212="-"," """""," """&amp;$D212&amp;"""")&amp;
    IF($E212="-"," """""," """&amp;$E212&amp;"""")
  ),
  ""
)</f>
        <v/>
      </c>
      <c r="AJ212" s="91" t="s">
        <v>174</v>
      </c>
    </row>
    <row r="213" spans="1:36">
      <c r="A213" s="9" t="s">
        <v>1535</v>
      </c>
      <c r="B213" s="9" t="s">
        <v>1486</v>
      </c>
      <c r="C213" s="9" t="s">
        <v>1536</v>
      </c>
      <c r="D213" s="15" t="s">
        <v>39</v>
      </c>
      <c r="E213" s="26" t="s">
        <v>39</v>
      </c>
      <c r="F213" s="15" t="s">
        <v>0</v>
      </c>
      <c r="G213" s="15" t="s">
        <v>27</v>
      </c>
      <c r="H213" s="9" t="s">
        <v>521</v>
      </c>
      <c r="I213" s="15" t="s">
        <v>39</v>
      </c>
      <c r="J213" s="15" t="s">
        <v>39</v>
      </c>
      <c r="K213" s="15" t="s">
        <v>39</v>
      </c>
      <c r="L213" s="93" t="s">
        <v>149</v>
      </c>
      <c r="M213" s="94" t="s">
        <v>1359</v>
      </c>
      <c r="N213" s="15" t="s">
        <v>934</v>
      </c>
      <c r="O213" s="26" t="s">
        <v>934</v>
      </c>
      <c r="P213" s="157" t="s">
        <v>934</v>
      </c>
      <c r="Q213" s="26" t="s">
        <v>934</v>
      </c>
      <c r="R213" s="9" t="str">
        <f>IF(
  AND(
    $A213&lt;&gt;"",
    COUNTIF(C:C,$A213)&gt;1
  ),
  "★NG★",
  ""
)</f>
        <v/>
      </c>
      <c r="S213" s="9" t="str">
        <f t="shared" si="28"/>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 ca="1">IF(
  AND($A213&lt;&gt;"",$L213&lt;&gt;"-",$L213&lt;&gt;""),
  (
    """"&amp;shortcut設定!$F$7&amp;""""&amp;
    " """&amp;$AD213&amp;""""&amp;
    " """&amp;$C213&amp;""""&amp;
    IF($D213="-"," """""," """&amp;$D213&amp;"""")&amp;
    IF($E213="-"," """""," """&amp;$E213&amp;"""")
  ),
  ""
)</f>
        <v>"C:\codes\vbs\command\CreateShortcutFile.vbs" "%USERPROFILE%\AppData\Roaming\Microsoft\Windows\SendTo\200_ScpUploadToRemoteRobocipA1.bat（SCP送信toリモート(RobocipA1)） (&amp;R).lnk" "C:\root\30_tool\ScpUploadToRemoteRobocipA1.bat" "" ""</v>
      </c>
      <c r="AB213" s="9" t="str">
        <f ca="1">IFERROR(
  VLOOKUP(
    $H213,
    shortcut設定!$F:$J,
    MATCH(
      "ProgramsIndex",
      shortcut設定!$F$12:$J$12,
      0
    ),
    FALSE
  ),
  ""
)</f>
        <v>200</v>
      </c>
      <c r="AC213" s="20" t="str">
        <f t="shared" si="29"/>
        <v xml:space="preserve"> (&amp;R)</v>
      </c>
      <c r="AD213" s="13" t="str">
        <f ca="1">IF(
  AND($A213&lt;&gt;"",$L213="○"),
  shortcut設定!$F$5&amp;"\"&amp;AB213&amp;"_"&amp;A213&amp;"（"&amp;B213&amp;"）"&amp;AC213&amp;".lnk",
  ""
)</f>
        <v>%USERPROFILE%\AppData\Roaming\Microsoft\Windows\SendTo\200_ScpUploadToRemoteRobocipA1.bat（SCP送信toリモート(RobocipA1)） (&amp;R).lnk</v>
      </c>
      <c r="AE213" s="13" t="str">
        <f>IF(
  AND($A213&lt;&gt;"",$N213="○"),
  (
    """"&amp;shortcut設定!$F$7&amp;""""&amp;
    " """&amp;$AF213&amp;""""&amp;
    " """&amp;$C213&amp;""""&amp;
    IF($D213="-"," """""," """&amp;$D213&amp;"""")&amp;
    IF($E213="-"," """""," """&amp;$E213&amp;"""")
  ),
  ""
)</f>
        <v/>
      </c>
      <c r="AF213" s="9" t="str">
        <f>IF(
  AND($A213&lt;&gt;"",$N213="○"),
  shortcut設定!$F$6&amp;"\"&amp;A213&amp;"（"&amp;B213&amp;"）.lnk",
  ""
)</f>
        <v/>
      </c>
      <c r="AG213" s="13" t="str">
        <f t="shared" si="30"/>
        <v/>
      </c>
      <c r="AH213" s="13" t="str">
        <f t="shared" si="31"/>
        <v/>
      </c>
      <c r="AI213" s="13" t="str">
        <f>IF(
  AND($A213&lt;&gt;"",$Q213&lt;&gt;"-",$Q213&lt;&gt;""),
  (
    """"&amp;shortcut設定!$F$7&amp;""""&amp;
    " """&amp;$Q213&amp;".lnk"""&amp;
    " """&amp;$C213&amp;""""&amp;
    IF($D213="-"," """""," """&amp;$D213&amp;"""")&amp;
    IF($E213="-"," """""," """&amp;$E213&amp;"""")
  ),
  ""
)</f>
        <v/>
      </c>
      <c r="AJ213" s="91" t="s">
        <v>174</v>
      </c>
    </row>
    <row r="214" spans="1:36">
      <c r="A214" s="9" t="s">
        <v>1537</v>
      </c>
      <c r="B214" s="9" t="s">
        <v>1485</v>
      </c>
      <c r="C214" s="9" t="s">
        <v>1538</v>
      </c>
      <c r="D214" s="15" t="s">
        <v>39</v>
      </c>
      <c r="E214" s="26" t="s">
        <v>39</v>
      </c>
      <c r="F214" s="15" t="s">
        <v>0</v>
      </c>
      <c r="G214" s="15" t="s">
        <v>27</v>
      </c>
      <c r="H214" s="9" t="s">
        <v>521</v>
      </c>
      <c r="I214" s="15" t="s">
        <v>39</v>
      </c>
      <c r="J214" s="15" t="s">
        <v>1484</v>
      </c>
      <c r="K214" s="15" t="s">
        <v>39</v>
      </c>
      <c r="L214" s="93" t="s">
        <v>64</v>
      </c>
      <c r="M214" s="94" t="s">
        <v>39</v>
      </c>
      <c r="N214" s="15" t="s">
        <v>934</v>
      </c>
      <c r="O214" s="26" t="s">
        <v>934</v>
      </c>
      <c r="P214" s="157" t="s">
        <v>934</v>
      </c>
      <c r="Q214" s="26" t="s">
        <v>934</v>
      </c>
      <c r="R214" s="9" t="str">
        <f>IF(
  AND(
    $A214&lt;&gt;"",
    COUNTIF(C:C,$A214)&gt;1
  ),
  "★NG★",
  ""
)</f>
        <v/>
      </c>
      <c r="S214" s="9" t="str">
        <f t="shared" si="28"/>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4" s="14" t="str">
        <f>IF(
  AND($A214&lt;&gt;"",$J214&lt;&gt;"-",$J214&lt;&gt;""),
  shortcut設定!$F$4&amp;"\"&amp;shortcut設定!$F$8&amp;"\"&amp;$J214&amp;"（"&amp;$B214&amp;"）.lnk",
  ""
)</f>
        <v>%USERPROFILE%\AppData\Roaming\Microsoft\Windows\Start Menu\Programs\$QuickAccess\ffra1（SCP受信fromリモート(RobocipA1)）.lnk</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9"/>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30"/>
        <v/>
      </c>
      <c r="AH214" s="13" t="str">
        <f t="shared" si="31"/>
        <v/>
      </c>
      <c r="AI214" s="13" t="str">
        <f>IF(
  AND($A214&lt;&gt;"",$Q214&lt;&gt;"-",$Q214&lt;&gt;""),
  (
    """"&amp;shortcut設定!$F$7&amp;""""&amp;
    " """&amp;$Q214&amp;".lnk"""&amp;
    " """&amp;$C214&amp;""""&amp;
    IF($D214="-"," """""," """&amp;$D214&amp;"""")&amp;
    IF($E214="-"," """""," """&amp;$E214&amp;"""")
  ),
  ""
)</f>
        <v/>
      </c>
      <c r="AJ214" s="91" t="s">
        <v>174</v>
      </c>
    </row>
    <row r="215" spans="1:36">
      <c r="A215" s="9" t="s">
        <v>1482</v>
      </c>
      <c r="B215" s="9" t="s">
        <v>1487</v>
      </c>
      <c r="C215" s="9" t="s">
        <v>1481</v>
      </c>
      <c r="D215" s="15" t="s">
        <v>1427</v>
      </c>
      <c r="E215" s="26" t="s">
        <v>1427</v>
      </c>
      <c r="F215" s="15" t="s">
        <v>0</v>
      </c>
      <c r="G215" s="15" t="s">
        <v>27</v>
      </c>
      <c r="H215" s="9" t="s">
        <v>521</v>
      </c>
      <c r="I215" s="15" t="s">
        <v>934</v>
      </c>
      <c r="J215" s="15" t="s">
        <v>1483</v>
      </c>
      <c r="K215" s="15" t="s">
        <v>1427</v>
      </c>
      <c r="L215" s="93" t="s">
        <v>1427</v>
      </c>
      <c r="M215" s="94" t="s">
        <v>1427</v>
      </c>
      <c r="N215" s="15" t="s">
        <v>1427</v>
      </c>
      <c r="O215" s="26" t="s">
        <v>1427</v>
      </c>
      <c r="P215" s="157" t="s">
        <v>1427</v>
      </c>
      <c r="Q215" s="26" t="s">
        <v>1427</v>
      </c>
      <c r="R215" s="9" t="str">
        <f>IF(
  AND(
    $A215&lt;&gt;"",
    COUNTIF(C:C,$A215)&gt;1
  ),
  "★NG★",
  ""
)</f>
        <v/>
      </c>
      <c r="S215" s="9" t="str">
        <f>IF(
  OR(
    $H215="",
    $H215="-",
    COUNTIF(カテゴリ,$H215)&gt;0
  ),
  "",
  "★NG★"
)</f>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5" s="14" t="str">
        <f>IF(
  AND($A215&lt;&gt;"",$J215&lt;&gt;"-",$J215&lt;&gt;""),
  shortcut設定!$F$4&amp;"\"&amp;shortcut設定!$F$8&amp;"\"&amp;$J215&amp;"（"&amp;$B215&amp;"）.lnk",
  ""
)</f>
        <v>%USERPROFILE%\AppData\Roaming\Microsoft\Windows\Start Menu\Programs\$QuickAccess\ddfa1（ドットファイル同期(RobocipA1)）.lnk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IF(AND($M215&lt;&gt;"",$M215&lt;&gt;"-")," (&amp;"&amp;$M215&amp;")","")</f>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IF(
  AND($A215&lt;&gt;"",$O215&lt;&gt;"-",$O215&lt;&gt;""),
  (
    "schtasks /create /tn """&amp;$O215&amp;""" /tr """&amp;$C215&amp;""" /sc daily /st "&amp;$P215&amp;" /rl highest"
  ),
  ""
)</f>
        <v/>
      </c>
      <c r="AH215" s="13" t="str">
        <f>IF(
  AND($A215&lt;&gt;"",$O215&lt;&gt;"-",$O215&lt;&gt;""),
  (
    "schtasks /delete /tn """&amp;$O215&amp;""""
  ),
  ""
)</f>
        <v/>
      </c>
      <c r="AI215" s="13" t="str">
        <f>IF(
  AND($A215&lt;&gt;"",$Q215&lt;&gt;"-",$Q215&lt;&gt;""),
  (
    """"&amp;shortcut設定!$F$7&amp;""""&amp;
    " """&amp;$Q215&amp;".lnk"""&amp;
    " """&amp;$C215&amp;""""&amp;
    IF($D215="-"," """""," """&amp;$D215&amp;"""")&amp;
    IF($E215="-"," """""," """&amp;$E215&amp;"""")
  ),
  ""
)</f>
        <v/>
      </c>
      <c r="AJ215" s="91" t="s">
        <v>174</v>
      </c>
    </row>
    <row r="216" spans="1:36">
      <c r="A216" s="9" t="s">
        <v>1045</v>
      </c>
      <c r="B216" s="9" t="s">
        <v>1008</v>
      </c>
      <c r="C216" s="9" t="s">
        <v>1044</v>
      </c>
      <c r="D216" s="15" t="s">
        <v>934</v>
      </c>
      <c r="E216" s="26" t="s">
        <v>39</v>
      </c>
      <c r="F216" s="15" t="s">
        <v>27</v>
      </c>
      <c r="G216" s="15" t="s">
        <v>0</v>
      </c>
      <c r="H216" s="9" t="s">
        <v>521</v>
      </c>
      <c r="I216" s="15" t="s">
        <v>934</v>
      </c>
      <c r="J216" s="15" t="s">
        <v>1009</v>
      </c>
      <c r="K216" s="15" t="s">
        <v>1009</v>
      </c>
      <c r="L216" s="93" t="s">
        <v>1009</v>
      </c>
      <c r="M216" s="94" t="s">
        <v>1009</v>
      </c>
      <c r="N216" s="15" t="s">
        <v>0</v>
      </c>
      <c r="O216" s="26" t="s">
        <v>1230</v>
      </c>
      <c r="P216" s="157" t="s">
        <v>1230</v>
      </c>
      <c r="Q216" s="26" t="s">
        <v>39</v>
      </c>
      <c r="R216" s="9" t="str">
        <f>IF(
  AND(
    $A216&lt;&gt;"",
    COUNTIF(C:C,$A216)&gt;1
  ),
  "★NG★",
  ""
)</f>
        <v/>
      </c>
      <c r="S216" s="9" t="str">
        <f t="shared" si="28"/>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9"/>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Menu\Programs\Startup\CreateProgramList.bat（インストールプログラム一覧作成）.lnk" "C:\codes\bat\tools\other\CreateProgramList.bat" "" ""</v>
      </c>
      <c r="AF216" s="9" t="str">
        <f>IF(
  AND($A216&lt;&gt;"",$N216="○"),
  shortcut設定!$F$6&amp;"\"&amp;A216&amp;"（"&amp;B216&amp;"）.lnk",
  ""
)</f>
        <v>%USERPROFILE%\AppData\Roaming\Microsoft\Windows\Start Menu\Programs\Startup\CreateProgramList.bat（インストールプログラム一覧作成）.lnk</v>
      </c>
      <c r="AG216" s="13" t="str">
        <f t="shared" si="30"/>
        <v/>
      </c>
      <c r="AH216" s="13" t="str">
        <f t="shared" si="31"/>
        <v/>
      </c>
      <c r="AI216" s="13" t="str">
        <f>IF(
  AND($A216&lt;&gt;"",$Q216&lt;&gt;"-",$Q216&lt;&gt;""),
  (
    """"&amp;shortcut設定!$F$7&amp;""""&amp;
    " """&amp;$Q216&amp;".lnk"""&amp;
    " """&amp;$C216&amp;""""&amp;
    IF($D216="-"," """""," """&amp;$D216&amp;"""")&amp;
    IF($E216="-"," """""," """&amp;$E216&amp;"""")
  ),
  ""
)</f>
        <v/>
      </c>
      <c r="AJ216" s="91" t="s">
        <v>174</v>
      </c>
    </row>
    <row r="217" spans="1:36">
      <c r="A217" s="9" t="s">
        <v>1207</v>
      </c>
      <c r="B217" s="9" t="s">
        <v>1212</v>
      </c>
      <c r="C217" s="9" t="s">
        <v>1205</v>
      </c>
      <c r="D217" s="15" t="s">
        <v>934</v>
      </c>
      <c r="E217" s="26" t="s">
        <v>39</v>
      </c>
      <c r="F217" s="15" t="s">
        <v>27</v>
      </c>
      <c r="G217" s="15" t="s">
        <v>0</v>
      </c>
      <c r="H217" s="9" t="s">
        <v>521</v>
      </c>
      <c r="I217" s="15" t="s">
        <v>0</v>
      </c>
      <c r="J217" s="15" t="s">
        <v>1383</v>
      </c>
      <c r="K217" s="15" t="s">
        <v>39</v>
      </c>
      <c r="L217" s="93" t="s">
        <v>39</v>
      </c>
      <c r="M217" s="94" t="s">
        <v>39</v>
      </c>
      <c r="N217" s="15" t="s">
        <v>934</v>
      </c>
      <c r="O217" s="26" t="s">
        <v>1230</v>
      </c>
      <c r="P217" s="157" t="s">
        <v>1230</v>
      </c>
      <c r="Q217" s="26" t="s">
        <v>39</v>
      </c>
      <c r="R217" s="9" t="str">
        <f>IF(
  AND(
    $A217&lt;&gt;"",
    COUNTIF(C:C,$A217)&gt;1
  ),
  "★NG★",
  ""
)</f>
        <v/>
      </c>
      <c r="S217" s="9" t="str">
        <f t="shared" si="28"/>
        <v/>
      </c>
      <c r="T217" s="13" t="str">
        <f ca="1">IF(
  AND($A217&lt;&gt;"",$I217="○"),
  (
    "mkdir """&amp;V217&amp;""" &amp; "
  )&amp;(
    """"&amp;shortcut設定!$F$7&amp;""""&amp;
    " """&amp;V217&amp;"\"&amp;$A217&amp;"（"&amp;$B217&amp;"）.lnk"""&amp;
    " """&amp;$C217&amp;""""&amp;
    IF($D217="-"," """""," """&amp;$D217&amp;"""")&amp;
    IF($E217="-"," """""," """&amp;$E217&amp;"""")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7" s="9" t="str">
        <f ca="1">IFERROR(
  VLOOKUP(
    $H217,
    shortcut設定!$F:$J,
    MATCH(
      "ProgramsIndex",
      shortcut設定!$F$12:$J$12,
      0
    ),
    FALSE
  ),
  ""
)</f>
        <v>200</v>
      </c>
      <c r="V217" s="13" t="str">
        <f ca="1">IF(
  AND($A217&lt;&gt;"",$I217="○"),
  shortcut設定!$F$4&amp;"\"&amp;U217&amp;"_"&amp;H217,
  ""
)</f>
        <v>%USERPROFILE%\AppData\Roaming\Microsoft\Windows\Start Menu\Programs\200_Codes</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Menu\Programs\$QuickAccess\bua（HDDバックアップ（全て））.lnk" "C:\codes\bat\tools\other\BackupAll.bat" "" ""</v>
      </c>
      <c r="X217" s="14" t="str">
        <f>IF(
  AND($A217&lt;&gt;"",$J217&lt;&gt;"-",$J217&lt;&gt;""),
  shortcut設定!$F$4&amp;"\"&amp;shortcut設定!$F$8&amp;"\"&amp;$J217&amp;"（"&amp;$B217&amp;"）.lnk",
  ""
)</f>
        <v>%USERPROFILE%\AppData\Roaming\Microsoft\Windows\Start Menu\Programs\$QuickAccess\bua（HDDバックアップ（全て））.lnk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29"/>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0"/>
        <v/>
      </c>
      <c r="AH217" s="13" t="str">
        <f t="shared" si="31"/>
        <v/>
      </c>
      <c r="AI217" s="13" t="str">
        <f>IF(
  AND($A217&lt;&gt;"",$Q217&lt;&gt;"-",$Q217&lt;&gt;""),
  (
    """"&amp;shortcut設定!$F$7&amp;""""&amp;
    " """&amp;$Q217&amp;".lnk"""&amp;
    " """&amp;$C217&amp;""""&amp;
    IF($D217="-"," """""," """&amp;$D217&amp;"""")&amp;
    IF($E217="-"," """""," """&amp;$E217&amp;"""")
  ),
  ""
)</f>
        <v/>
      </c>
      <c r="AJ217" s="91" t="s">
        <v>174</v>
      </c>
    </row>
    <row r="218" spans="1:36">
      <c r="A218" s="9" t="s">
        <v>1208</v>
      </c>
      <c r="B218" s="9" t="s">
        <v>1213</v>
      </c>
      <c r="C218" s="9" t="s">
        <v>1043</v>
      </c>
      <c r="D218" s="15" t="s">
        <v>934</v>
      </c>
      <c r="E218" s="26" t="s">
        <v>39</v>
      </c>
      <c r="F218" s="15" t="s">
        <v>27</v>
      </c>
      <c r="G218" s="15" t="s">
        <v>0</v>
      </c>
      <c r="H218" s="9" t="s">
        <v>521</v>
      </c>
      <c r="I218" s="15" t="s">
        <v>1217</v>
      </c>
      <c r="J218" s="15" t="s">
        <v>934</v>
      </c>
      <c r="K218" s="15" t="s">
        <v>39</v>
      </c>
      <c r="L218" s="93" t="s">
        <v>39</v>
      </c>
      <c r="M218" s="94" t="s">
        <v>39</v>
      </c>
      <c r="N218" s="15" t="s">
        <v>934</v>
      </c>
      <c r="O218" s="26" t="s">
        <v>1230</v>
      </c>
      <c r="P218" s="157" t="s">
        <v>1230</v>
      </c>
      <c r="Q218" s="26" t="s">
        <v>39</v>
      </c>
      <c r="R218" s="9" t="str">
        <f>IF(
  AND(
    $A218&lt;&gt;"",
    COUNTIF(C:C,$A218)&gt;1
  ),
  "★NG★",
  ""
)</f>
        <v/>
      </c>
      <c r="S218" s="9" t="str">
        <f t="shared" si="28"/>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9"/>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0"/>
        <v/>
      </c>
      <c r="AH218" s="13" t="str">
        <f t="shared" si="31"/>
        <v/>
      </c>
      <c r="AI218" s="13" t="str">
        <f>IF(
  AND($A218&lt;&gt;"",$Q218&lt;&gt;"-",$Q218&lt;&gt;""),
  (
    """"&amp;shortcut設定!$F$7&amp;""""&amp;
    " """&amp;$Q218&amp;".lnk"""&amp;
    " """&amp;$C218&amp;""""&amp;
    IF($D218="-"," """""," """&amp;$D218&amp;"""")&amp;
    IF($E218="-"," """""," """&amp;$E218&amp;"""")
  ),
  ""
)</f>
        <v/>
      </c>
      <c r="AJ218" s="91" t="s">
        <v>174</v>
      </c>
    </row>
    <row r="219" spans="1:36">
      <c r="A219" s="9" t="s">
        <v>1209</v>
      </c>
      <c r="B219" s="9" t="s">
        <v>1214</v>
      </c>
      <c r="C219" s="9" t="s">
        <v>1048</v>
      </c>
      <c r="D219" s="15" t="s">
        <v>934</v>
      </c>
      <c r="E219" s="26" t="s">
        <v>39</v>
      </c>
      <c r="F219" s="15" t="s">
        <v>27</v>
      </c>
      <c r="G219" s="15" t="s">
        <v>0</v>
      </c>
      <c r="H219" s="9" t="s">
        <v>521</v>
      </c>
      <c r="I219" s="15" t="s">
        <v>1217</v>
      </c>
      <c r="J219" s="15" t="s">
        <v>934</v>
      </c>
      <c r="K219" s="15" t="s">
        <v>39</v>
      </c>
      <c r="L219" s="93" t="s">
        <v>39</v>
      </c>
      <c r="M219" s="94" t="s">
        <v>39</v>
      </c>
      <c r="N219" s="15" t="s">
        <v>934</v>
      </c>
      <c r="O219" s="26" t="s">
        <v>1230</v>
      </c>
      <c r="P219" s="157" t="s">
        <v>1230</v>
      </c>
      <c r="Q219" s="26" t="s">
        <v>39</v>
      </c>
      <c r="R219" s="9" t="str">
        <f>IF(
  AND(
    $A219&lt;&gt;"",
    COUNTIF(C:C,$A219)&gt;1
  ),
  "★NG★",
  ""
)</f>
        <v/>
      </c>
      <c r="S219" s="9" t="str">
        <f t="shared" si="28"/>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29"/>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0"/>
        <v/>
      </c>
      <c r="AH219" s="13" t="str">
        <f t="shared" si="31"/>
        <v/>
      </c>
      <c r="AI219" s="13" t="str">
        <f>IF(
  AND($A219&lt;&gt;"",$Q219&lt;&gt;"-",$Q219&lt;&gt;""),
  (
    """"&amp;shortcut設定!$F$7&amp;""""&amp;
    " """&amp;$Q219&amp;".lnk"""&amp;
    " """&amp;$C219&amp;""""&amp;
    IF($D219="-"," """""," """&amp;$D219&amp;"""")&amp;
    IF($E219="-"," """""," """&amp;$E219&amp;"""")
  ),
  ""
)</f>
        <v/>
      </c>
      <c r="AJ219" s="91" t="s">
        <v>174</v>
      </c>
    </row>
    <row r="220" spans="1:36">
      <c r="A220" s="9" t="s">
        <v>1210</v>
      </c>
      <c r="B220" s="9" t="s">
        <v>1215</v>
      </c>
      <c r="C220" s="9" t="s">
        <v>1049</v>
      </c>
      <c r="D220" s="15" t="s">
        <v>934</v>
      </c>
      <c r="E220" s="26" t="s">
        <v>39</v>
      </c>
      <c r="F220" s="15" t="s">
        <v>0</v>
      </c>
      <c r="G220" s="15" t="s">
        <v>0</v>
      </c>
      <c r="H220" s="9" t="s">
        <v>521</v>
      </c>
      <c r="I220" s="15" t="s">
        <v>1217</v>
      </c>
      <c r="J220" s="15" t="s">
        <v>934</v>
      </c>
      <c r="K220" s="15" t="s">
        <v>39</v>
      </c>
      <c r="L220" s="93" t="s">
        <v>39</v>
      </c>
      <c r="M220" s="94" t="s">
        <v>39</v>
      </c>
      <c r="N220" s="15" t="s">
        <v>934</v>
      </c>
      <c r="O220" s="26" t="s">
        <v>1230</v>
      </c>
      <c r="P220" s="157" t="s">
        <v>1230</v>
      </c>
      <c r="Q220" s="26" t="s">
        <v>39</v>
      </c>
      <c r="R220" s="9" t="str">
        <f>IF(
  AND(
    $A220&lt;&gt;"",
    COUNTIF(C:C,$A220)&gt;1
  ),
  "★NG★",
  ""
)</f>
        <v/>
      </c>
      <c r="S220" s="9" t="str">
        <f t="shared" si="28"/>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29"/>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0"/>
        <v/>
      </c>
      <c r="AH220" s="13" t="str">
        <f t="shared" si="31"/>
        <v/>
      </c>
      <c r="AI220" s="13" t="str">
        <f>IF(
  AND($A220&lt;&gt;"",$Q220&lt;&gt;"-",$Q220&lt;&gt;""),
  (
    """"&amp;shortcut設定!$F$7&amp;""""&amp;
    " """&amp;$Q220&amp;".lnk"""&amp;
    " """&amp;$C220&amp;""""&amp;
    IF($D220="-"," """""," """&amp;$D220&amp;"""")&amp;
    IF($E220="-"," """""," """&amp;$E220&amp;"""")
  ),
  ""
)</f>
        <v/>
      </c>
      <c r="AJ220" s="91" t="s">
        <v>174</v>
      </c>
    </row>
    <row r="221" spans="1:36">
      <c r="A221" s="9" t="s">
        <v>1211</v>
      </c>
      <c r="B221" s="9" t="s">
        <v>1216</v>
      </c>
      <c r="C221" s="9" t="s">
        <v>1206</v>
      </c>
      <c r="D221" s="15" t="s">
        <v>934</v>
      </c>
      <c r="E221" s="26" t="s">
        <v>39</v>
      </c>
      <c r="F221" s="15" t="s">
        <v>0</v>
      </c>
      <c r="G221" s="15" t="s">
        <v>27</v>
      </c>
      <c r="H221" s="9" t="s">
        <v>521</v>
      </c>
      <c r="I221" s="15" t="s">
        <v>1217</v>
      </c>
      <c r="J221" s="15" t="s">
        <v>934</v>
      </c>
      <c r="K221" s="15" t="s">
        <v>39</v>
      </c>
      <c r="L221" s="93" t="s">
        <v>39</v>
      </c>
      <c r="M221" s="94" t="s">
        <v>39</v>
      </c>
      <c r="N221" s="15" t="s">
        <v>934</v>
      </c>
      <c r="O221" s="26" t="s">
        <v>1231</v>
      </c>
      <c r="P221" s="157" t="s">
        <v>1234</v>
      </c>
      <c r="Q221" s="26" t="s">
        <v>39</v>
      </c>
      <c r="R221" s="9" t="str">
        <f>IF(
  AND(
    $A221&lt;&gt;"",
    COUNTIF(C:C,$A221)&gt;1
  ),
  "★NG★",
  ""
)</f>
        <v/>
      </c>
      <c r="S221" s="9" t="str">
        <f t="shared" si="28"/>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29"/>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 t="shared" si="30"/>
        <v>schtasks /create /tn "_scheduled_backup_root" /tr "C:\codes\bat\tools\other\BackupRoot.bat" /sc daily /st 17:56 /rl highest</v>
      </c>
      <c r="AH221" s="13" t="str">
        <f t="shared" si="31"/>
        <v>schtasks /delete /tn "_scheduled_backup_root"</v>
      </c>
      <c r="AI221" s="13" t="str">
        <f>IF(
  AND($A221&lt;&gt;"",$Q221&lt;&gt;"-",$Q221&lt;&gt;""),
  (
    """"&amp;shortcut設定!$F$7&amp;""""&amp;
    " """&amp;$Q221&amp;".lnk"""&amp;
    " """&amp;$C221&amp;""""&amp;
    IF($D221="-"," """""," """&amp;$D221&amp;"""")&amp;
    IF($E221="-"," """""," """&amp;$E221&amp;"""")
  ),
  ""
)</f>
        <v/>
      </c>
      <c r="AJ221" s="91" t="s">
        <v>174</v>
      </c>
    </row>
    <row r="222" spans="1:36">
      <c r="A222" s="9" t="s">
        <v>1250</v>
      </c>
      <c r="B222" s="9" t="s">
        <v>1251</v>
      </c>
      <c r="C222" s="9" t="s">
        <v>1249</v>
      </c>
      <c r="D222" s="15" t="s">
        <v>1252</v>
      </c>
      <c r="E222" s="26" t="s">
        <v>1252</v>
      </c>
      <c r="F222" s="15" t="s">
        <v>27</v>
      </c>
      <c r="G222" s="15" t="s">
        <v>0</v>
      </c>
      <c r="H222" s="9" t="s">
        <v>521</v>
      </c>
      <c r="I222" s="15" t="s">
        <v>1252</v>
      </c>
      <c r="J222" s="15" t="s">
        <v>1252</v>
      </c>
      <c r="K222" s="15" t="s">
        <v>1252</v>
      </c>
      <c r="L222" s="93" t="s">
        <v>1252</v>
      </c>
      <c r="M222" s="94" t="s">
        <v>1252</v>
      </c>
      <c r="N222" s="15" t="s">
        <v>0</v>
      </c>
      <c r="O222" s="26" t="s">
        <v>1252</v>
      </c>
      <c r="P222" s="157" t="s">
        <v>1252</v>
      </c>
      <c r="Q222" s="26" t="s">
        <v>1252</v>
      </c>
      <c r="R222" s="9" t="str">
        <f>IF(
  AND(
    $A222&lt;&gt;"",
    COUNTIF(C:C,$A222)&gt;1
  ),
  "★NG★",
  ""
)</f>
        <v/>
      </c>
      <c r="S222" s="9" t="str">
        <f t="shared" si="28"/>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29"/>
        <v/>
      </c>
      <c r="AD222" s="13" t="str">
        <f>IF(
  AND($A222&lt;&gt;"",$L222="○"),
  shortcut設定!$F$5&amp;"\"&amp;AB222&amp;"_"&amp;A222&amp;"（"&amp;B222&amp;"）"&amp;AC222&amp;".lnk",
  ""
)</f>
        <v/>
      </c>
      <c r="AE222" s="13" t="str">
        <f>IF(
  AND($A222&lt;&gt;"",$N222="○"),
  (
    """"&amp;shortcut設定!$F$7&amp;""""&amp;
    " """&amp;$AF222&amp;""""&amp;
    " """&amp;$C222&amp;""""&amp;
    IF($D222="-"," """""," """&amp;$D222&amp;"""")&amp;
    IF($E222="-"," """""," """&amp;$E222&amp;"""")
  ),
  ""
)</f>
        <v>"C:\codes\vbs\command\CreateShortcutFile.vbs" "%USERPROFILE%\AppData\Roaming\Microsoft\Windows\Start Menu\Programs\Startup\BackupOtherPrgSettings.bat（各種プログラム設定バックアップ）.lnk" "C:\codes\bat\tools\other\BackupOtherPrgSettings.bat" "" ""</v>
      </c>
      <c r="AF222" s="9" t="str">
        <f>IF(
  AND($A222&lt;&gt;"",$N222="○"),
  shortcut設定!$F$6&amp;"\"&amp;A222&amp;"（"&amp;B222&amp;"）.lnk",
  ""
)</f>
        <v>%USERPROFILE%\AppData\Roaming\Microsoft\Windows\Start Menu\Programs\Startup\BackupOtherPrgSettings.bat（各種プログラム設定バックアップ）.lnk</v>
      </c>
      <c r="AG222" s="13" t="str">
        <f t="shared" si="30"/>
        <v/>
      </c>
      <c r="AH222" s="13" t="str">
        <f t="shared" si="31"/>
        <v/>
      </c>
      <c r="AI222" s="13" t="str">
        <f>IF(
  AND($A222&lt;&gt;"",$Q222&lt;&gt;"-",$Q222&lt;&gt;""),
  (
    """"&amp;shortcut設定!$F$7&amp;""""&amp;
    " """&amp;$Q222&amp;".lnk"""&amp;
    " """&amp;$C222&amp;""""&amp;
    IF($D222="-"," """""," """&amp;$D222&amp;"""")&amp;
    IF($E222="-"," """""," """&amp;$E222&amp;"""")
  ),
  ""
)</f>
        <v/>
      </c>
      <c r="AJ222" s="91" t="s">
        <v>174</v>
      </c>
    </row>
    <row r="223" spans="1:36">
      <c r="A223" s="9" t="s">
        <v>1417</v>
      </c>
      <c r="B223" s="9" t="s">
        <v>1418</v>
      </c>
      <c r="C223" s="9" t="s">
        <v>1416</v>
      </c>
      <c r="D223" s="15" t="s">
        <v>1419</v>
      </c>
      <c r="E223" s="26" t="s">
        <v>1419</v>
      </c>
      <c r="F223" s="15" t="s">
        <v>0</v>
      </c>
      <c r="G223" s="15" t="s">
        <v>0</v>
      </c>
      <c r="H223" s="9" t="s">
        <v>521</v>
      </c>
      <c r="I223" s="15" t="s">
        <v>1419</v>
      </c>
      <c r="J223" s="15" t="s">
        <v>1420</v>
      </c>
      <c r="K223" s="15" t="s">
        <v>1419</v>
      </c>
      <c r="L223" s="93" t="s">
        <v>1419</v>
      </c>
      <c r="M223" s="94" t="s">
        <v>1419</v>
      </c>
      <c r="N223" s="15" t="s">
        <v>1419</v>
      </c>
      <c r="O223" s="26" t="s">
        <v>1419</v>
      </c>
      <c r="P223" s="157" t="s">
        <v>1419</v>
      </c>
      <c r="Q223" s="26" t="s">
        <v>1419</v>
      </c>
      <c r="R223" s="9" t="str">
        <f>IF(
  AND(
    $A223&lt;&gt;"",
    COUNTIF(C:C,$A223)&gt;1
  ),
  "★NG★",
  ""
)</f>
        <v/>
      </c>
      <c r="S223" s="9" t="str">
        <f>IF(
  OR(
    $H223="",
    $H223="-",
    COUNTIF(カテゴリ,$H223)&gt;0
  ),
  "",
  "★NG★"
)</f>
        <v/>
      </c>
      <c r="T223" s="13" t="str">
        <f>IF(
  AND($A223&lt;&gt;"",$I223="○"),
  (
    "mkdir """&amp;V223&amp;""" &amp; "
  )&amp;(
    """"&amp;shortcut設定!$F$7&amp;""""&amp;
    " """&amp;V223&amp;"\"&amp;$A223&amp;"（"&amp;$B223&amp;"）.lnk"""&amp;
    " """&amp;$C223&amp;""""&amp;
    IF($D223="-"," """""," """&amp;$D223&amp;"""")&amp;
    IF($E223="-"," """""," """&amp;$E223&amp;"""")
  ),
  ""
)</f>
        <v/>
      </c>
      <c r="U223" s="9" t="str">
        <f ca="1">IFERROR(
  VLOOKUP(
    $H223,
    shortcut設定!$F:$J,
    MATCH(
      "ProgramsIndex",
      shortcut設定!$F$12:$J$12,
      0
    ),
    FALSE
  ),
  ""
)</f>
        <v>200</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Menu\Programs\$QuickAccess\dvi（viminfo削除）.lnk" "C:\codes\bat\tools\file_ope\DeleteVimInfo.bat" "" ""</v>
      </c>
      <c r="X223" s="14" t="str">
        <f>IF(
  AND($A223&lt;&gt;"",$J223&lt;&gt;"-",$J223&lt;&gt;""),
  shortcut設定!$F$4&amp;"\"&amp;shortcut設定!$F$8&amp;"\"&amp;$J223&amp;"（"&amp;$B223&amp;"）.lnk",
  ""
)</f>
        <v>%USERPROFILE%\AppData\Roaming\Microsoft\Windows\Start Menu\Programs\$QuickAccess\dvi（viminfo削除）.lnk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IF(AND($M223&lt;&gt;"",$M223&lt;&gt;"-")," (&amp;"&amp;$M223&amp;")","")</f>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IF(
  AND($A223&lt;&gt;"",$O223&lt;&gt;"-",$O223&lt;&gt;""),
  (
    "schtasks /create /tn """&amp;$O223&amp;""" /tr """&amp;$C223&amp;""" /sc daily /st "&amp;$P223&amp;" /rl highest"
  ),
  ""
)</f>
        <v/>
      </c>
      <c r="AH223" s="13" t="str">
        <f>IF(
  AND($A223&lt;&gt;"",$O223&lt;&gt;"-",$O223&lt;&gt;""),
  (
    "schtasks /delete /tn """&amp;$O223&amp;""""
  ),
  ""
)</f>
        <v/>
      </c>
      <c r="AI223" s="13" t="str">
        <f>IF(
  AND($A223&lt;&gt;"",$Q223&lt;&gt;"-",$Q223&lt;&gt;""),
  (
    """"&amp;shortcut設定!$F$7&amp;""""&amp;
    " """&amp;$Q223&amp;".lnk"""&amp;
    " """&amp;$C223&amp;""""&amp;
    IF($D223="-"," """""," """&amp;$D223&amp;"""")&amp;
    IF($E223="-"," """""," """&amp;$E223&amp;"""")
  ),
  ""
)</f>
        <v/>
      </c>
      <c r="AJ223" s="91" t="s">
        <v>174</v>
      </c>
    </row>
    <row r="224" spans="1:36">
      <c r="A224" s="9" t="s">
        <v>1379</v>
      </c>
      <c r="B224" s="9" t="s">
        <v>1380</v>
      </c>
      <c r="C224" s="9" t="s">
        <v>1378</v>
      </c>
      <c r="D224" s="15" t="s">
        <v>1381</v>
      </c>
      <c r="E224" s="26" t="s">
        <v>1381</v>
      </c>
      <c r="F224" s="15" t="s">
        <v>0</v>
      </c>
      <c r="G224" s="15" t="s">
        <v>0</v>
      </c>
      <c r="H224" s="9" t="s">
        <v>521</v>
      </c>
      <c r="I224" s="15" t="s">
        <v>0</v>
      </c>
      <c r="J224" s="15" t="s">
        <v>1382</v>
      </c>
      <c r="K224" s="15" t="s">
        <v>1381</v>
      </c>
      <c r="L224" s="93" t="s">
        <v>1381</v>
      </c>
      <c r="M224" s="94" t="s">
        <v>1381</v>
      </c>
      <c r="N224" s="15" t="s">
        <v>1381</v>
      </c>
      <c r="O224" s="26" t="s">
        <v>1381</v>
      </c>
      <c r="P224" s="157" t="s">
        <v>1381</v>
      </c>
      <c r="Q224" s="26" t="s">
        <v>1381</v>
      </c>
      <c r="R224" s="9" t="str">
        <f>IF(
  AND(
    $A224&lt;&gt;"",
    COUNTIF(C:C,$A224)&gt;1
  ),
  "★NG★",
  ""
)</f>
        <v/>
      </c>
      <c r="S224" s="9" t="str">
        <f t="shared" si="28"/>
        <v/>
      </c>
      <c r="T224" s="13" t="str">
        <f ca="1">IF(
  AND($A224&lt;&gt;"",$I224="○"),
  (
    "mkdir """&amp;V224&amp;""" &amp; "
  )&amp;(
    """"&amp;shortcut設定!$F$7&amp;""""&amp;
    " """&amp;V224&amp;"\"&amp;$A224&amp;"（"&amp;$B224&amp;"）.lnk"""&amp;
    " """&amp;$C224&amp;""""&amp;
    IF($D224="-"," """""," """&amp;$D224&amp;"""")&amp;
    IF($E224="-"," """""," """&amp;$E224&amp;"""")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4" s="9" t="str">
        <f ca="1">IFERROR(
  VLOOKUP(
    $H224,
    shortcut設定!$F:$J,
    MATCH(
      "ProgramsIndex",
      shortcut設定!$F$12:$J$12,
      0
    ),
    FALSE
  ),
  ""
)</f>
        <v>200</v>
      </c>
      <c r="V224" s="13" t="str">
        <f ca="1">IF(
  AND($A224&lt;&gt;"",$I224="○"),
  shortcut設定!$F$4&amp;"\"&amp;U224&amp;"_"&amp;H224,
  ""
)</f>
        <v>%USERPROFILE%\AppData\Roaming\Microsoft\Windows\Start Menu\Programs\200_Codes</v>
      </c>
      <c r="W224" s="13" t="str">
        <f>IF(
  AND($A224&lt;&gt;"",$J224&lt;&gt;"-",$J224&lt;&gt;""),
  (
    "mkdir """&amp;shortcut設定!$F$4&amp;"\"&amp;shortcut設定!$F$8&amp;""" &amp; "
  )&amp;(
    """"&amp;shortcut設定!$F$7&amp;""""&amp;
    " """&amp;$X224&amp;""""&amp;
    " """&amp;$C224&amp;""""&amp;
    IF($D224="-"," """""," """&amp;$D224&amp;"""")&amp;
    IF($E224="-"," """""," """&amp;$E224&amp;"""")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4" s="14" t="str">
        <f>IF(
  AND($A224&lt;&gt;"",$J224&lt;&gt;"-",$J224&lt;&gt;""),
  shortcut設定!$F$4&amp;"\"&amp;shortcut設定!$F$8&amp;"\"&amp;$J224&amp;"（"&amp;$B224&amp;"）.lnk",
  ""
)</f>
        <v>%USERPROFILE%\AppData\Roaming\Microsoft\Windows\Start Menu\Programs\$QuickAccess\edd（drawioダイヤグラム抽出）.lnk</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200</v>
      </c>
      <c r="AC224" s="20" t="str">
        <f t="shared" si="29"/>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0"/>
        <v/>
      </c>
      <c r="AH224" s="13" t="str">
        <f t="shared" si="31"/>
        <v/>
      </c>
      <c r="AI224" s="13" t="str">
        <f>IF(
  AND($A224&lt;&gt;"",$Q224&lt;&gt;"-",$Q224&lt;&gt;""),
  (
    """"&amp;shortcut設定!$F$7&amp;""""&amp;
    " """&amp;$Q224&amp;".lnk"""&amp;
    " """&amp;$C224&amp;""""&amp;
    IF($D224="-"," """""," """&amp;$D224&amp;"""")&amp;
    IF($E224="-"," """""," """&amp;$E224&amp;"""")
  ),
  ""
)</f>
        <v/>
      </c>
      <c r="AJ224" s="91" t="s">
        <v>174</v>
      </c>
    </row>
    <row r="225" spans="1:36">
      <c r="A225" s="9" t="s">
        <v>1572</v>
      </c>
      <c r="B225" s="9" t="s">
        <v>1573</v>
      </c>
      <c r="C225" s="9" t="s">
        <v>1574</v>
      </c>
      <c r="D225" s="15" t="s">
        <v>934</v>
      </c>
      <c r="E225" s="26" t="s">
        <v>934</v>
      </c>
      <c r="F225" s="15" t="s">
        <v>0</v>
      </c>
      <c r="G225" s="15" t="s">
        <v>0</v>
      </c>
      <c r="H225" s="9" t="s">
        <v>521</v>
      </c>
      <c r="I225" s="15" t="s">
        <v>934</v>
      </c>
      <c r="J225" s="15" t="s">
        <v>1575</v>
      </c>
      <c r="K225" s="15" t="s">
        <v>934</v>
      </c>
      <c r="L225" s="93" t="s">
        <v>934</v>
      </c>
      <c r="M225" s="94" t="s">
        <v>934</v>
      </c>
      <c r="N225" s="15" t="s">
        <v>934</v>
      </c>
      <c r="O225" s="26" t="s">
        <v>934</v>
      </c>
      <c r="P225" s="157" t="s">
        <v>934</v>
      </c>
      <c r="Q225" s="26" t="s">
        <v>934</v>
      </c>
      <c r="R225" s="9" t="str">
        <f>IF(
  AND(
    $A225&lt;&gt;"",
    COUNTIF(C:C,$A225)&gt;1
  ),
  "★NG★",
  ""
)</f>
        <v/>
      </c>
      <c r="S225" s="9" t="str">
        <f t="shared" si="28"/>
        <v/>
      </c>
      <c r="T225" s="13" t="str">
        <f>IF(
  AND($A225&lt;&gt;"",$I225="○"),
  (
    "mkdir """&amp;V225&amp;""" &amp; "
  )&amp;(
    """"&amp;shortcut設定!$F$7&amp;""""&amp;
    " """&amp;V225&amp;"\"&amp;$A225&amp;"（"&amp;$B225&amp;"）.lnk"""&amp;
    " """&amp;$C225&amp;""""&amp;
    IF($D225="-"," """""," """&amp;$D225&amp;"""")&amp;
    IF($E225="-"," """""," """&amp;$E225&amp;"""")
  ),
  ""
)</f>
        <v/>
      </c>
      <c r="U225" s="9" t="str">
        <f ca="1">IFERROR(
  VLOOKUP(
    $H225,
    shortcut設定!$F:$J,
    MATCH(
      "ProgramsIndex",
      shortcut設定!$F$12:$J$12,
      0
    ),
    FALSE
  ),
  ""
)</f>
        <v>200</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mkdir "%USERPROFILE%\AppData\Roaming\Microsoft\Windows\Start Menu\Programs\$QuickAccess" &amp; "C:\codes\vbs\command\CreateShortcutFile.vbs" "%USERPROFILE%\AppData\Roaming\Microsoft\Windows\Start Menu\Programs\$QuickAccess\sht（時刻指定シャットダウン）.lnk" "C:\codes\vbs\tools\win\other\Shutdown.vbs" "" ""</v>
      </c>
      <c r="X225" s="14" t="str">
        <f>IF(
  AND($A225&lt;&gt;"",$J225&lt;&gt;"-",$J225&lt;&gt;""),
  shortcut設定!$F$4&amp;"\"&amp;shortcut設定!$F$8&amp;"\"&amp;$J225&amp;"（"&amp;$B225&amp;"）.lnk",
  ""
)</f>
        <v>%USERPROFILE%\AppData\Roaming\Microsoft\Windows\Start Menu\Programs\$QuickAccess\sht（時刻指定シャットダウン）.lnk</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200</v>
      </c>
      <c r="AC225" s="20" t="str">
        <f t="shared" si="29"/>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0"/>
        <v/>
      </c>
      <c r="AH225" s="13" t="str">
        <f t="shared" si="31"/>
        <v/>
      </c>
      <c r="AI225" s="13" t="str">
        <f>IF(
  AND($A225&lt;&gt;"",$Q225&lt;&gt;"-",$Q225&lt;&gt;""),
  (
    """"&amp;shortcut設定!$F$7&amp;""""&amp;
    " """&amp;$Q225&amp;".lnk"""&amp;
    " """&amp;$C225&amp;""""&amp;
    IF($D225="-"," """""," """&amp;$D225&amp;"""")&amp;
    IF($E225="-"," """""," """&amp;$E225&amp;"""")
  ),
  ""
)</f>
        <v/>
      </c>
      <c r="AJ225" s="91" t="s">
        <v>174</v>
      </c>
    </row>
    <row r="226" spans="1:36">
      <c r="A226" s="9" t="s">
        <v>1576</v>
      </c>
      <c r="B226" s="9" t="s">
        <v>1577</v>
      </c>
      <c r="C226" s="9" t="s">
        <v>1578</v>
      </c>
      <c r="D226" s="15" t="s">
        <v>934</v>
      </c>
      <c r="E226" s="26" t="s">
        <v>934</v>
      </c>
      <c r="F226" s="15" t="s">
        <v>0</v>
      </c>
      <c r="G226" s="15" t="s">
        <v>27</v>
      </c>
      <c r="H226" s="9" t="s">
        <v>521</v>
      </c>
      <c r="I226" s="15" t="s">
        <v>934</v>
      </c>
      <c r="J226" s="15" t="s">
        <v>1579</v>
      </c>
      <c r="K226" s="15" t="s">
        <v>934</v>
      </c>
      <c r="L226" s="93" t="s">
        <v>934</v>
      </c>
      <c r="M226" s="94" t="s">
        <v>934</v>
      </c>
      <c r="N226" s="15" t="s">
        <v>934</v>
      </c>
      <c r="O226" s="26" t="s">
        <v>934</v>
      </c>
      <c r="P226" s="157" t="s">
        <v>934</v>
      </c>
      <c r="Q226" s="26" t="s">
        <v>934</v>
      </c>
      <c r="R226" s="9" t="str">
        <f>IF(
  AND(
    $A226&lt;&gt;"",
    COUNTIF(C:C,$A226)&gt;1
  ),
  "★NG★",
  ""
)</f>
        <v/>
      </c>
      <c r="S226" s="9" t="str">
        <f t="shared" si="28"/>
        <v/>
      </c>
      <c r="T226" s="13" t="str">
        <f>IF(
  AND($A226&lt;&gt;"",$I226="○"),
  (
    "mkdir """&amp;V226&amp;""" &amp; "
  )&amp;(
    """"&amp;shortcut設定!$F$7&amp;""""&amp;
    " """&amp;V226&amp;"\"&amp;$A226&amp;"（"&amp;$B226&amp;"）.lnk"""&amp;
    " """&amp;$C226&amp;""""&amp;
    IF($D226="-"," """""," """&amp;$D226&amp;"""")&amp;
    IF($E226="-"," """""," """&amp;$E226&amp;"""")
  ),
  ""
)</f>
        <v/>
      </c>
      <c r="U226" s="9" t="str">
        <f ca="1">IFERROR(
  VLOOKUP(
    $H226,
    shortcut設定!$F:$J,
    MATCH(
      "ProgramsIndex",
      shortcut設定!$F$12:$J$12,
      0
    ),
    FALSE
  ),
  ""
)</f>
        <v>200</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mkdir "%USERPROFILE%\AppData\Roaming\Microsoft\Windows\Start Menu\Programs\$QuickAccess" &amp; "C:\codes\vbs\command\CreateShortcutFile.vbs" "%USERPROFILE%\AppData\Roaming\Microsoft\Windows\Start Menu\Programs\$QuickAccess\sco（遅延退勤）.lnk" "C:\codes\vbs\tools\win\other\ScheduleClockOut.vbs" "" ""</v>
      </c>
      <c r="X226" s="14" t="str">
        <f>IF(
  AND($A226&lt;&gt;"",$J226&lt;&gt;"-",$J226&lt;&gt;""),
  shortcut設定!$F$4&amp;"\"&amp;shortcut設定!$F$8&amp;"\"&amp;$J226&amp;"（"&amp;$B226&amp;"）.lnk",
  ""
)</f>
        <v>%USERPROFILE%\AppData\Roaming\Microsoft\Windows\Start Menu\Programs\$QuickAccess\sco（遅延退勤）.lnk</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200</v>
      </c>
      <c r="AC226" s="20" t="str">
        <f t="shared" si="29"/>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0"/>
        <v/>
      </c>
      <c r="AH226" s="13" t="str">
        <f t="shared" si="31"/>
        <v/>
      </c>
      <c r="AI226" s="13" t="str">
        <f>IF(
  AND($A226&lt;&gt;"",$Q226&lt;&gt;"-",$Q226&lt;&gt;""),
  (
    """"&amp;shortcut設定!$F$7&amp;""""&amp;
    " """&amp;$Q226&amp;".lnk"""&amp;
    " """&amp;$C226&amp;""""&amp;
    IF($D226="-"," """""," """&amp;$D226&amp;"""")&amp;
    IF($E226="-"," """""," """&amp;$E226&amp;"""")
  ),
  ""
)</f>
        <v/>
      </c>
      <c r="AJ226" s="91" t="s">
        <v>174</v>
      </c>
    </row>
    <row r="227" spans="1:36">
      <c r="A227" s="9" t="s">
        <v>1584</v>
      </c>
      <c r="B227" s="9" t="s">
        <v>1585</v>
      </c>
      <c r="C227" s="9" t="s">
        <v>1583</v>
      </c>
      <c r="D227" s="15" t="s">
        <v>39</v>
      </c>
      <c r="E227" s="26" t="s">
        <v>39</v>
      </c>
      <c r="F227" s="15" t="s">
        <v>27</v>
      </c>
      <c r="G227" s="15" t="s">
        <v>0</v>
      </c>
      <c r="H227" s="9" t="s">
        <v>72</v>
      </c>
      <c r="I227" s="15" t="s">
        <v>0</v>
      </c>
      <c r="J227" s="15" t="s">
        <v>39</v>
      </c>
      <c r="K227" s="15" t="s">
        <v>39</v>
      </c>
      <c r="L227" s="93" t="s">
        <v>39</v>
      </c>
      <c r="M227" s="94" t="s">
        <v>39</v>
      </c>
      <c r="N227" s="15" t="s">
        <v>39</v>
      </c>
      <c r="O227" s="26" t="s">
        <v>39</v>
      </c>
      <c r="P227" s="157" t="s">
        <v>39</v>
      </c>
      <c r="Q227" s="26" t="s">
        <v>39</v>
      </c>
      <c r="R227" s="9" t="str">
        <f t="shared" ref="R227:R228" si="32">IF(
  AND(
    $A227&lt;&gt;"",
    COUNTIF(C:C,$A227)&gt;1
  ),
  "★NG★",
  ""
)</f>
        <v/>
      </c>
      <c r="S227" s="9" t="str">
        <f t="shared" ref="S227:S229" si="33">IF(
  OR(
    $H227="",
    $H227="-",
    COUNTIF(カテゴリ,$H227)&gt;0
  ),
  "",
  "★NG★"
)</f>
        <v/>
      </c>
      <c r="T227" s="13" t="str">
        <f ca="1">IF(
  AND($A227&lt;&gt;"",$I227="○"),
  (
    "mkdir """&amp;V227&amp;""" &amp; "
  )&amp;(
    """"&amp;shortcut設定!$F$7&amp;""""&amp;
    " """&amp;V227&amp;"\"&amp;$A227&amp;"（"&amp;$B227&amp;"）.lnk"""&amp;
    " """&amp;$C227&amp;""""&amp;
    IF($D227="-"," """""," """&amp;$D227&amp;"""")&amp;
    IF($E227="-"," """""," """&amp;$E227&amp;"""")
  ),
  ""
)</f>
        <v>mkdir "%USERPROFILE%\AppData\Roaming\Microsoft\Windows\Start Menu\Programs\171_Utility_System" &amp; "C:\codes\vbs\command\CreateShortcutFile.vbs" "%USERPROFILE%\AppData\Roaming\Microsoft\Windows\Start Menu\Programs\171_Utility_System\FILCOAssist（キー置き換え）.lnk" "C:\Program Files (x86)\FILCO Assist\FilcoAssistUI.exe" "" ""</v>
      </c>
      <c r="U227" s="9" t="str">
        <f ca="1">IFERROR(
  VLOOKUP(
    $H227,
    shortcut設定!$F:$J,
    MATCH(
      "ProgramsIndex",
      shortcut設定!$F$12:$J$12,
      0
    ),
    FALSE
  ),
  ""
)</f>
        <v>171</v>
      </c>
      <c r="V227" s="13" t="str">
        <f ca="1">IF(
  AND($A227&lt;&gt;"",$I227="○"),
  shortcut設定!$F$4&amp;"\"&amp;U227&amp;"_"&amp;H227,
  ""
)</f>
        <v>%USERPROFILE%\AppData\Roaming\Microsoft\Windows\Start Menu\Programs\171_Utility_System</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171</v>
      </c>
      <c r="AC227" s="20" t="str">
        <f t="shared" ref="AC227:AC229" si="34">IF(AND($M227&lt;&gt;"",$M227&lt;&gt;"-")," (&amp;"&amp;$M227&amp;")","")</f>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ref="AG227:AG229" si="35">IF(
  AND($A227&lt;&gt;"",$O227&lt;&gt;"-",$O227&lt;&gt;""),
  (
    "schtasks /create /tn """&amp;$O227&amp;""" /tr """&amp;$C227&amp;""" /sc daily /st "&amp;$P227&amp;" /rl highest"
  ),
  ""
)</f>
        <v/>
      </c>
      <c r="AH227" s="13" t="str">
        <f t="shared" ref="AH227:AH229" si="36">IF(
  AND($A227&lt;&gt;"",$O227&lt;&gt;"-",$O227&lt;&gt;""),
  (
    "schtasks /delete /tn """&amp;$O227&amp;""""
  ),
  ""
)</f>
        <v/>
      </c>
      <c r="AI227" s="13" t="str">
        <f>IF(
  AND($A227&lt;&gt;"",$Q227&lt;&gt;"-",$Q227&lt;&gt;""),
  (
    """"&amp;shortcut設定!$F$7&amp;""""&amp;
    " """&amp;$Q227&amp;".lnk"""&amp;
    " """&amp;$C227&amp;""""&amp;
    IF($D227="-"," """""," """&amp;$D227&amp;"""")&amp;
    IF($E227="-"," """""," """&amp;$E227&amp;"""")
  ),
  ""
)</f>
        <v/>
      </c>
      <c r="AJ227" s="91" t="s">
        <v>174</v>
      </c>
    </row>
    <row r="228" spans="1:36">
      <c r="A228" s="9"/>
      <c r="B228" s="9"/>
      <c r="C228" s="9"/>
      <c r="D228" s="15"/>
      <c r="E228" s="26"/>
      <c r="F228" s="15"/>
      <c r="G228" s="15"/>
      <c r="H228" s="9"/>
      <c r="I228" s="15"/>
      <c r="J228" s="15"/>
      <c r="K228" s="15"/>
      <c r="L228" s="93"/>
      <c r="M228" s="94"/>
      <c r="N228" s="15"/>
      <c r="O228" s="26"/>
      <c r="P228" s="157"/>
      <c r="Q228" s="26"/>
      <c r="R228" s="9" t="str">
        <f t="shared" si="32"/>
        <v/>
      </c>
      <c r="S228" s="9" t="str">
        <f t="shared" si="33"/>
        <v/>
      </c>
      <c r="T228" s="13" t="str">
        <f>IF(
  AND($A228&lt;&gt;"",$I228="○"),
  (
    "mkdir """&amp;V228&amp;""" &amp; "
  )&amp;(
    """"&amp;shortcut設定!$F$7&amp;""""&amp;
    " """&amp;V228&amp;"\"&amp;$A228&amp;"（"&amp;$B228&amp;"）.lnk"""&amp;
    " """&amp;$C228&amp;""""&amp;
    IF($D228="-"," """""," """&amp;$D228&amp;"""")&amp;
    IF($E228="-"," """""," """&amp;$E228&amp;"""")
  ),
  ""
)</f>
        <v/>
      </c>
      <c r="U228" s="9" t="str">
        <f>IFERROR(
  VLOOKUP(
    $H228,
    shortcut設定!$F:$J,
    MATCH(
      "ProgramsIndex",
      shortcut設定!$F$12:$J$12,
      0
    ),
    FALSE
  ),
  ""
)</f>
        <v/>
      </c>
      <c r="V228" s="13" t="str">
        <f>IF(
  AND($A228&lt;&gt;"",$I228="○"),
  shortcut設定!$F$4&amp;"\"&amp;U228&amp;"_"&amp;H228,
  ""
)</f>
        <v/>
      </c>
      <c r="W228" s="13" t="str">
        <f>IF(
  AND($A228&lt;&gt;"",$J228&lt;&gt;"-",$J228&lt;&gt;""),
  (
    "mkdir """&amp;shortcut設定!$F$4&amp;"\"&amp;shortcut設定!$F$8&amp;""" &amp; "
  )&amp;(
    """"&amp;shortcut設定!$F$7&amp;""""&amp;
    " """&amp;$X228&amp;""""&amp;
    " """&amp;$C228&amp;""""&amp;
    IF($D228="-"," """""," """&amp;$D228&amp;"""")&amp;
    IF($E228="-"," """""," """&amp;$E228&amp;"""")
  ),
  ""
)</f>
        <v/>
      </c>
      <c r="X228" s="14" t="str">
        <f>IF(
  AND($A228&lt;&gt;"",$J228&lt;&gt;"-",$J228&lt;&gt;""),
  shortcut設定!$F$4&amp;"\"&amp;shortcut設定!$F$8&amp;"\"&amp;$J228&amp;"（"&amp;$B228&amp;"）.lnk",
  ""
)</f>
        <v/>
      </c>
      <c r="Y228" s="13" t="str">
        <f>IF(
  AND($A228&lt;&gt;"",$K228&lt;&gt;"-",$K228&lt;&gt;""),
  (
    "mkdir """&amp;shortcut設定!$F$4&amp;"\"&amp;shortcut設定!$F$9&amp;""" &amp; "
  )&amp;(
    """"&amp;shortcut設定!$F$7&amp;""""&amp;
    " """&amp;$Z228&amp;""""&amp;
    " """&amp;$C228&amp;""""&amp;
    IF($D228="-"," """""," """&amp;$D228&amp;"""")&amp;
    IF($E228="-"," """""," """&amp;$E228&amp;"""")&amp;
    IF($K228="-"," """""," """&amp;$K228&amp;"""")
  ),
  ""
)</f>
        <v/>
      </c>
      <c r="Z228" s="14" t="str">
        <f>IF(
  AND($A228&lt;&gt;"",$K228&lt;&gt;"-",$K228&lt;&gt;""),
  shortcut設定!$F$4&amp;"\"&amp;shortcut設定!$F$9&amp;"\"&amp;$A228&amp;"（"&amp;$B228&amp;"）.lnk",
  ""
)</f>
        <v/>
      </c>
      <c r="AA228" s="13" t="str">
        <f>IF(
  AND($A228&lt;&gt;"",$L228&lt;&gt;"-",$L228&lt;&gt;""),
  (
    """"&amp;shortcut設定!$F$7&amp;""""&amp;
    " """&amp;$AD228&amp;""""&amp;
    " """&amp;$C228&amp;""""&amp;
    IF($D228="-"," """""," """&amp;$D228&amp;"""")&amp;
    IF($E228="-"," """""," """&amp;$E228&amp;"""")
  ),
  ""
)</f>
        <v/>
      </c>
      <c r="AB228" s="9" t="str">
        <f>IFERROR(
  VLOOKUP(
    $H228,
    shortcut設定!$F:$J,
    MATCH(
      "ProgramsIndex",
      shortcut設定!$F$12:$J$12,
      0
    ),
    FALSE
  ),
  ""
)</f>
        <v/>
      </c>
      <c r="AC228" s="20" t="str">
        <f t="shared" si="34"/>
        <v/>
      </c>
      <c r="AD228" s="13" t="str">
        <f>IF(
  AND($A228&lt;&gt;"",$L228="○"),
  shortcut設定!$F$5&amp;"\"&amp;AB228&amp;"_"&amp;A228&amp;"（"&amp;B228&amp;"）"&amp;AC228&amp;".lnk",
  ""
)</f>
        <v/>
      </c>
      <c r="AE228" s="13" t="str">
        <f>IF(
  AND($A228&lt;&gt;"",$N228="○"),
  (
    """"&amp;shortcut設定!$F$7&amp;""""&amp;
    " """&amp;$AF228&amp;""""&amp;
    " """&amp;$C228&amp;""""&amp;
    IF($D228="-"," """""," """&amp;$D228&amp;"""")&amp;
    IF($E228="-"," """""," """&amp;$E228&amp;"""")
  ),
  ""
)</f>
        <v/>
      </c>
      <c r="AF228" s="9" t="str">
        <f>IF(
  AND($A228&lt;&gt;"",$N228="○"),
  shortcut設定!$F$6&amp;"\"&amp;A228&amp;"（"&amp;B228&amp;"）.lnk",
  ""
)</f>
        <v/>
      </c>
      <c r="AG228" s="13" t="str">
        <f t="shared" si="35"/>
        <v/>
      </c>
      <c r="AH228" s="13" t="str">
        <f t="shared" si="36"/>
        <v/>
      </c>
      <c r="AI228" s="13" t="str">
        <f>IF(
  AND($A228&lt;&gt;"",$Q228&lt;&gt;"-",$Q228&lt;&gt;""),
  (
    """"&amp;shortcut設定!$F$7&amp;""""&amp;
    " """&amp;$Q228&amp;".lnk"""&amp;
    " """&amp;$C228&amp;""""&amp;
    IF($D228="-"," """""," """&amp;$D228&amp;"""")&amp;
    IF($E228="-"," """""," """&amp;$E228&amp;"""")
  ),
  ""
)</f>
        <v/>
      </c>
      <c r="AJ228" s="91" t="s">
        <v>174</v>
      </c>
    </row>
    <row r="229" spans="1:36">
      <c r="A229" s="9"/>
      <c r="B229" s="9"/>
      <c r="C229" s="9"/>
      <c r="D229" s="15"/>
      <c r="E229" s="26"/>
      <c r="F229" s="15"/>
      <c r="G229" s="15"/>
      <c r="H229" s="9"/>
      <c r="I229" s="15"/>
      <c r="J229" s="15"/>
      <c r="K229" s="15"/>
      <c r="L229" s="93"/>
      <c r="M229" s="94"/>
      <c r="N229" s="15"/>
      <c r="O229" s="26"/>
      <c r="P229" s="157"/>
      <c r="Q229" s="26"/>
      <c r="R229" s="9" t="str">
        <f>IF(
  AND(
    $A229&lt;&gt;"",
    COUNTIF(C:C,$A229)&gt;1
  ),
  "★NG★",
  ""
)</f>
        <v/>
      </c>
      <c r="S229" s="9" t="str">
        <f t="shared" si="33"/>
        <v/>
      </c>
      <c r="T229" s="13" t="str">
        <f>IF(
  AND($A229&lt;&gt;"",$I229="○"),
  (
    "mkdir """&amp;V229&amp;""" &amp; "
  )&amp;(
    """"&amp;shortcut設定!$F$7&amp;""""&amp;
    " """&amp;V229&amp;"\"&amp;$A229&amp;"（"&amp;$B229&amp;"）.lnk"""&amp;
    " """&amp;$C229&amp;""""&amp;
    IF($D229="-"," """""," """&amp;$D229&amp;"""")&amp;
    IF($E229="-"," """""," """&amp;$E229&amp;"""")
  ),
  ""
)</f>
        <v/>
      </c>
      <c r="U229" s="9" t="str">
        <f>IFERROR(
  VLOOKUP(
    $H229,
    shortcut設定!$F:$J,
    MATCH(
      "ProgramsIndex",
      shortcut設定!$F$12:$J$12,
      0
    ),
    FALSE
  ),
  ""
)</f>
        <v/>
      </c>
      <c r="V229" s="13" t="str">
        <f>IF(
  AND($A229&lt;&gt;"",$I229="○"),
  shortcut設定!$F$4&amp;"\"&amp;U229&amp;"_"&amp;H229,
  ""
)</f>
        <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IFERROR(
  VLOOKUP(
    $H229,
    shortcut設定!$F:$J,
    MATCH(
      "ProgramsIndex",
      shortcut設定!$F$12:$J$12,
      0
    ),
    FALSE
  ),
  ""
)</f>
        <v/>
      </c>
      <c r="AC229" s="20" t="str">
        <f t="shared" si="34"/>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si="35"/>
        <v/>
      </c>
      <c r="AH229" s="13" t="str">
        <f t="shared" si="36"/>
        <v/>
      </c>
      <c r="AI229" s="13" t="str">
        <f>IF(
  AND($A229&lt;&gt;"",$Q229&lt;&gt;"-",$Q229&lt;&gt;""),
  (
    """"&amp;shortcut設定!$F$7&amp;""""&amp;
    " """&amp;$Q229&amp;".lnk"""&amp;
    " """&amp;$C229&amp;""""&amp;
    IF($D229="-"," """""," """&amp;$D229&amp;"""")&amp;
    IF($E229="-"," """""," """&amp;$E229&amp;"""")
  ),
  ""
)</f>
        <v/>
      </c>
      <c r="AJ229" s="91" t="s">
        <v>174</v>
      </c>
    </row>
    <row r="230" spans="1:36" ht="1.5" customHeight="1">
      <c r="A230" s="16"/>
      <c r="B230" s="16"/>
      <c r="C230" s="16"/>
      <c r="D230" s="16"/>
      <c r="E230" s="16"/>
      <c r="F230" s="16"/>
      <c r="G230" s="16"/>
      <c r="H230" s="16"/>
      <c r="I230" s="16"/>
      <c r="J230" s="16"/>
      <c r="K230" s="16"/>
      <c r="L230" s="17"/>
      <c r="M230" s="18"/>
      <c r="N230" s="16"/>
      <c r="O230" s="16"/>
      <c r="P230" s="158"/>
      <c r="Q230" s="96"/>
      <c r="R230" s="16"/>
      <c r="S230" s="16"/>
      <c r="T230" s="17"/>
      <c r="U230" s="16"/>
      <c r="V230" s="17"/>
      <c r="W230" s="17"/>
      <c r="X230" s="18"/>
      <c r="Y230" s="17"/>
      <c r="Z230" s="18"/>
      <c r="AA230" s="17"/>
      <c r="AB230" s="16"/>
      <c r="AC230" s="90"/>
      <c r="AD230" s="17"/>
      <c r="AE230" s="17"/>
      <c r="AF230" s="16"/>
      <c r="AG230" s="17"/>
      <c r="AH230" s="17"/>
      <c r="AI230" s="17"/>
      <c r="AJ230" s="91" t="s">
        <v>174</v>
      </c>
    </row>
    <row r="232" spans="1:36">
      <c r="A232" s="9" t="s">
        <v>648</v>
      </c>
      <c r="B232" s="9" t="s">
        <v>785</v>
      </c>
      <c r="C232" s="9" t="s">
        <v>161</v>
      </c>
      <c r="D232" s="15" t="s">
        <v>39</v>
      </c>
      <c r="E232" s="26" t="s">
        <v>39</v>
      </c>
      <c r="F232" s="15" t="s">
        <v>166</v>
      </c>
      <c r="G232" s="15" t="s">
        <v>149</v>
      </c>
      <c r="H232" s="9" t="s">
        <v>79</v>
      </c>
      <c r="I232" s="15" t="s">
        <v>841</v>
      </c>
      <c r="J232" s="15" t="s">
        <v>64</v>
      </c>
      <c r="K232" s="15" t="s">
        <v>64</v>
      </c>
      <c r="L232" s="93" t="s">
        <v>64</v>
      </c>
      <c r="M232" s="94" t="s">
        <v>545</v>
      </c>
      <c r="N232" s="15" t="s">
        <v>64</v>
      </c>
      <c r="O232" s="26" t="s">
        <v>1230</v>
      </c>
      <c r="P232" s="157" t="s">
        <v>1230</v>
      </c>
      <c r="Q232" s="26" t="s">
        <v>935</v>
      </c>
      <c r="R232" s="9" t="str">
        <f>IF(
  AND(
    $A232&lt;&gt;"",
    COUNTIF(C:C,$A232)&gt;1
  ),
  "★NG★",
  ""
)</f>
        <v/>
      </c>
      <c r="S232" s="9" t="str">
        <f t="shared" ref="S232:S237" si="37">IF(
  OR(
    $H232="",
    $H232="-",
    COUNTIF(カテゴリ,$H232)&gt;0
  ),
  "",
  "★NG★"
)</f>
        <v/>
      </c>
      <c r="T232" s="13" t="str">
        <f ca="1">IF(
  AND($A232&lt;&gt;"",$I232="○"),
  (
    "mkdir """&amp;V232&amp;""" &amp; "
  )&amp;(
    """"&amp;shortcut設定!$F$7&amp;""""&amp;
    " """&amp;V232&amp;"\"&amp;$A232&amp;"（"&amp;$B232&amp;"）.lnk"""&amp;
    " """&amp;$C232&amp;""""&amp;
    IF($D232="-"," """""," """&amp;$D232&amp;"""")&amp;
    IF($E232="-"," """""," """&amp;$E232&amp;"""")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2" s="9" t="str">
        <f ca="1">IFERROR(
  VLOOKUP(
    $H232,
    shortcut設定!$F:$J,
    MATCH(
      "ProgramsIndex",
      shortcut設定!$F$12:$J$12,
      0
    ),
    FALSE
  ),
  ""
)</f>
        <v>153</v>
      </c>
      <c r="V232" s="13" t="str">
        <f ca="1">IF(
  AND($A232&lt;&gt;"",$I232="○"),
  shortcut設定!$F$4&amp;"\"&amp;U232&amp;"_"&amp;H232,
  ""
)</f>
        <v>%USERPROFILE%\AppData\Roaming\Microsoft\Windows\Start Menu\Programs\153_Picture_Edit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153</v>
      </c>
      <c r="AC232" s="20" t="str">
        <f t="shared" ref="AC232:AC237" si="38">IF(AND($M232&lt;&gt;"",$M232&lt;&gt;"-")," (&amp;"&amp;$M232&amp;")","")</f>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ref="AG232:AG237" si="39">IF(
  AND($A232&lt;&gt;"",$O232&lt;&gt;"-",$O232&lt;&gt;""),
  (
    "schtasks /create /tn """&amp;$O232&amp;""" /tr """&amp;$C232&amp;""" /sc daily /st "&amp;$P232&amp;" /rl highest"
  ),
  ""
)</f>
        <v/>
      </c>
      <c r="AH232" s="13" t="str">
        <f t="shared" ref="AH232:AH237" si="40">IF(
  AND($A232&lt;&gt;"",$O232&lt;&gt;"-",$O232&lt;&gt;""),
  (
    "schtasks /delete /tn """&amp;$O232&amp;""""
  ),
  ""
)</f>
        <v/>
      </c>
      <c r="AI232" s="13" t="str">
        <f>IF(
  AND($A232&lt;&gt;"",$Q232&lt;&gt;"-",$Q232&lt;&gt;""),
  (
    """"&amp;shortcut設定!$F$7&amp;""""&amp;
    " """&amp;$Q232&amp;".lnk"""&amp;
    " """&amp;$C232&amp;""""&amp;
    IF($D232="-"," """""," """&amp;$D232&amp;"""")&amp;
    IF($E232="-"," """""," """&amp;$E232&amp;"""")
  ),
  ""
)</f>
        <v/>
      </c>
      <c r="AJ232" s="91" t="s">
        <v>174</v>
      </c>
    </row>
    <row r="233" spans="1:36">
      <c r="A233" s="9" t="s">
        <v>649</v>
      </c>
      <c r="B233" s="9" t="s">
        <v>786</v>
      </c>
      <c r="C233" s="9" t="s">
        <v>162</v>
      </c>
      <c r="D233" s="15" t="s">
        <v>39</v>
      </c>
      <c r="E233" s="26" t="s">
        <v>39</v>
      </c>
      <c r="F233" s="15" t="s">
        <v>149</v>
      </c>
      <c r="G233" s="15" t="s">
        <v>166</v>
      </c>
      <c r="H233" s="9" t="s">
        <v>69</v>
      </c>
      <c r="I233" s="15" t="s">
        <v>841</v>
      </c>
      <c r="J233" s="15" t="s">
        <v>64</v>
      </c>
      <c r="K233" s="15" t="s">
        <v>64</v>
      </c>
      <c r="L233" s="93" t="s">
        <v>64</v>
      </c>
      <c r="M233" s="94" t="s">
        <v>545</v>
      </c>
      <c r="N233" s="15" t="s">
        <v>64</v>
      </c>
      <c r="O233" s="26" t="s">
        <v>1230</v>
      </c>
      <c r="P233" s="157" t="s">
        <v>1230</v>
      </c>
      <c r="Q233" s="26" t="s">
        <v>935</v>
      </c>
      <c r="R233" s="9" t="str">
        <f>IF(
  AND(
    $A233&lt;&gt;"",
    COUNTIF(C:C,$A233)&gt;1
  ),
  "★NG★",
  ""
)</f>
        <v/>
      </c>
      <c r="S233" s="9" t="str">
        <f t="shared" si="37"/>
        <v/>
      </c>
      <c r="T233" s="13" t="str">
        <f ca="1">IF(
  AND($A233&lt;&gt;"",$I233="○"),
  (
    "mkdir """&amp;V233&amp;""" &amp; "
  )&amp;(
    """"&amp;shortcut設定!$F$7&amp;""""&amp;
    " """&amp;V233&amp;"\"&amp;$A233&amp;"（"&amp;$B233&amp;"）.lnk"""&amp;
    " """&amp;$C233&amp;""""&amp;
    IF($D233="-"," """""," """&amp;$D233&amp;"""")&amp;
    IF($E233="-"," """""," """&amp;$E233&amp;"""")
  ),
  ""
)</f>
        <v>mkdir "%USERPROFILE%\AppData\Roaming\Microsoft\Windows\Start Menu\Programs\161_Network_Global" &amp; "C:\codes\vbs\command\CreateShortcutFile.vbs" "%USERPROFILE%\AppData\Roaming\Microsoft\Windows\Start Menu\Programs\161_Network_Global\VcXsrv（X11サーバー）.lnk" "C:\prg\VcXsrv\xlaunch.exe" "" ""</v>
      </c>
      <c r="U233" s="9" t="str">
        <f ca="1">IFERROR(
  VLOOKUP(
    $H233,
    shortcut設定!$F:$J,
    MATCH(
      "ProgramsIndex",
      shortcut設定!$F$12:$J$12,
      0
    ),
    FALSE
  ),
  ""
)</f>
        <v>161</v>
      </c>
      <c r="V233" s="13" t="str">
        <f ca="1">IF(
  AND($A233&lt;&gt;"",$I233="○"),
  shortcut設定!$F$4&amp;"\"&amp;U233&amp;"_"&amp;H233,
  ""
)</f>
        <v>%USERPROFILE%\AppData\Roaming\Microsoft\Windows\Start Menu\Programs\161_Network_Global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161</v>
      </c>
      <c r="AC233" s="20" t="str">
        <f t="shared" si="38"/>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39"/>
        <v/>
      </c>
      <c r="AH233" s="13" t="str">
        <f t="shared" si="40"/>
        <v/>
      </c>
      <c r="AI233" s="13" t="str">
        <f>IF(
  AND($A233&lt;&gt;"",$Q233&lt;&gt;"-",$Q233&lt;&gt;""),
  (
    """"&amp;shortcut設定!$F$7&amp;""""&amp;
    " """&amp;$Q233&amp;".lnk"""&amp;
    " """&amp;$C233&amp;""""&amp;
    IF($D233="-"," """""," """&amp;$D233&amp;"""")&amp;
    IF($E233="-"," """""," """&amp;$E233&amp;"""")
  ),
  ""
)</f>
        <v/>
      </c>
      <c r="AJ233" s="91" t="s">
        <v>174</v>
      </c>
    </row>
    <row r="234" spans="1:36">
      <c r="A234" s="9" t="s">
        <v>1267</v>
      </c>
      <c r="B234" s="9" t="s">
        <v>1268</v>
      </c>
      <c r="C234" s="9" t="s">
        <v>1266</v>
      </c>
      <c r="D234" s="15" t="s">
        <v>39</v>
      </c>
      <c r="E234" s="26" t="s">
        <v>1269</v>
      </c>
      <c r="F234" s="15" t="s">
        <v>27</v>
      </c>
      <c r="G234" s="15" t="s">
        <v>0</v>
      </c>
      <c r="H234" s="9" t="s">
        <v>68</v>
      </c>
      <c r="I234" s="15" t="s">
        <v>0</v>
      </c>
      <c r="J234" s="15" t="s">
        <v>39</v>
      </c>
      <c r="K234" s="15" t="s">
        <v>39</v>
      </c>
      <c r="L234" s="93" t="s">
        <v>39</v>
      </c>
      <c r="M234" s="94" t="s">
        <v>39</v>
      </c>
      <c r="N234" s="15" t="s">
        <v>934</v>
      </c>
      <c r="O234" s="26" t="s">
        <v>39</v>
      </c>
      <c r="P234" s="157" t="s">
        <v>39</v>
      </c>
      <c r="Q234" s="26" t="s">
        <v>39</v>
      </c>
      <c r="R234" s="9" t="str">
        <f>IF(
  AND(
    $A234&lt;&gt;"",
    COUNTIF(C:C,$A234)&gt;1
  ),
  "★NG★",
  ""
)</f>
        <v/>
      </c>
      <c r="S234" s="9" t="str">
        <f t="shared" si="37"/>
        <v/>
      </c>
      <c r="T234" s="13" t="str">
        <f ca="1">IF(
  AND($A234&lt;&gt;"",$I234="○"),
  (
    "mkdir """&amp;V234&amp;""" &amp; "
  )&amp;(
    """"&amp;shortcut設定!$F$7&amp;""""&amp;
    " """&amp;V234&amp;"\"&amp;$A234&amp;"（"&amp;$B234&amp;"）.lnk"""&amp;
    " """&amp;$C234&amp;""""&amp;
    IF($D234="-"," """""," """&amp;$D234&amp;"""")&amp;
    IF($E234="-"," """""," """&amp;$E234&amp;"""")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4" s="9" t="str">
        <f ca="1">IFERROR(
  VLOOKUP(
    $H234,
    shortcut設定!$F:$J,
    MATCH(
      "ProgramsIndex",
      shortcut設定!$F$12:$J$12,
      0
    ),
    FALSE
  ),
  ""
)</f>
        <v>172</v>
      </c>
      <c r="V234" s="13" t="str">
        <f ca="1">IF(
  AND($A234&lt;&gt;"",$I234="○"),
  shortcut設定!$F$4&amp;"\"&amp;U234&amp;"_"&amp;H234,
  ""
)</f>
        <v>%USERPROFILE%\AppData\Roaming\Microsoft\Windows\Start Menu\Programs\172_Utility_Other</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172</v>
      </c>
      <c r="AC234" s="20" t="str">
        <f t="shared" si="38"/>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39"/>
        <v/>
      </c>
      <c r="AH234" s="13" t="str">
        <f t="shared" si="40"/>
        <v/>
      </c>
      <c r="AI234" s="13" t="str">
        <f>IF(
  AND($A234&lt;&gt;"",$Q234&lt;&gt;"-",$Q234&lt;&gt;""),
  (
    """"&amp;shortcut設定!$F$7&amp;""""&amp;
    " """&amp;$Q234&amp;".lnk"""&amp;
    " """&amp;$C234&amp;""""&amp;
    IF($D234="-"," """""," """&amp;$D234&amp;"""")&amp;
    IF($E234="-"," """""," """&amp;$E234&amp;"""")
  ),
  ""
)</f>
        <v/>
      </c>
      <c r="AJ234" s="91" t="s">
        <v>174</v>
      </c>
    </row>
    <row r="235" spans="1:36">
      <c r="A235" s="9" t="s">
        <v>54</v>
      </c>
      <c r="B235" s="9" t="s">
        <v>783</v>
      </c>
      <c r="C235" s="9" t="s">
        <v>93</v>
      </c>
      <c r="D235" s="15" t="s">
        <v>39</v>
      </c>
      <c r="E235" s="26" t="s">
        <v>39</v>
      </c>
      <c r="F235" s="15" t="s">
        <v>166</v>
      </c>
      <c r="G235" s="15" t="s">
        <v>149</v>
      </c>
      <c r="H235" s="9" t="s">
        <v>82</v>
      </c>
      <c r="I235" s="15" t="s">
        <v>841</v>
      </c>
      <c r="J235" s="15" t="s">
        <v>64</v>
      </c>
      <c r="K235" s="15" t="s">
        <v>64</v>
      </c>
      <c r="L235" s="93" t="s">
        <v>64</v>
      </c>
      <c r="M235" s="94" t="s">
        <v>545</v>
      </c>
      <c r="N235" s="15" t="s">
        <v>64</v>
      </c>
      <c r="O235" s="26" t="s">
        <v>1230</v>
      </c>
      <c r="P235" s="157" t="s">
        <v>1230</v>
      </c>
      <c r="Q235" s="26" t="s">
        <v>935</v>
      </c>
      <c r="R235" s="9" t="str">
        <f>IF(
  AND(
    $A235&lt;&gt;"",
    COUNTIF(C:C,$A235)&gt;1
  ),
  "★NG★",
  ""
)</f>
        <v/>
      </c>
      <c r="S235" s="9" t="str">
        <f t="shared" si="37"/>
        <v/>
      </c>
      <c r="T235" s="13" t="str">
        <f ca="1">IF(
  AND($A235&lt;&gt;"",$I235="○"),
  (
    "mkdir """&amp;V235&amp;""" &amp; "
  )&amp;(
    """"&amp;shortcut設定!$F$7&amp;""""&amp;
    " """&amp;V235&amp;"\"&amp;$A235&amp;"（"&amp;$B235&amp;"）.lnk"""&amp;
    " """&amp;$C235&amp;""""&amp;
    IF($D235="-"," """""," """&amp;$D235&amp;"""")&amp;
    IF($E235="-"," """""," """&amp;$E235&amp;"""")
  ),
  ""
)</f>
        <v>mkdir "%USERPROFILE%\AppData\Roaming\Microsoft\Windows\Start Menu\Programs\143_Movie_Edit" &amp; "C:\codes\vbs\command\CreateShortcutFile.vbs" "%USERPROFILE%\AppData\Roaming\Microsoft\Windows\Start Menu\Programs\143_Movie_Edit\DVD Shrink（DVDリッピング）.lnk" "C:\prg\DVD Shrink\DVD Shrink 3.2.exe" "" ""</v>
      </c>
      <c r="U235" s="9" t="str">
        <f ca="1">IFERROR(
  VLOOKUP(
    $H235,
    shortcut設定!$F:$J,
    MATCH(
      "ProgramsIndex",
      shortcut設定!$F$12:$J$12,
      0
    ),
    FALSE
  ),
  ""
)</f>
        <v>143</v>
      </c>
      <c r="V235" s="13" t="str">
        <f ca="1">IF(
  AND($A235&lt;&gt;"",$I235="○"),
  shortcut設定!$F$4&amp;"\"&amp;U235&amp;"_"&amp;H235,
  ""
)</f>
        <v>%USERPROFILE%\AppData\Roaming\Microsoft\Windows\Start Menu\Programs\143_Movie_Edit</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143</v>
      </c>
      <c r="AC235" s="20" t="str">
        <f t="shared" si="38"/>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39"/>
        <v/>
      </c>
      <c r="AH235" s="13" t="str">
        <f t="shared" si="40"/>
        <v/>
      </c>
      <c r="AI235" s="13" t="str">
        <f>IF(
  AND($A235&lt;&gt;"",$Q235&lt;&gt;"-",$Q235&lt;&gt;""),
  (
    """"&amp;shortcut設定!$F$7&amp;""""&amp;
    " """&amp;$Q235&amp;".lnk"""&amp;
    " """&amp;$C235&amp;""""&amp;
    IF($D235="-"," """""," """&amp;$D235&amp;"""")&amp;
    IF($E235="-"," """""," """&amp;$E235&amp;"""")
  ),
  ""
)</f>
        <v/>
      </c>
      <c r="AJ235" s="91" t="s">
        <v>174</v>
      </c>
    </row>
    <row r="236" spans="1:36">
      <c r="A236" s="9" t="s">
        <v>646</v>
      </c>
      <c r="B236" s="9" t="s">
        <v>781</v>
      </c>
      <c r="C236" s="9" t="s">
        <v>156</v>
      </c>
      <c r="D236" s="15" t="s">
        <v>39</v>
      </c>
      <c r="E236" s="26" t="s">
        <v>39</v>
      </c>
      <c r="F236" s="15" t="s">
        <v>166</v>
      </c>
      <c r="G236" s="15" t="s">
        <v>149</v>
      </c>
      <c r="H236" s="9" t="s">
        <v>85</v>
      </c>
      <c r="I236" s="15" t="s">
        <v>841</v>
      </c>
      <c r="J236" s="15" t="s">
        <v>64</v>
      </c>
      <c r="K236" s="15" t="s">
        <v>64</v>
      </c>
      <c r="L236" s="93" t="s">
        <v>64</v>
      </c>
      <c r="M236" s="94" t="s">
        <v>545</v>
      </c>
      <c r="N236" s="15" t="s">
        <v>64</v>
      </c>
      <c r="O236" s="26" t="s">
        <v>1230</v>
      </c>
      <c r="P236" s="157" t="s">
        <v>1230</v>
      </c>
      <c r="Q236" s="26" t="s">
        <v>935</v>
      </c>
      <c r="R236" s="9" t="str">
        <f>IF(
  AND(
    $A236&lt;&gt;"",
    COUNTIF(C:C,$A236)&gt;1
  ),
  "★NG★",
  ""
)</f>
        <v/>
      </c>
      <c r="S236" s="9" t="str">
        <f t="shared" si="37"/>
        <v/>
      </c>
      <c r="T236" s="13" t="str">
        <f ca="1">IF(
  AND($A236&lt;&gt;"",$I236="○"),
  (
    "mkdir """&amp;V236&amp;""" &amp; "
  )&amp;(
    """"&amp;shortcut設定!$F$7&amp;""""&amp;
    " """&amp;V236&amp;"\"&amp;$A236&amp;"（"&amp;$B236&amp;"）.lnk"""&amp;
    " """&amp;$C236&amp;""""&amp;
    IF($D236="-"," """""," """&amp;$D236&amp;"""")&amp;
    IF($E236="-"," """""," """&amp;$E236&amp;"""")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6" s="9" t="str">
        <f ca="1">IFERROR(
  VLOOKUP(
    $H236,
    shortcut設定!$F:$J,
    MATCH(
      "ProgramsIndex",
      shortcut設定!$F$12:$J$12,
      0
    ),
    FALSE
  ),
  ""
)</f>
        <v>162</v>
      </c>
      <c r="V236" s="13" t="str">
        <f ca="1">IF(
  AND($A236&lt;&gt;"",$I236="○"),
  shortcut設定!$F$4&amp;"\"&amp;U236&amp;"_"&amp;H236,
  ""
)</f>
        <v>%USERPROFILE%\AppData\Roaming\Microsoft\Windows\Start Menu\Programs\162_Network_Local</v>
      </c>
      <c r="W236" s="13" t="str">
        <f>IF(
  AND($A236&lt;&gt;"",$J236&lt;&gt;"-",$J236&lt;&gt;""),
  (
    "mkdir """&amp;shortcut設定!$F$4&amp;"\"&amp;shortcut設定!$F$8&amp;""" &amp; "
  )&amp;(
    """"&amp;shortcut設定!$F$7&amp;""""&amp;
    " """&amp;$X236&amp;""""&amp;
    " """&amp;$C236&amp;""""&amp;
    IF($D236="-"," """""," """&amp;$D236&amp;"""")&amp;
    IF($E236="-"," """""," """&amp;$E236&amp;"""")
  ),
  ""
)</f>
        <v/>
      </c>
      <c r="X236" s="14" t="str">
        <f>IF(
  AND($A236&lt;&gt;"",$J236&lt;&gt;"-",$J236&lt;&gt;""),
  shortcut設定!$F$4&amp;"\"&amp;shortcut設定!$F$8&amp;"\"&amp;$J236&amp;"（"&amp;$B236&amp;"）.lnk",
  ""
)</f>
        <v/>
      </c>
      <c r="Y236" s="13" t="str">
        <f>IF(
  AND($A236&lt;&gt;"",$K236&lt;&gt;"-",$K236&lt;&gt;""),
  (
    "mkdir """&amp;shortcut設定!$F$4&amp;"\"&amp;shortcut設定!$F$9&amp;""" &amp; "
  )&amp;(
    """"&amp;shortcut設定!$F$7&amp;""""&amp;
    " """&amp;$Z236&amp;""""&amp;
    " """&amp;$C236&amp;""""&amp;
    IF($D236="-"," """""," """&amp;$D236&amp;"""")&amp;
    IF($E236="-"," """""," """&amp;$E236&amp;"""")&amp;
    IF($K236="-"," """""," """&amp;$K236&amp;"""")
  ),
  ""
)</f>
        <v/>
      </c>
      <c r="Z236" s="14" t="str">
        <f>IF(
  AND($A236&lt;&gt;"",$K236&lt;&gt;"-",$K236&lt;&gt;""),
  shortcut設定!$F$4&amp;"\"&amp;shortcut設定!$F$9&amp;"\"&amp;$A236&amp;"（"&amp;$B236&amp;"）.lnk",
  ""
)</f>
        <v/>
      </c>
      <c r="AA236" s="13" t="str">
        <f>IF(
  AND($A236&lt;&gt;"",$L236&lt;&gt;"-",$L236&lt;&gt;""),
  (
    """"&amp;shortcut設定!$F$7&amp;""""&amp;
    " """&amp;$AD236&amp;""""&amp;
    " """&amp;$C236&amp;""""&amp;
    IF($D236="-"," """""," """&amp;$D236&amp;"""")&amp;
    IF($E236="-"," """""," """&amp;$E236&amp;"""")
  ),
  ""
)</f>
        <v/>
      </c>
      <c r="AB236" s="9" t="str">
        <f ca="1">IFERROR(
  VLOOKUP(
    $H236,
    shortcut設定!$F:$J,
    MATCH(
      "ProgramsIndex",
      shortcut設定!$F$12:$J$12,
      0
    ),
    FALSE
  ),
  ""
)</f>
        <v>162</v>
      </c>
      <c r="AC236" s="20" t="str">
        <f t="shared" si="38"/>
        <v/>
      </c>
      <c r="AD236" s="13" t="str">
        <f>IF(
  AND($A236&lt;&gt;"",$L236="○"),
  shortcut設定!$F$5&amp;"\"&amp;AB236&amp;"_"&amp;A236&amp;"（"&amp;B236&amp;"）"&amp;AC236&amp;".lnk",
  ""
)</f>
        <v/>
      </c>
      <c r="AE236" s="13" t="str">
        <f>IF(
  AND($A236&lt;&gt;"",$N236="○"),
  (
    """"&amp;shortcut設定!$F$7&amp;""""&amp;
    " """&amp;$AF236&amp;""""&amp;
    " """&amp;$C236&amp;""""&amp;
    IF($D236="-"," """""," """&amp;$D236&amp;"""")&amp;
    IF($E236="-"," """""," """&amp;$E236&amp;"""")
  ),
  ""
)</f>
        <v/>
      </c>
      <c r="AF236" s="9" t="str">
        <f>IF(
  AND($A236&lt;&gt;"",$N236="○"),
  shortcut設定!$F$6&amp;"\"&amp;A236&amp;"（"&amp;B236&amp;"）.lnk",
  ""
)</f>
        <v/>
      </c>
      <c r="AG236" s="13" t="str">
        <f t="shared" si="39"/>
        <v/>
      </c>
      <c r="AH236" s="13" t="str">
        <f t="shared" si="40"/>
        <v/>
      </c>
      <c r="AI236" s="13" t="str">
        <f>IF(
  AND($A236&lt;&gt;"",$Q236&lt;&gt;"-",$Q236&lt;&gt;""),
  (
    """"&amp;shortcut設定!$F$7&amp;""""&amp;
    " """&amp;$Q236&amp;".lnk"""&amp;
    " """&amp;$C236&amp;""""&amp;
    IF($D236="-"," """""," """&amp;$D236&amp;"""")&amp;
    IF($E236="-"," """""," """&amp;$E236&amp;"""")
  ),
  ""
)</f>
        <v/>
      </c>
      <c r="AJ236" s="91" t="s">
        <v>174</v>
      </c>
    </row>
    <row r="237" spans="1:36">
      <c r="A237" s="9" t="s">
        <v>1153</v>
      </c>
      <c r="B237" s="9" t="s">
        <v>1154</v>
      </c>
      <c r="C237" s="9" t="s">
        <v>1152</v>
      </c>
      <c r="D237" s="15" t="s">
        <v>934</v>
      </c>
      <c r="E237" s="26" t="s">
        <v>39</v>
      </c>
      <c r="F237" s="15" t="s">
        <v>27</v>
      </c>
      <c r="G237" s="15" t="s">
        <v>0</v>
      </c>
      <c r="H237" s="9" t="s">
        <v>69</v>
      </c>
      <c r="I237" s="15" t="s">
        <v>0</v>
      </c>
      <c r="J237" s="15" t="s">
        <v>934</v>
      </c>
      <c r="K237" s="15" t="s">
        <v>934</v>
      </c>
      <c r="L237" s="93" t="s">
        <v>934</v>
      </c>
      <c r="M237" s="94" t="s">
        <v>934</v>
      </c>
      <c r="N237" s="15" t="s">
        <v>934</v>
      </c>
      <c r="O237" s="26" t="s">
        <v>1230</v>
      </c>
      <c r="P237" s="157" t="s">
        <v>1230</v>
      </c>
      <c r="Q237" s="26" t="s">
        <v>39</v>
      </c>
      <c r="R237" s="9" t="str">
        <f>IF(
  AND(
    $A237&lt;&gt;"",
    COUNTIF(C:C,$A237)&gt;1
  ),
  "★NG★",
  ""
)</f>
        <v/>
      </c>
      <c r="S237" s="9" t="str">
        <f t="shared" si="37"/>
        <v/>
      </c>
      <c r="T237" s="13" t="str">
        <f ca="1">IF(
  AND($A237&lt;&gt;"",$I237="○"),
  (
    "mkdir """&amp;V237&amp;""" &amp; "
  )&amp;(
    """"&amp;shortcut設定!$F$7&amp;""""&amp;
    " """&amp;V237&amp;"\"&amp;$A237&amp;"（"&amp;$B237&amp;"）.lnk"""&amp;
    " """&amp;$C237&amp;""""&amp;
    IF($D237="-"," """""," """&amp;$D237&amp;"""")&amp;
    IF($E237="-"," """""," """&amp;$E237&amp;"""")
  ),
  ""
)</f>
        <v>mkdir "%USERPROFILE%\AppData\Roaming\Microsoft\Windows\Start Menu\Programs\161_Network_Global" &amp; "C:\codes\vbs\command\CreateShortcutFile.vbs" "%USERPROFILE%\AppData\Roaming\Microsoft\Windows\Start Menu\Programs\161_Network_Global\Steam（ゲーム）.lnk" "C:\prg\Steam\steam.exe" "" ""</v>
      </c>
      <c r="U237" s="9" t="str">
        <f ca="1">IFERROR(
  VLOOKUP(
    $H237,
    shortcut設定!$F:$J,
    MATCH(
      "ProgramsIndex",
      shortcut設定!$F$12:$J$12,
      0
    ),
    FALSE
  ),
  ""
)</f>
        <v>161</v>
      </c>
      <c r="V237" s="13" t="str">
        <f ca="1">IF(
  AND($A237&lt;&gt;"",$I237="○"),
  shortcut設定!$F$4&amp;"\"&amp;U237&amp;"_"&amp;H237,
  ""
)</f>
        <v>%USERPROFILE%\AppData\Roaming\Microsoft\Windows\Start Menu\Programs\161_Network_Global</v>
      </c>
      <c r="W237" s="13" t="str">
        <f>IF(
  AND($A237&lt;&gt;"",$J237&lt;&gt;"-",$J237&lt;&gt;""),
  (
    "mkdir """&amp;shortcut設定!$F$4&amp;"\"&amp;shortcut設定!$F$8&amp;""" &amp; "
  )&amp;(
    """"&amp;shortcut設定!$F$7&amp;""""&amp;
    " """&amp;$X237&amp;""""&amp;
    " """&amp;$C237&amp;""""&amp;
    IF($D237="-"," """""," """&amp;$D237&amp;"""")&amp;
    IF($E237="-"," """""," """&amp;$E237&amp;"""")
  ),
  ""
)</f>
        <v/>
      </c>
      <c r="X237" s="14" t="str">
        <f>IF(
  AND($A237&lt;&gt;"",$J237&lt;&gt;"-",$J237&lt;&gt;""),
  shortcut設定!$F$4&amp;"\"&amp;shortcut設定!$F$8&amp;"\"&amp;$J237&amp;"（"&amp;$B237&amp;"）.lnk",
  ""
)</f>
        <v/>
      </c>
      <c r="Y237" s="13" t="str">
        <f>IF(
  AND($A237&lt;&gt;"",$K237&lt;&gt;"-",$K237&lt;&gt;""),
  (
    "mkdir """&amp;shortcut設定!$F$4&amp;"\"&amp;shortcut設定!$F$9&amp;""" &amp; "
  )&amp;(
    """"&amp;shortcut設定!$F$7&amp;""""&amp;
    " """&amp;$Z237&amp;""""&amp;
    " """&amp;$C237&amp;""""&amp;
    IF($D237="-"," """""," """&amp;$D237&amp;"""")&amp;
    IF($E237="-"," """""," """&amp;$E237&amp;"""")&amp;
    IF($K237="-"," """""," """&amp;$K237&amp;"""")
  ),
  ""
)</f>
        <v/>
      </c>
      <c r="Z237" s="14" t="str">
        <f>IF(
  AND($A237&lt;&gt;"",$K237&lt;&gt;"-",$K237&lt;&gt;""),
  shortcut設定!$F$4&amp;"\"&amp;shortcut設定!$F$9&amp;"\"&amp;$A237&amp;"（"&amp;$B237&amp;"）.lnk",
  ""
)</f>
        <v/>
      </c>
      <c r="AA237" s="13" t="str">
        <f>IF(
  AND($A237&lt;&gt;"",$L237&lt;&gt;"-",$L237&lt;&gt;""),
  (
    """"&amp;shortcut設定!$F$7&amp;""""&amp;
    " """&amp;$AD237&amp;""""&amp;
    " """&amp;$C237&amp;""""&amp;
    IF($D237="-"," """""," """&amp;$D237&amp;"""")&amp;
    IF($E237="-"," """""," """&amp;$E237&amp;"""")
  ),
  ""
)</f>
        <v/>
      </c>
      <c r="AB237" s="9" t="str">
        <f ca="1">IFERROR(
  VLOOKUP(
    $H237,
    shortcut設定!$F:$J,
    MATCH(
      "ProgramsIndex",
      shortcut設定!$F$12:$J$12,
      0
    ),
    FALSE
  ),
  ""
)</f>
        <v>161</v>
      </c>
      <c r="AC237" s="20" t="str">
        <f t="shared" si="38"/>
        <v/>
      </c>
      <c r="AD237" s="13" t="str">
        <f>IF(
  AND($A237&lt;&gt;"",$L237="○"),
  shortcut設定!$F$5&amp;"\"&amp;AB237&amp;"_"&amp;A237&amp;"（"&amp;B237&amp;"）"&amp;AC237&amp;".lnk",
  ""
)</f>
        <v/>
      </c>
      <c r="AE237" s="13" t="str">
        <f>IF(
  AND($A237&lt;&gt;"",$N237="○"),
  (
    """"&amp;shortcut設定!$F$7&amp;""""&amp;
    " """&amp;$AF237&amp;""""&amp;
    " """&amp;$C237&amp;""""&amp;
    IF($D237="-"," """""," """&amp;$D237&amp;"""")&amp;
    IF($E237="-"," """""," """&amp;$E237&amp;"""")
  ),
  ""
)</f>
        <v/>
      </c>
      <c r="AF237" s="9" t="str">
        <f>IF(
  AND($A237&lt;&gt;"",$N237="○"),
  shortcut設定!$F$6&amp;"\"&amp;A237&amp;"（"&amp;B237&amp;"）.lnk",
  ""
)</f>
        <v/>
      </c>
      <c r="AG237" s="13" t="str">
        <f t="shared" si="39"/>
        <v/>
      </c>
      <c r="AH237" s="13" t="str">
        <f t="shared" si="40"/>
        <v/>
      </c>
      <c r="AI237" s="13" t="str">
        <f>IF(
  AND($A237&lt;&gt;"",$Q237&lt;&gt;"-",$Q237&lt;&gt;""),
  (
    """"&amp;shortcut設定!$F$7&amp;""""&amp;
    " """&amp;$Q237&amp;".lnk"""&amp;
    " """&amp;$C237&amp;""""&amp;
    IF($D237="-"," """""," """&amp;$D237&amp;"""")&amp;
    IF($E237="-"," """""," """&amp;$E237&amp;"""")
  ),
  ""
)</f>
        <v/>
      </c>
      <c r="AJ237" s="91" t="s">
        <v>174</v>
      </c>
    </row>
  </sheetData>
  <autoFilter ref="A9:AJ230" xr:uid="{00000000-0009-0000-0000-000002000000}"/>
  <phoneticPr fontId="2"/>
  <dataValidations count="3">
    <dataValidation type="list" allowBlank="1" showInputMessage="1" showErrorMessage="1" sqref="H232:H237 H11:H229" xr:uid="{00000000-0002-0000-0200-000000000000}">
      <formula1>カテゴリ</formula1>
    </dataValidation>
    <dataValidation type="list" allowBlank="1" showInputMessage="1" showErrorMessage="1" sqref="F232:G237 F11:G229" xr:uid="{00000000-0002-0000-0200-000001000000}">
      <formula1>"○,×"</formula1>
    </dataValidation>
    <dataValidation type="list" allowBlank="1" showInputMessage="1" showErrorMessage="1" sqref="I232:I237 L232:L237 N232:N237 L11:L229 N11:N229 I11:I229" xr:uid="{00000000-0002-0000-0200-000002000000}">
      <formula1>"○,-"</formula1>
    </dataValidation>
  </dataValidations>
  <hyperlinks>
    <hyperlink ref="A138"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6"/>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E25" sqref="E25"/>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1526</v>
      </c>
      <c r="B12" s="1" t="s">
        <v>1</v>
      </c>
      <c r="C12" s="2" t="s">
        <v>149</v>
      </c>
      <c r="D12" s="2" t="s">
        <v>0</v>
      </c>
      <c r="E12" s="2" t="s">
        <v>17</v>
      </c>
      <c r="F12" s="2" t="s">
        <v>0</v>
      </c>
      <c r="G12" s="1" t="s">
        <v>19</v>
      </c>
      <c r="H12" s="1" t="s">
        <v>1520</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9"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1526</v>
      </c>
      <c r="B13" s="1" t="s">
        <v>2</v>
      </c>
      <c r="C13" s="2" t="s">
        <v>149</v>
      </c>
      <c r="D13" s="2" t="s">
        <v>0</v>
      </c>
      <c r="E13" s="2" t="s">
        <v>17</v>
      </c>
      <c r="F13" s="2" t="s">
        <v>0</v>
      </c>
      <c r="G13" s="1" t="s">
        <v>1521</v>
      </c>
      <c r="H13" s="1" t="s">
        <v>1522</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1528</v>
      </c>
      <c r="M13" t="s">
        <v>1277</v>
      </c>
    </row>
    <row r="14" spans="1:13">
      <c r="A14" s="1" t="s">
        <v>1526</v>
      </c>
      <c r="B14" s="1" t="s">
        <v>1525</v>
      </c>
      <c r="C14" s="2" t="s">
        <v>149</v>
      </c>
      <c r="D14" s="2" t="s">
        <v>0</v>
      </c>
      <c r="E14" s="2" t="s">
        <v>17</v>
      </c>
      <c r="F14" s="2" t="s">
        <v>0</v>
      </c>
      <c r="G14" s="1" t="s">
        <v>1524</v>
      </c>
      <c r="H14" s="1" t="s">
        <v>1523</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1529</v>
      </c>
      <c r="M14" t="s">
        <v>28</v>
      </c>
    </row>
    <row r="15" spans="1:13">
      <c r="A15" s="1" t="s">
        <v>1527</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2" si="1">IF(
  F16="○",
  "mklink "&amp;IF(
    E16="folder",
    "/d ",
    ""
  )&amp;""""&amp;G16&amp;""" """&amp;H16&amp;"""",
  ""
)</f>
        <v>mklink /d "C:\root" "%USERPROFILE%\_root"</v>
      </c>
      <c r="M16" t="s">
        <v>1277</v>
      </c>
    </row>
    <row r="17" spans="1:13">
      <c r="A17" s="1" t="s">
        <v>1133</v>
      </c>
      <c r="B17" s="1" t="s">
        <v>1564</v>
      </c>
      <c r="C17" s="2" t="s">
        <v>27</v>
      </c>
      <c r="D17" s="2" t="s">
        <v>149</v>
      </c>
      <c r="E17" s="2" t="s">
        <v>16</v>
      </c>
      <c r="F17" s="2" t="s">
        <v>0</v>
      </c>
      <c r="G17" s="1" t="s">
        <v>1565</v>
      </c>
      <c r="H17" s="1" t="s">
        <v>1566</v>
      </c>
      <c r="I17" s="1" t="str" cm="1">
        <f t="array" ref="I17">IF($F17="○","mkdir """&amp;[2]!getdirpath($H17)&amp;"""","")</f>
        <v>mkdir "C:\codes\vbs\tools\win\file_ope"</v>
      </c>
      <c r="J17" s="1" t="str" cm="1">
        <f t="array" ref="J17">IF(
  $F17="○",
  IF(
    $E17="file",
    "copy """&amp;$G17&amp;""" """&amp;[2]!getdirpath($H17)&amp;"""",
    "robocopy """&amp;$G17&amp;""" """&amp;H17&amp;""" /MIR /XD ""System Volume Information"""
  ),
  ""
)</f>
        <v>copy "C:\root\30_tool\BackUpFiles.bat" "C:\codes\vbs\tools\win\file_ope"</v>
      </c>
      <c r="K17" s="1" t="str">
        <f t="shared" ref="K17" si="2">IF(F17="○","move /Y """&amp;G17&amp;""" """&amp;RIGHT(G17,LEN(G17)-FIND("●",SUBSTITUTE(G17,"\","●",LEN(G17)-LEN(SUBSTITUTE(G17,"\","")))))&amp;"_bak""","")</f>
        <v>move /Y "C:\root\30_tool\BackUpFiles.bat" "BackUpFiles.bat_bak"</v>
      </c>
      <c r="L17" s="1" t="str">
        <f t="shared" si="1"/>
        <v>mklink "C:\root\30_tool\BackUpFiles.bat" "C:\codes\vbs\tools\win\file_ope\BackUpFiles.bat"</v>
      </c>
      <c r="M17" t="s">
        <v>28</v>
      </c>
    </row>
    <row r="18" spans="1:13">
      <c r="A18" s="6" t="s">
        <v>1134</v>
      </c>
      <c r="B18" s="1" t="s">
        <v>34</v>
      </c>
      <c r="C18" s="2" t="s">
        <v>149</v>
      </c>
      <c r="D18" s="2" t="s">
        <v>149</v>
      </c>
      <c r="E18" s="2" t="s">
        <v>17</v>
      </c>
      <c r="F18" s="2" t="s">
        <v>0</v>
      </c>
      <c r="G18" s="1" t="s">
        <v>15</v>
      </c>
      <c r="H18" s="1" t="s">
        <v>5</v>
      </c>
      <c r="I18" s="1" t="str" cm="1">
        <f t="array" ref="I18">IF($F18="○","mkdir """&amp;[2]!getdirpath($H18)&amp;"""","")</f>
        <v>mkdir "C:\codes\vba\excel"</v>
      </c>
      <c r="J18" s="1" t="str" cm="1">
        <f t="array" ref="J18">IF(
  $F18="○",
  IF(
    $E18="file",
    "copy """&amp;$G18&amp;""" """&amp;[2]!getdirpath($H18)&amp;"""",
    "robocopy """&amp;$G18&amp;""" """&amp;H18&amp;""" /MIR /XD ""System Volume Information"""
  ),
  ""
)</f>
        <v>robocopy "%USERPROFILE%\AppData\Roaming\Microsoft\AddIns" "C:\codes\vba\excel\AddIns" /MIR /XD "System Volume Information"</v>
      </c>
      <c r="K18" s="1" t="str">
        <f t="shared" si="0"/>
        <v>move /Y "%USERPROFILE%\AppData\Roaming\Microsoft\AddIns" "AddIns_bak"</v>
      </c>
      <c r="L18" s="1" t="str">
        <f t="shared" si="1"/>
        <v>mklink /d "%USERPROFILE%\AppData\Roaming\Microsoft\AddIns" "C:\codes\vba\excel\AddIns"</v>
      </c>
      <c r="M18" t="s">
        <v>1277</v>
      </c>
    </row>
    <row r="19" spans="1:13">
      <c r="A19" s="6" t="s">
        <v>1134</v>
      </c>
      <c r="B19" s="1" t="s">
        <v>35</v>
      </c>
      <c r="C19" s="2" t="s">
        <v>27</v>
      </c>
      <c r="D19" s="2" t="s">
        <v>27</v>
      </c>
      <c r="E19" s="2" t="s">
        <v>17</v>
      </c>
      <c r="F19" s="2" t="s">
        <v>27</v>
      </c>
      <c r="G19" s="97" t="s">
        <v>947</v>
      </c>
      <c r="H19" s="97" t="s">
        <v>948</v>
      </c>
      <c r="I19" s="97" t="str" cm="1">
        <f t="array" ref="I19">IF($F19="○","mkdir """&amp;[2]!getdirpath($H19)&amp;"""","")</f>
        <v/>
      </c>
      <c r="J19" s="97" t="str" cm="1">
        <f t="array" ref="J19">IF(
  $F19="○",
  IF(
    $E19="file",
    "copy """&amp;$G19&amp;""" """&amp;[2]!getdirpath($H19)&amp;"""",
    "robocopy """&amp;$G19&amp;""" """&amp;H19&amp;""" /MIR /XD ""System Volume Information"""
  ),
  ""
)</f>
        <v/>
      </c>
      <c r="K19" s="97" t="str">
        <f t="shared" si="0"/>
        <v/>
      </c>
      <c r="L19" s="97" t="str">
        <f t="shared" si="1"/>
        <v/>
      </c>
      <c r="M19" t="s">
        <v>1277</v>
      </c>
    </row>
    <row r="20" spans="1:13">
      <c r="A20" s="6" t="s">
        <v>1134</v>
      </c>
      <c r="B20" s="1" t="s">
        <v>36</v>
      </c>
      <c r="C20" s="2" t="s">
        <v>149</v>
      </c>
      <c r="D20" s="2" t="s">
        <v>149</v>
      </c>
      <c r="E20" s="2" t="s">
        <v>17</v>
      </c>
      <c r="F20" s="2" t="s">
        <v>0</v>
      </c>
      <c r="G20" s="1" t="s">
        <v>26</v>
      </c>
      <c r="H20" s="1" t="s">
        <v>25</v>
      </c>
      <c r="I20" s="1" t="str" cm="1">
        <f t="array" ref="I20">IF($F20="○","mkdir """&amp;[2]!getdirpath($H20)&amp;"""","")</f>
        <v>mkdir "C:\codes\vba\outlook"</v>
      </c>
      <c r="J20" s="1" t="str" cm="1">
        <f t="array" ref="J20">IF(
  $F20="○",
  IF(
    $E20="file",
    "copy """&amp;$G20&amp;""" """&amp;[2]!getdirpath($H20)&amp;"""",
    "robocopy """&amp;$G20&amp;""" """&amp;H20&amp;""" /MIR /XD ""System Volume Information"""
  ),
  ""
)</f>
        <v>robocopy "%USERPROFILE%\AppData\Roaming\Microsoft\Outlook" "C:\codes\vba\outlook\AddIns" /MIR /XD "System Volume Information"</v>
      </c>
      <c r="K20" s="1" t="str">
        <f>IF(F20="○","move /Y """&amp;G20&amp;""" """&amp;RIGHT(G20,LEN(G20)-FIND("●",SUBSTITUTE(G20,"\","●",LEN(G20)-LEN(SUBSTITUTE(G20,"\","")))))&amp;"_bak""","")</f>
        <v>move /Y "%USERPROFILE%\AppData\Roaming\Microsoft\Outlook" "Outlook_bak"</v>
      </c>
      <c r="L20" s="1" t="str">
        <f t="shared" si="1"/>
        <v>mklink /d "%USERPROFILE%\AppData\Roaming\Microsoft\Outlook" "C:\codes\vba\outlook\AddIns"</v>
      </c>
      <c r="M20" t="s">
        <v>1277</v>
      </c>
    </row>
    <row r="21" spans="1:13">
      <c r="A21" s="1" t="s">
        <v>157</v>
      </c>
      <c r="B21" s="1" t="s">
        <v>1135</v>
      </c>
      <c r="C21" s="2" t="s">
        <v>149</v>
      </c>
      <c r="D21" s="2" t="s">
        <v>149</v>
      </c>
      <c r="E21" s="2" t="s">
        <v>16</v>
      </c>
      <c r="F21" s="2" t="s">
        <v>0</v>
      </c>
      <c r="G21" s="1" t="s">
        <v>950</v>
      </c>
      <c r="H21" s="1" t="s">
        <v>158</v>
      </c>
      <c r="I21" s="1" t="str" cm="1">
        <f t="array" ref="I21">IF($F21="○","mkdir """&amp;[2]!getdirpath($H21)&amp;"""","")</f>
        <v>mkdir "C:\other\template"</v>
      </c>
      <c r="J21" s="1" t="str" cm="1">
        <f t="array" ref="J21">IF(
  $F21="○",
  IF(
    $E21="file",
    "copy """&amp;$G21&amp;""" """&amp;[2]!getdirpath($H21)&amp;"""",
    "robocopy """&amp;$G21&amp;""" """&amp;H21&amp;""" /MIR /XD ""System Volume Information"""
  ),
  ""
)</f>
        <v>copy "%MYDIRPATH_DOCUMENTS%\個人用図形\fav.vssx" "C:\other\template"</v>
      </c>
      <c r="K21" s="1" t="str">
        <f t="shared" ref="K21:K67" si="3">IF(F21="○","move /Y """&amp;G21&amp;""" """&amp;RIGHT(G21,LEN(G21)-FIND("●",SUBSTITUTE(G21,"\","●",LEN(G21)-LEN(SUBSTITUTE(G21,"\","")))))&amp;"_bak""","")</f>
        <v>move /Y "%MYDIRPATH_DOCUMENTS%\個人用図形\fav.vssx" "fav.vssx_bak"</v>
      </c>
      <c r="L21" s="1" t="str">
        <f t="shared" si="1"/>
        <v>mklink "%MYDIRPATH_DOCUMENTS%\個人用図形\fav.vssx" "C:\other\template\fav.vssx"</v>
      </c>
      <c r="M21" t="s">
        <v>1277</v>
      </c>
    </row>
    <row r="22" spans="1:13">
      <c r="A22" s="6" t="s">
        <v>876</v>
      </c>
      <c r="B22" s="1" t="s">
        <v>37</v>
      </c>
      <c r="C22" s="2" t="s">
        <v>149</v>
      </c>
      <c r="D22" s="2" t="s">
        <v>149</v>
      </c>
      <c r="E22" s="2" t="s">
        <v>17</v>
      </c>
      <c r="F22" s="2" t="s">
        <v>0</v>
      </c>
      <c r="G22" s="172" t="s">
        <v>148</v>
      </c>
      <c r="H22" s="1" t="s">
        <v>9</v>
      </c>
      <c r="I22" s="1" t="str" cm="1">
        <f t="array" ref="I22">IF($F22="○","mkdir """&amp;[2]!getdirpath($H22)&amp;"""","")</f>
        <v>mkdir "C:\codes"</v>
      </c>
      <c r="J22" s="1" t="str" cm="1">
        <f t="array" ref="J22">IF(
  $F22="○",
  IF(
    $E22="file",
    "copy """&amp;$G22&amp;""" """&amp;[2]!getdirpath($H22)&amp;"""",
    "robocopy """&amp;$G22&amp;""" """&amp;H22&amp;""" /MIR /XD ""System Volume Information"""
  ),
  ""
)</f>
        <v>robocopy "C:\prg_exe\Hidemaru\macro" "C:\codes\hmac" /MIR /XD "System Volume Information"</v>
      </c>
      <c r="K22" s="1" t="str">
        <f t="shared" si="3"/>
        <v>move /Y "C:\prg_exe\Hidemaru\macro" "macro_bak"</v>
      </c>
      <c r="L22" s="1" t="str">
        <f t="shared" si="1"/>
        <v>mklink /d "C:\prg_exe\Hidemaru\macro" "C:\codes\hmac"</v>
      </c>
      <c r="M22" t="s">
        <v>1277</v>
      </c>
    </row>
    <row r="23" spans="1:13">
      <c r="A23" s="6" t="s">
        <v>876</v>
      </c>
      <c r="B23" s="1" t="s">
        <v>38</v>
      </c>
      <c r="C23" s="2" t="s">
        <v>149</v>
      </c>
      <c r="D23" s="2" t="s">
        <v>149</v>
      </c>
      <c r="E23" s="2" t="s">
        <v>17</v>
      </c>
      <c r="F23" s="2" t="s">
        <v>0</v>
      </c>
      <c r="G23" s="172" t="s">
        <v>881</v>
      </c>
      <c r="H23" s="1" t="s">
        <v>882</v>
      </c>
      <c r="I23" s="1" t="str" cm="1">
        <f t="array" ref="I23">IF($F23="○","mkdir """&amp;[2]!getdirpath($H23)&amp;"""","")</f>
        <v>mkdir "C:\codes"</v>
      </c>
      <c r="J23" s="1" t="str" cm="1">
        <f t="array" ref="J23">IF(
  $F23="○",
  IF(
    $E23="file",
    "copy """&amp;$G23&amp;""" """&amp;[2]!getdirpath($H23)&amp;"""",
    "robocopy """&amp;$G23&amp;""" """&amp;H23&amp;""" /MIR /XD ""System Volume Information"""
  ),
  ""
)</f>
        <v>robocopy "C:\prg_exe\Hidemaru\setting" "C:\codes\hidemaru" /MIR /XD "System Volume Information"</v>
      </c>
      <c r="K23" s="1" t="str">
        <f t="shared" si="3"/>
        <v>move /Y "C:\prg_exe\Hidemaru\setting" "setting_bak"</v>
      </c>
      <c r="L23" s="1" t="str">
        <f t="shared" si="1"/>
        <v>mklink /d "C:\prg_exe\Hidemaru\setting" "C:\codes\hidemaru"</v>
      </c>
      <c r="M23" t="s">
        <v>1277</v>
      </c>
    </row>
    <row r="24" spans="1:13">
      <c r="A24" s="6" t="s">
        <v>876</v>
      </c>
      <c r="B24" s="1" t="s">
        <v>880</v>
      </c>
      <c r="C24" s="2" t="s">
        <v>149</v>
      </c>
      <c r="D24" s="2" t="s">
        <v>149</v>
      </c>
      <c r="E24" s="2" t="s">
        <v>16</v>
      </c>
      <c r="F24" s="2" t="s">
        <v>0</v>
      </c>
      <c r="G24" s="1" t="s">
        <v>12</v>
      </c>
      <c r="H24" s="1" t="s">
        <v>3</v>
      </c>
      <c r="I24" s="1" t="str" cm="1">
        <f t="array" ref="I24">IF($F24="○","mkdir """&amp;[2]!getdirpath($H24)&amp;"""","")</f>
        <v>mkdir "C:\codes\vim"</v>
      </c>
      <c r="J24" s="1" t="str" cm="1">
        <f t="array" ref="J24">IF(
  $F24="○",
  IF(
    $E24="file",
    "copy """&amp;$G24&amp;""" """&amp;[2]!getdirpath($H24)&amp;"""",
    "robocopy """&amp;$G24&amp;""" """&amp;H24&amp;""" /MIR /XD ""System Volume Information"""
  ),
  ""
)</f>
        <v>copy "C:\prg_exe\Vim\_gvimrc" "C:\codes\vim"</v>
      </c>
      <c r="K24" s="1" t="str">
        <f t="shared" si="3"/>
        <v>move /Y "C:\prg_exe\Vim\_gvimrc" "_gvimrc_bak"</v>
      </c>
      <c r="L24" s="1" t="str">
        <f t="shared" si="1"/>
        <v>mklink "C:\prg_exe\Vim\_gvimrc" "C:\codes\vim\_gvimrc"</v>
      </c>
      <c r="M24" t="s">
        <v>1277</v>
      </c>
    </row>
    <row r="25" spans="1:13">
      <c r="A25" s="6" t="s">
        <v>876</v>
      </c>
      <c r="B25" s="1" t="s">
        <v>879</v>
      </c>
      <c r="C25" s="2" t="s">
        <v>149</v>
      </c>
      <c r="D25" s="2" t="s">
        <v>149</v>
      </c>
      <c r="E25" s="2" t="s">
        <v>16</v>
      </c>
      <c r="F25" s="2" t="s">
        <v>0</v>
      </c>
      <c r="G25" s="1" t="s">
        <v>13</v>
      </c>
      <c r="H25" s="1" t="s">
        <v>4</v>
      </c>
      <c r="I25" s="1" t="str" cm="1">
        <f t="array" ref="I25">IF($F25="○","mkdir """&amp;[2]!getdirpath($H25)&amp;"""","")</f>
        <v>mkdir "C:\codes\vim"</v>
      </c>
      <c r="J25" s="1" t="str" cm="1">
        <f t="array" ref="J25">IF(
  $F25="○",
  IF(
    $E25="file",
    "copy """&amp;$G25&amp;""" """&amp;[2]!getdirpath($H25)&amp;"""",
    "robocopy """&amp;$G25&amp;""" """&amp;H25&amp;""" /MIR /XD ""System Volume Information"""
  ),
  ""
)</f>
        <v>copy "C:\prg_exe\Vim\_vimrc" "C:\codes\vim"</v>
      </c>
      <c r="K25" s="1" t="str">
        <f t="shared" si="3"/>
        <v>move /Y "C:\prg_exe\Vim\_vimrc" "_vimrc_bak"</v>
      </c>
      <c r="L25" s="1" t="str">
        <f t="shared" si="1"/>
        <v>mklink "C:\prg_exe\Vim\_vimrc" "C:\codes\vim\_vimrc"</v>
      </c>
      <c r="M25" t="s">
        <v>1277</v>
      </c>
    </row>
    <row r="26" spans="1:13">
      <c r="A26" s="6" t="s">
        <v>876</v>
      </c>
      <c r="B26" s="1" t="s">
        <v>883</v>
      </c>
      <c r="C26" s="2" t="s">
        <v>149</v>
      </c>
      <c r="D26" s="2" t="s">
        <v>149</v>
      </c>
      <c r="E26" s="2" t="s">
        <v>16</v>
      </c>
      <c r="F26" s="2" t="s">
        <v>0</v>
      </c>
      <c r="G26" s="172" t="s">
        <v>895</v>
      </c>
      <c r="H26" s="1" t="s">
        <v>894</v>
      </c>
      <c r="I26" s="1" t="str" cm="1">
        <f t="array" ref="I26">IF($F26="○","mkdir """&amp;[2]!getdirpath($H26)&amp;"""","")</f>
        <v>mkdir "C:\codes\vim\_plugins_user\bufferlist.vim\plugin"</v>
      </c>
      <c r="J26" s="1" t="str" cm="1">
        <f t="array" ref="J26">IF(
  $F26="○",
  IF(
    $E26="file",
    "copy """&amp;$G26&amp;""" """&amp;[2]!getdirpath($H26)&amp;"""",
    "robocopy """&amp;$G26&amp;""" """&amp;H26&amp;""" /MIR /XD ""System Volume Information"""
  ),
  ""
)</f>
        <v>copy "C:\prg_exe\Vim\_plugins_user\bufferlist.vim\plugin\bufferlist.vim" "C:\codes\vim\_plugins_user\bufferlist.vim\plugin"</v>
      </c>
      <c r="K26" s="1" t="str">
        <f t="shared" si="3"/>
        <v>move /Y "C:\prg_exe\Vim\_plugins_user\bufferlist.vim\plugin\bufferlist.vim" "bufferlist.vim_bak"</v>
      </c>
      <c r="L26" s="1" t="str">
        <f t="shared" si="1"/>
        <v>mklink "C:\prg_exe\Vim\_plugins_user\bufferlist.vim\plugin\bufferlist.vim" "C:\codes\vim\_plugins_user\bufferlist.vim\plugin\bufferlist.vim"</v>
      </c>
      <c r="M26" t="s">
        <v>1277</v>
      </c>
    </row>
    <row r="27" spans="1:13">
      <c r="A27" s="6" t="s">
        <v>876</v>
      </c>
      <c r="B27" s="1" t="s">
        <v>884</v>
      </c>
      <c r="C27" s="2" t="s">
        <v>149</v>
      </c>
      <c r="D27" s="2" t="s">
        <v>149</v>
      </c>
      <c r="E27" s="2" t="s">
        <v>16</v>
      </c>
      <c r="F27" s="2" t="s">
        <v>0</v>
      </c>
      <c r="G27" s="172" t="s">
        <v>896</v>
      </c>
      <c r="H27" s="1" t="s">
        <v>6</v>
      </c>
      <c r="I27" s="1" t="str" cm="1">
        <f t="array" ref="I27">IF($F27="○","mkdir """&amp;[2]!getdirpath($H27)&amp;"""","")</f>
        <v>mkdir "C:\codes\vim\_plugins_user\FavEx\plugin"</v>
      </c>
      <c r="J27" s="1" t="str" cm="1">
        <f t="array" ref="J27">IF(
  $F27="○",
  IF(
    $E27="file",
    "copy """&amp;$G27&amp;""" """&amp;[2]!getdirpath($H27)&amp;"""",
    "robocopy """&amp;$G27&amp;""" """&amp;H27&amp;""" /MIR /XD ""System Volume Information"""
  ),
  ""
)</f>
        <v>copy "C:\prg_exe\Vim\_plugins_user\FavEx\plugin\favex.vim" "C:\codes\vim\_plugins_user\FavEx\plugin"</v>
      </c>
      <c r="K27" s="1" t="str">
        <f t="shared" si="3"/>
        <v>move /Y "C:\prg_exe\Vim\_plugins_user\FavEx\plugin\favex.vim" "favex.vim_bak"</v>
      </c>
      <c r="L27" s="1" t="str">
        <f t="shared" si="1"/>
        <v>mklink "C:\prg_exe\Vim\_plugins_user\FavEx\plugin\favex.vim" "C:\codes\vim\_plugins_user\FavEx\plugin\favex.vim"</v>
      </c>
      <c r="M27" t="s">
        <v>1277</v>
      </c>
    </row>
    <row r="28" spans="1:13">
      <c r="A28" s="6" t="s">
        <v>876</v>
      </c>
      <c r="B28" s="1" t="s">
        <v>885</v>
      </c>
      <c r="C28" s="2" t="s">
        <v>149</v>
      </c>
      <c r="D28" s="2" t="s">
        <v>149</v>
      </c>
      <c r="E28" s="2" t="s">
        <v>16</v>
      </c>
      <c r="F28" s="2" t="s">
        <v>0</v>
      </c>
      <c r="G28" s="172" t="s">
        <v>14</v>
      </c>
      <c r="H28" s="1" t="s">
        <v>7</v>
      </c>
      <c r="I28" s="1" t="str" cm="1">
        <f t="array" ref="I28">IF($F28="○","mkdir """&amp;[2]!getdirpath($H28)&amp;"""","")</f>
        <v>mkdir "C:\codes\vim\_plugins_user\FavEx"</v>
      </c>
      <c r="J28" s="1" t="str" cm="1">
        <f t="array" ref="J28">IF(
  $F28="○",
  IF(
    $E28="file",
    "copy """&amp;$G28&amp;""" """&amp;[2]!getdirpath($H28)&amp;"""",
    "robocopy """&amp;$G28&amp;""" """&amp;H28&amp;""" /MIR /XD ""System Volume Information"""
  ),
  ""
)</f>
        <v>copy "C:\prg_exe\Vim\_plugins_user\FavEx\favlist" "C:\codes\vim\_plugins_user\FavEx"</v>
      </c>
      <c r="K28" s="1" t="str">
        <f t="shared" si="3"/>
        <v>move /Y "C:\prg_exe\Vim\_plugins_user\FavEx\favlist" "favlist_bak"</v>
      </c>
      <c r="L28" s="1" t="str">
        <f t="shared" si="1"/>
        <v>mklink "C:\prg_exe\Vim\_plugins_user\FavEx\favlist" "C:\codes\vim\_plugins_user\FavEx\favlist"</v>
      </c>
      <c r="M28" t="s">
        <v>1277</v>
      </c>
    </row>
    <row r="29" spans="1:13">
      <c r="A29" s="6" t="s">
        <v>876</v>
      </c>
      <c r="B29" s="1" t="s">
        <v>1518</v>
      </c>
      <c r="C29" s="2" t="s">
        <v>149</v>
      </c>
      <c r="D29" s="2" t="s">
        <v>149</v>
      </c>
      <c r="E29" s="2" t="s">
        <v>16</v>
      </c>
      <c r="F29" s="2" t="s">
        <v>0</v>
      </c>
      <c r="G29" s="172" t="s">
        <v>897</v>
      </c>
      <c r="H29" s="1" t="s">
        <v>8</v>
      </c>
      <c r="I29" s="1" t="str" cm="1">
        <f t="array" ref="I29">IF($F29="○","mkdir """&amp;[2]!getdirpath($H29)&amp;"""","")</f>
        <v>mkdir "C:\codes\vim\_plugins_user\jellybeans.vim\colors"</v>
      </c>
      <c r="J29" s="1" t="str" cm="1">
        <f t="array" ref="J29">IF(
  $F29="○",
  IF(
    $E29="file",
    "copy """&amp;$G29&amp;""" """&amp;[2]!getdirpath($H29)&amp;"""",
    "robocopy """&amp;$G29&amp;""" """&amp;H29&amp;""" /MIR /XD ""System Volume Information"""
  ),
  ""
)</f>
        <v>copy "C:\prg_exe\Vim\_plugins_user\jellybeans.vim\colors\jellybeans.vim" "C:\codes\vim\_plugins_user\jellybeans.vim\colors"</v>
      </c>
      <c r="K29" s="1" t="str">
        <f t="shared" si="3"/>
        <v>move /Y "C:\prg_exe\Vim\_plugins_user\jellybeans.vim\colors\jellybeans.vim" "jellybeans.vim_bak"</v>
      </c>
      <c r="L29" s="1" t="str">
        <f t="shared" si="1"/>
        <v>mklink "C:\prg_exe\Vim\_plugins_user\jellybeans.vim\colors\jellybeans.vim" "C:\codes\vim\_plugins_user\jellybeans.vim\colors\jellybeans.vim"</v>
      </c>
      <c r="M29" t="s">
        <v>1277</v>
      </c>
    </row>
    <row r="30" spans="1:13">
      <c r="A30" s="6" t="s">
        <v>876</v>
      </c>
      <c r="B30" s="1" t="s">
        <v>886</v>
      </c>
      <c r="C30" s="2" t="s">
        <v>149</v>
      </c>
      <c r="D30" s="2" t="s">
        <v>149</v>
      </c>
      <c r="E30" s="2" t="s">
        <v>16</v>
      </c>
      <c r="F30" s="2" t="s">
        <v>0</v>
      </c>
      <c r="G30" s="172" t="s">
        <v>898</v>
      </c>
      <c r="H30" s="1" t="s">
        <v>10</v>
      </c>
      <c r="I30" s="1" t="str" cm="1">
        <f t="array" ref="I30">IF($F30="○","mkdir """&amp;[2]!getdirpath($H30)&amp;"""","")</f>
        <v>mkdir "C:\codes\vim\_plugins_user\mark.vim\plugin"</v>
      </c>
      <c r="J30" s="1" t="str" cm="1">
        <f t="array" ref="J30">IF(
  $F30="○",
  IF(
    $E30="file",
    "copy """&amp;$G30&amp;""" """&amp;[2]!getdirpath($H30)&amp;"""",
    "robocopy """&amp;$G30&amp;""" """&amp;H30&amp;""" /MIR /XD ""System Volume Information"""
  ),
  ""
)</f>
        <v>copy "C:\prg_exe\Vim\_plugins_user\mark.vim\plugin\mark.vim" "C:\codes\vim\_plugins_user\mark.vim\plugin"</v>
      </c>
      <c r="K30" s="1" t="str">
        <f t="shared" si="3"/>
        <v>move /Y "C:\prg_exe\Vim\_plugins_user\mark.vim\plugin\mark.vim" "mark.vim_bak"</v>
      </c>
      <c r="L30" s="1" t="str">
        <f t="shared" si="1"/>
        <v>mklink "C:\prg_exe\Vim\_plugins_user\mark.vim\plugin\mark.vim" "C:\codes\vim\_plugins_user\mark.vim\plugin\mark.vim"</v>
      </c>
      <c r="M30" t="s">
        <v>1277</v>
      </c>
    </row>
    <row r="31" spans="1:13">
      <c r="A31" s="6" t="s">
        <v>876</v>
      </c>
      <c r="B31" s="1" t="s">
        <v>887</v>
      </c>
      <c r="C31" s="2" t="s">
        <v>149</v>
      </c>
      <c r="D31" s="2" t="s">
        <v>149</v>
      </c>
      <c r="E31" s="2" t="s">
        <v>16</v>
      </c>
      <c r="F31" s="2" t="s">
        <v>0</v>
      </c>
      <c r="G31" s="172" t="s">
        <v>899</v>
      </c>
      <c r="H31" s="1" t="s">
        <v>11</v>
      </c>
      <c r="I31" s="1" t="str" cm="1">
        <f t="array" ref="I31">IF($F31="○","mkdir """&amp;[2]!getdirpath($H31)&amp;"""","")</f>
        <v>mkdir "C:\codes\vim\_plugins_user\qfixapp\autoload"</v>
      </c>
      <c r="J31" s="1" t="str" cm="1">
        <f t="array" ref="J31">IF(
  $F31="○",
  IF(
    $E31="file",
    "copy """&amp;$G31&amp;""" """&amp;[2]!getdirpath($H31)&amp;"""",
    "robocopy """&amp;$G31&amp;""" """&amp;H31&amp;""" /MIR /XD ""System Volume Information"""
  ),
  ""
)</f>
        <v>copy "C:\prg_exe\Vim\_plugins_user\qfixapp\autoload\qfixgrep.vim" "C:\codes\vim\_plugins_user\qfixapp\autoload"</v>
      </c>
      <c r="K31" s="1" t="str">
        <f t="shared" si="3"/>
        <v>move /Y "C:\prg_exe\Vim\_plugins_user\qfixapp\autoload\qfixgrep.vim" "qfixgrep.vim_bak"</v>
      </c>
      <c r="L31" s="1" t="str">
        <f t="shared" si="1"/>
        <v>mklink "C:\prg_exe\Vim\_plugins_user\qfixapp\autoload\qfixgrep.vim" "C:\codes\vim\_plugins_user\qfixapp\autoload\qfixgrep.vim"</v>
      </c>
      <c r="M31" t="s">
        <v>1277</v>
      </c>
    </row>
    <row r="32" spans="1:13">
      <c r="A32" s="6" t="s">
        <v>876</v>
      </c>
      <c r="B32" s="1" t="s">
        <v>877</v>
      </c>
      <c r="C32" s="2" t="s">
        <v>149</v>
      </c>
      <c r="D32" s="2" t="s">
        <v>149</v>
      </c>
      <c r="E32" s="2" t="s">
        <v>16</v>
      </c>
      <c r="F32" s="2" t="s">
        <v>0</v>
      </c>
      <c r="G32" s="172" t="s">
        <v>152</v>
      </c>
      <c r="H32" s="1" t="s">
        <v>153</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"C:\prg_exe\VSCode\data\user-data\User\keybindings.json" "C:\codes\vscode"</v>
      </c>
      <c r="K32" s="1" t="str">
        <f t="shared" si="3"/>
        <v>move /Y "C:\prg_exe\VSCode\data\user-data\User\keybindings.json" "keybindings.json_bak"</v>
      </c>
      <c r="L32" s="1" t="str">
        <f t="shared" si="1"/>
        <v>mklink "C:\prg_exe\VSCode\data\user-data\User\keybindings.json" "C:\codes\vscode\keybindings.json"</v>
      </c>
      <c r="M32" t="s">
        <v>1277</v>
      </c>
    </row>
    <row r="33" spans="1:13">
      <c r="A33" s="6" t="s">
        <v>876</v>
      </c>
      <c r="B33" s="1" t="s">
        <v>878</v>
      </c>
      <c r="C33" s="2" t="s">
        <v>149</v>
      </c>
      <c r="D33" s="2" t="s">
        <v>149</v>
      </c>
      <c r="E33" s="2" t="s">
        <v>16</v>
      </c>
      <c r="F33" s="2" t="s">
        <v>0</v>
      </c>
      <c r="G33" s="172" t="s">
        <v>154</v>
      </c>
      <c r="H33" s="1" t="s">
        <v>155</v>
      </c>
      <c r="I33" s="1" t="str" cm="1">
        <f t="array" ref="I33">IF($F33="○","mkdir """&amp;[2]!getdirpath($H33)&amp;"""","")</f>
        <v>mkdir "C:\codes\vscode"</v>
      </c>
      <c r="J33" s="1" t="str" cm="1">
        <f t="array" ref="J33">IF(
  $F33="○",
  IF(
    $E33="file",
    "copy """&amp;$G33&amp;""" """&amp;[2]!getdirpath($H33)&amp;"""",
    "robocopy """&amp;$G33&amp;""" """&amp;H33&amp;""" /MIR /XD ""System Volume Information"""
  ),
  ""
)</f>
        <v>copy "C:\prg_exe\VSCode\data\user-data\User\settings.json" "C:\codes\vscode"</v>
      </c>
      <c r="K33" s="1" t="str">
        <f t="shared" si="3"/>
        <v>move /Y "C:\prg_exe\VSCode\data\user-data\User\settings.json" "settings.json_bak"</v>
      </c>
      <c r="L33" s="1" t="str">
        <f t="shared" si="1"/>
        <v>mklink "C:\prg_exe\VSCode\data\user-data\User\settings.json" "C:\codes\vscode\settings.json"</v>
      </c>
      <c r="M33" t="s">
        <v>1277</v>
      </c>
    </row>
    <row r="34" spans="1:13">
      <c r="A34" s="6" t="s">
        <v>876</v>
      </c>
      <c r="B34" s="1" t="s">
        <v>1120</v>
      </c>
      <c r="C34" s="2" t="s">
        <v>149</v>
      </c>
      <c r="D34" s="2" t="s">
        <v>149</v>
      </c>
      <c r="E34" s="2" t="s">
        <v>16</v>
      </c>
      <c r="F34" s="2" t="s">
        <v>0</v>
      </c>
      <c r="G34" s="172" t="s">
        <v>1119</v>
      </c>
      <c r="H34" s="1" t="s">
        <v>1118</v>
      </c>
      <c r="I34" s="1" t="str" cm="1">
        <f t="array" ref="I34">IF($F34="○","mkdir """&amp;[2]!getdirpath($H34)&amp;"""","")</f>
        <v>mkdir "C:\codes\vscode"</v>
      </c>
      <c r="J34" s="1" t="str" cm="1">
        <f t="array" ref="J34">IF(
  $F34="○",
  IF(
    $E34="file",
    "copy """&amp;$G34&amp;""" """&amp;[2]!getdirpath($H34)&amp;"""",
    "robocopy """&amp;$G34&amp;""" """&amp;H34&amp;""" /MIR /XD ""System Volume Information"""
  ),
  ""
)</f>
        <v>copy "C:\prg_exe\VSCode\_update.ps1" "C:\codes\vscode"</v>
      </c>
      <c r="K34" s="1" t="str">
        <f t="shared" si="3"/>
        <v>move /Y "C:\prg_exe\VSCode\_update.ps1" "_update.ps1_bak"</v>
      </c>
      <c r="L34" s="1" t="str">
        <f t="shared" ref="L34:L39" si="4">IF(
  F34="○",
  "mklink "&amp;IF(
    E34="folder",
    "/d ",
    ""
  )&amp;""""&amp;G34&amp;""" """&amp;H34&amp;"""",
  ""
)</f>
        <v>mklink "C:\prg_exe\VSCode\_update.ps1" "C:\codes\vscode\update.ps1"</v>
      </c>
      <c r="M34" t="s">
        <v>1277</v>
      </c>
    </row>
    <row r="35" spans="1:13">
      <c r="A35" s="6" t="s">
        <v>876</v>
      </c>
      <c r="B35" s="1" t="s">
        <v>1132</v>
      </c>
      <c r="C35" s="2" t="s">
        <v>0</v>
      </c>
      <c r="D35" s="2" t="s">
        <v>0</v>
      </c>
      <c r="E35" s="2" t="s">
        <v>16</v>
      </c>
      <c r="F35" s="2" t="s">
        <v>0</v>
      </c>
      <c r="G35" s="172" t="s">
        <v>1131</v>
      </c>
      <c r="H35" s="1" t="s">
        <v>1127</v>
      </c>
      <c r="I35" s="1" t="str" cm="1">
        <f t="array" ref="I35">IF($F35="○","mkdir """&amp;[2]!getdirpath($H35)&amp;"""","")</f>
        <v>mkdir "C:\codes\vbs\tools\x-finder"</v>
      </c>
      <c r="J35" s="1" t="str" cm="1">
        <f t="array" ref="J35">IF(
  $F35="○",
  IF(
    $E35="file",
    "copy """&amp;$G35&amp;""" """&amp;[2]!getdirpath($H35)&amp;"""",
    "robocopy """&amp;$G35&amp;""" """&amp;H35&amp;""" /MIR /XD ""System Volume Information"""
  ),
  ""
)</f>
        <v>copy "C:\prg_exe\X-Finder\MergeToIniFromTabbak.vbs" "C:\codes\vbs\tools\x-finder"</v>
      </c>
      <c r="K35" s="1" t="str">
        <f t="shared" si="3"/>
        <v>move /Y "C:\prg_exe\X-Finder\MergeToIniFromTabbak.vbs" "MergeToIniFromTabbak.vbs_bak"</v>
      </c>
      <c r="L35" s="1" t="str">
        <f t="shared" si="4"/>
        <v>mklink "C:\prg_exe\X-Finder\MergeToIniFromTabbak.vbs" "C:\codes\vbs\tools\x-finder\MergeToIniFromTabbak.vbs"</v>
      </c>
      <c r="M35" t="s">
        <v>1277</v>
      </c>
    </row>
    <row r="36" spans="1:13">
      <c r="A36" s="6" t="s">
        <v>876</v>
      </c>
      <c r="B36" s="1" t="s">
        <v>1130</v>
      </c>
      <c r="C36" s="2" t="s">
        <v>0</v>
      </c>
      <c r="D36" s="2" t="s">
        <v>0</v>
      </c>
      <c r="E36" s="2" t="s">
        <v>16</v>
      </c>
      <c r="F36" s="2" t="s">
        <v>0</v>
      </c>
      <c r="G36" s="172" t="s">
        <v>1129</v>
      </c>
      <c r="H36" s="1" t="s">
        <v>1128</v>
      </c>
      <c r="I36" s="1" t="str" cm="1">
        <f t="array" ref="I36">IF($F36="○","mkdir """&amp;[2]!getdirpath($H36)&amp;"""","")</f>
        <v>mkdir "C:\codes\bat\tools\x-finder"</v>
      </c>
      <c r="J36" s="1" t="str" cm="1">
        <f t="array" ref="J36">IF(
  $F36="○",
  IF(
    $E36="file",
    "copy """&amp;$G36&amp;""" """&amp;[2]!getdirpath($H36)&amp;"""",
    "robocopy """&amp;$G36&amp;""" """&amp;H36&amp;""" /MIR /XD ""System Volume Information"""
  ),
  ""
)</f>
        <v>copy "C:\prg_exe\X-Finder\BackupIniToTabbak.bat" "C:\codes\bat\tools\x-finder"</v>
      </c>
      <c r="K36" s="1" t="str">
        <f t="shared" si="3"/>
        <v>move /Y "C:\prg_exe\X-Finder\BackupIniToTabbak.bat" "BackupIniToTabbak.bat_bak"</v>
      </c>
      <c r="L36" s="1" t="str">
        <f t="shared" si="4"/>
        <v>mklink "C:\prg_exe\X-Finder\BackupIniToTabbak.bat" "C:\codes\bat\tools\x-finder\BackupIniToTabbak.bat"</v>
      </c>
      <c r="M36" t="s">
        <v>1277</v>
      </c>
    </row>
    <row r="37" spans="1:13">
      <c r="A37" s="6" t="s">
        <v>876</v>
      </c>
      <c r="B37" s="1" t="s">
        <v>875</v>
      </c>
      <c r="C37" s="2" t="s">
        <v>149</v>
      </c>
      <c r="D37" s="2" t="s">
        <v>149</v>
      </c>
      <c r="E37" s="2" t="s">
        <v>16</v>
      </c>
      <c r="F37" s="2" t="s">
        <v>0</v>
      </c>
      <c r="G37" s="1" t="s">
        <v>1114</v>
      </c>
      <c r="H37" s="1" t="s">
        <v>147</v>
      </c>
      <c r="I37" s="1" t="str" cm="1">
        <f t="array" ref="I37">IF($F37="○","mkdir """&amp;[2]!getdirpath($H37)&amp;"""","")</f>
        <v>mkdir "C:\codes\winterm"</v>
      </c>
      <c r="J37" s="1" t="str" cm="1">
        <f t="array" ref="J37">IF(
  $F37="○",
  IF(
    $E37="file",
    "copy """&amp;$G37&amp;""" """&amp;[2]!getdirpath($H37)&amp;"""",
    "robocopy """&amp;$G37&amp;""" """&amp;H37&amp;""" /MIR /XD ""System Volume Information"""
  ),
  ""
)</f>
        <v>copy "C:\prg_exe\WindowsTerminal\settings\settings.json" "C:\codes\winterm"</v>
      </c>
      <c r="K37" s="1" t="str">
        <f t="shared" si="3"/>
        <v>move /Y "C:\prg_exe\WindowsTerminal\settings\settings.json" "settings.json_bak"</v>
      </c>
      <c r="L37" s="1" t="str">
        <f t="shared" si="4"/>
        <v>mklink "C:\prg_exe\WindowsTerminal\settings\settings.json" "C:\codes\winterm\settings.json"</v>
      </c>
      <c r="M37" t="s">
        <v>1277</v>
      </c>
    </row>
    <row r="38" spans="1:13">
      <c r="A38" s="6" t="s">
        <v>876</v>
      </c>
      <c r="B38" s="1" t="s">
        <v>1141</v>
      </c>
      <c r="C38" s="2" t="s">
        <v>314</v>
      </c>
      <c r="D38" s="2" t="s">
        <v>315</v>
      </c>
      <c r="E38" s="2" t="s">
        <v>16</v>
      </c>
      <c r="F38" s="2" t="s">
        <v>0</v>
      </c>
      <c r="G38" s="6" t="s">
        <v>868</v>
      </c>
      <c r="H38" s="6" t="s">
        <v>1143</v>
      </c>
      <c r="I38" s="1" t="str" cm="1">
        <f t="array" ref="I38">IF($F38="○","mkdir """&amp;[2]!getdirpath($H38)&amp;"""","")</f>
        <v>mkdir "C:\codes\git\setting_alluser"</v>
      </c>
      <c r="J38" s="1" t="str" cm="1">
        <f t="array" ref="J38">IF(
  $F38="○",
  IF(
    $E38="file",
    "copy """&amp;$G38&amp;""" """&amp;[2]!getdirpath($H38)&amp;"""",
    "robocopy """&amp;$G38&amp;""" """&amp;H38&amp;""" /MIR /XD ""System Volume Information"""
  ),
  ""
)</f>
        <v>copy "C:\prg\Git\etc\gitconfig" "C:\codes\git\setting_alluser"</v>
      </c>
      <c r="K38" s="1" t="str">
        <f t="shared" si="3"/>
        <v>move /Y "C:\prg\Git\etc\gitconfig" "gitconfig_bak"</v>
      </c>
      <c r="L38" s="1" t="str">
        <f t="shared" si="4"/>
        <v>mklink "C:\prg\Git\etc\gitconfig" "C:\codes\git\setting_alluser\gitconfig"</v>
      </c>
      <c r="M38" t="s">
        <v>1277</v>
      </c>
    </row>
    <row r="39" spans="1:13">
      <c r="A39" s="6" t="s">
        <v>876</v>
      </c>
      <c r="B39" s="1" t="s">
        <v>1140</v>
      </c>
      <c r="C39" s="2" t="s">
        <v>314</v>
      </c>
      <c r="D39" s="2" t="s">
        <v>315</v>
      </c>
      <c r="E39" s="2" t="s">
        <v>16</v>
      </c>
      <c r="F39" s="2" t="s">
        <v>0</v>
      </c>
      <c r="G39" s="1" t="s">
        <v>870</v>
      </c>
      <c r="H39" s="1" t="s">
        <v>1142</v>
      </c>
      <c r="I39" s="1" t="str" cm="1">
        <f t="array" ref="I39">IF($F39="○","mkdir """&amp;[2]!getdirpath($H39)&amp;"""","")</f>
        <v>mkdir "C:\codes\git\setting_myuser"</v>
      </c>
      <c r="J39" s="1" t="str" cm="1">
        <f t="array" ref="J39">IF(
  $F39="○",
  IF(
    $E39="file",
    "copy """&amp;$G39&amp;""" """&amp;[2]!getdirpath($H39)&amp;"""",
    "robocopy """&amp;$G39&amp;""" """&amp;H39&amp;""" /MIR /XD ""System Volume Information"""
  ),
  ""
)</f>
        <v>copy "%USERPROFILE%\.gitconfig" "C:\codes\git\setting_myuser"</v>
      </c>
      <c r="K39" s="1" t="str">
        <f t="shared" si="3"/>
        <v>move /Y "%USERPROFILE%\.gitconfig" ".gitconfig_bak"</v>
      </c>
      <c r="L39" s="1" t="str">
        <f t="shared" si="4"/>
        <v>mklink "%USERPROFILE%\.gitconfig" "C:\codes\git\setting_myuser\.gitconfig"</v>
      </c>
      <c r="M39" t="s">
        <v>1277</v>
      </c>
    </row>
    <row r="40" spans="1:13">
      <c r="A40" s="6" t="s">
        <v>876</v>
      </c>
      <c r="B40" s="1" t="s">
        <v>1442</v>
      </c>
      <c r="C40" s="2" t="s">
        <v>149</v>
      </c>
      <c r="D40" s="2" t="s">
        <v>149</v>
      </c>
      <c r="E40" s="2" t="s">
        <v>16</v>
      </c>
      <c r="F40" s="2" t="s">
        <v>0</v>
      </c>
      <c r="G40" s="1" t="s">
        <v>1494</v>
      </c>
      <c r="H40" s="1" t="s">
        <v>1441</v>
      </c>
      <c r="I40" s="1" t="str" cm="1">
        <f t="array" ref="I40">IF($F40="○","mkdir """&amp;[2]!getdirpath($H40)&amp;"""","")</f>
        <v>mkdir "C:\codes\wezterm"</v>
      </c>
      <c r="J40" s="1" t="str" cm="1">
        <f t="array" ref="J40">IF(
  $F40="○",
  IF(
    $E40="file",
    "copy """&amp;$G40&amp;""" """&amp;[2]!getdirpath($H40)&amp;"""",
    "robocopy """&amp;$G40&amp;""" """&amp;H40&amp;""" /MIR /XD ""System Volume Information"""
  ),
  ""
)</f>
        <v>copy "%USERPROFILE%\.config\wezterm\wezterm.lua" "C:\codes\wezterm"</v>
      </c>
      <c r="K40" s="1" t="str">
        <f t="shared" si="3"/>
        <v>move /Y "%USERPROFILE%\.config\wezterm\wezterm.lua" "wezterm.lua_bak"</v>
      </c>
      <c r="L40" s="1" t="str">
        <f t="shared" ref="L40" si="5">IF(
  F40="○",
  "mklink "&amp;IF(
    E40="folder",
    "/d ",
    ""
  )&amp;""""&amp;G40&amp;""" """&amp;H40&amp;"""",
  ""
)</f>
        <v>mklink "%USERPROFILE%\.config\wezterm\wezterm.lua" "C:\codes\wezterm\wezterm.lua"</v>
      </c>
      <c r="M40" t="s">
        <v>1277</v>
      </c>
    </row>
    <row r="41" spans="1:13">
      <c r="A41" s="1" t="s">
        <v>874</v>
      </c>
      <c r="B41" s="1" t="s">
        <v>80</v>
      </c>
      <c r="C41" s="2" t="s">
        <v>314</v>
      </c>
      <c r="D41" s="2" t="s">
        <v>315</v>
      </c>
      <c r="E41" s="2" t="s">
        <v>17</v>
      </c>
      <c r="F41" s="2" t="s">
        <v>0</v>
      </c>
      <c r="G41" s="1" t="s">
        <v>1397</v>
      </c>
      <c r="H41" s="1" t="s">
        <v>1061</v>
      </c>
      <c r="I41" s="1" t="str" cm="1">
        <f t="array" ref="I41">IF($F41="○","mkdir """&amp;[2]!getdirpath($H41)&amp;"""","")</f>
        <v>mkdir "G:\マイドライブ\100_programs\120_setting\HNXgrep"</v>
      </c>
      <c r="J41" s="1" t="str" cm="1">
        <f t="array" ref="J41">IF(
  $F41="○",
  IF(
    $E41="file",
    "copy """&amp;$G41&amp;""" """&amp;[2]!getdirpath($H41)&amp;"""",
    "robocopy """&amp;$G41&amp;""" """&amp;H41&amp;""" /MIR /XD ""System Volume Information"""
  ),
  ""
)</f>
        <v>robocopy "%USERPROFILE%\AppData\Local\HNXgrep" "G:\マイドライブ\100_programs\120_setting\HNXgrep\HNXgrep" /MIR /XD "System Volume Information"</v>
      </c>
      <c r="K41" s="1" t="str">
        <f t="shared" si="3"/>
        <v>move /Y "%USERPROFILE%\AppData\Local\HNXgrep" "HNXgrep_bak"</v>
      </c>
      <c r="L41" s="1" t="str">
        <f t="shared" si="1"/>
        <v>mklink /d "%USERPROFILE%\AppData\Local\HNXgrep" "G:\マイドライブ\100_programs\120_setting\HNXgrep\HNXgrep"</v>
      </c>
      <c r="M41" t="s">
        <v>1277</v>
      </c>
    </row>
    <row r="42" spans="1:13">
      <c r="A42" s="1" t="s">
        <v>874</v>
      </c>
      <c r="B42" s="1" t="s">
        <v>81</v>
      </c>
      <c r="C42" s="2" t="s">
        <v>314</v>
      </c>
      <c r="D42" s="2" t="s">
        <v>315</v>
      </c>
      <c r="E42" s="2" t="s">
        <v>17</v>
      </c>
      <c r="F42" s="2" t="s">
        <v>0</v>
      </c>
      <c r="G42" s="1" t="s">
        <v>900</v>
      </c>
      <c r="H42" s="1" t="s">
        <v>1062</v>
      </c>
      <c r="I42" s="1" t="str" cm="1">
        <f t="array" ref="I42">IF($F42="○","mkdir """&amp;[2]!getdirpath($H42)&amp;"""","")</f>
        <v>mkdir "G:\マイドライブ\100_programs\120_setting\Icaros"</v>
      </c>
      <c r="J42" s="1" t="str" cm="1">
        <f t="array" ref="J42">IF(
  $F42="○",
  IF(
    $E42="file",
    "copy """&amp;$G42&amp;""" """&amp;[2]!getdirpath($H42)&amp;"""",
    "robocopy """&amp;$G42&amp;""" """&amp;H42&amp;""" /MIR /XD ""System Volume Information"""
  ),
  ""
)</f>
        <v>robocopy "%USERPROFILE%\AppData\Local\Icaros" "G:\マイドライブ\100_programs\120_setting\Icaros\Icaros" /MIR /XD "System Volume Information"</v>
      </c>
      <c r="K42" s="1" t="str">
        <f t="shared" si="3"/>
        <v>move /Y "%USERPROFILE%\AppData\Local\Icaros" "Icaros_bak"</v>
      </c>
      <c r="L42" s="1" t="str">
        <f t="shared" si="1"/>
        <v>mklink /d "%USERPROFILE%\AppData\Local\Icaros" "G:\マイドライブ\100_programs\120_setting\Icaros\Icaros"</v>
      </c>
      <c r="M42" t="s">
        <v>1277</v>
      </c>
    </row>
    <row r="43" spans="1:13">
      <c r="A43" s="1" t="s">
        <v>874</v>
      </c>
      <c r="B43" s="1" t="s">
        <v>76</v>
      </c>
      <c r="C43" s="2" t="s">
        <v>314</v>
      </c>
      <c r="D43" s="2" t="s">
        <v>315</v>
      </c>
      <c r="E43" s="2" t="s">
        <v>17</v>
      </c>
      <c r="F43" s="2" t="s">
        <v>0</v>
      </c>
      <c r="G43" s="1" t="s">
        <v>872</v>
      </c>
      <c r="H43" s="1" t="s">
        <v>1063</v>
      </c>
      <c r="I43" s="1" t="str" cm="1">
        <f t="array" ref="I43">IF($F43="○","mkdir """&amp;[2]!getdirpath($H43)&amp;"""","")</f>
        <v>mkdir "G:\マイドライブ\100_programs\120_setting\EasyShot"</v>
      </c>
      <c r="J43" s="1" t="str" cm="1">
        <f t="array" ref="J43">IF(
  $F43="○",
  IF(
    $E43="file",
    "copy """&amp;$G43&amp;""" """&amp;[2]!getdirpath($H43)&amp;"""",
    "robocopy """&amp;$G43&amp;""" """&amp;H43&amp;""" /MIR /XD ""System Volume Information"""
  ),
  ""
)</f>
        <v>robocopy "%USERPROFILE%\AppData\Roaming\GZ20" "G:\マイドライブ\100_programs\120_setting\EasyShot\GZ20" /MIR /XD "System Volume Information"</v>
      </c>
      <c r="K43" s="1" t="str">
        <f t="shared" si="3"/>
        <v>move /Y "%USERPROFILE%\AppData\Roaming\GZ20" "GZ20_bak"</v>
      </c>
      <c r="L43" s="1" t="str">
        <f t="shared" si="1"/>
        <v>mklink /d "%USERPROFILE%\AppData\Roaming\GZ20" "G:\マイドライブ\100_programs\120_setting\EasyShot\GZ20"</v>
      </c>
      <c r="M43" t="s">
        <v>1277</v>
      </c>
    </row>
    <row r="44" spans="1:13">
      <c r="A44" s="1" t="s">
        <v>874</v>
      </c>
      <c r="B44" s="1" t="s">
        <v>74</v>
      </c>
      <c r="C44" s="2" t="s">
        <v>314</v>
      </c>
      <c r="D44" s="2" t="s">
        <v>315</v>
      </c>
      <c r="E44" s="2" t="s">
        <v>17</v>
      </c>
      <c r="F44" s="2" t="s">
        <v>0</v>
      </c>
      <c r="G44" s="1" t="s">
        <v>901</v>
      </c>
      <c r="H44" s="1" t="s">
        <v>1064</v>
      </c>
      <c r="I44" s="1" t="str" cm="1">
        <f t="array" ref="I44">IF($F44="○","mkdir """&amp;[2]!getdirpath($H44)&amp;"""","")</f>
        <v>mkdir "G:\マイドライブ\100_programs\120_setting\DeInput"</v>
      </c>
      <c r="J44" s="1" t="str" cm="1">
        <f t="array" ref="J44">IF(
  $F44="○",
  IF(
    $E44="file",
    "copy """&amp;$G44&amp;""" """&amp;[2]!getdirpath($H44)&amp;"""",
    "robocopy """&amp;$G44&amp;""" """&amp;H44&amp;""" /MIR /XD ""System Volume Information"""
  ),
  ""
)</f>
        <v>robocopy "%USERPROFILE%\AppData\Roaming\KT Software" "G:\マイドライブ\100_programs\120_setting\DeInput\KT Software" /MIR /XD "System Volume Information"</v>
      </c>
      <c r="K44" s="1" t="str">
        <f t="shared" si="3"/>
        <v>move /Y "%USERPROFILE%\AppData\Roaming\KT Software" "KT Software_bak"</v>
      </c>
      <c r="L44" s="1" t="str">
        <f t="shared" si="1"/>
        <v>mklink /d "%USERPROFILE%\AppData\Roaming\KT Software" "G:\マイドライブ\100_programs\120_setting\DeInput\KT Software"</v>
      </c>
      <c r="M44" t="s">
        <v>1277</v>
      </c>
    </row>
    <row r="45" spans="1:13">
      <c r="A45" s="1" t="s">
        <v>874</v>
      </c>
      <c r="B45" s="1" t="s">
        <v>462</v>
      </c>
      <c r="C45" s="2" t="s">
        <v>314</v>
      </c>
      <c r="D45" s="2" t="s">
        <v>315</v>
      </c>
      <c r="E45" s="2" t="s">
        <v>17</v>
      </c>
      <c r="F45" s="2" t="s">
        <v>0</v>
      </c>
      <c r="G45" s="1" t="s">
        <v>1246</v>
      </c>
      <c r="H45" s="1" t="s">
        <v>1065</v>
      </c>
      <c r="I45" s="1" t="str" cm="1">
        <f t="array" ref="I45">IF($F45="○","mkdir """&amp;[2]!getdirpath($H45)&amp;"""","")</f>
        <v>mkdir "G:\マイドライブ\100_programs\120_setting\MP3Tag"</v>
      </c>
      <c r="J45" s="1" t="str" cm="1">
        <f t="array" ref="J45">IF(
  $F45="○",
  IF(
    $E45="file",
    "copy """&amp;$G45&amp;""" """&amp;[2]!getdirpath($H45)&amp;"""",
    "robocopy """&amp;$G45&amp;""" """&amp;H45&amp;""" /MIR /XD ""System Volume Information"""
  ),
  ""
)</f>
        <v>robocopy "%USERPROFILE%\AppData\Roaming\Mp3tag" "G:\マイドライブ\100_programs\120_setting\MP3Tag\MP3Tag" /MIR /XD "System Volume Information"</v>
      </c>
      <c r="K45" s="1" t="str">
        <f t="shared" si="3"/>
        <v>move /Y "%USERPROFILE%\AppData\Roaming\Mp3tag" "Mp3tag_bak"</v>
      </c>
      <c r="L45" s="1" t="str">
        <f t="shared" si="1"/>
        <v>mklink /d "%USERPROFILE%\AppData\Roaming\Mp3tag" "G:\マイドライブ\100_programs\120_setting\MP3Tag\MP3Tag"</v>
      </c>
      <c r="M45" t="s">
        <v>1277</v>
      </c>
    </row>
    <row r="46" spans="1:13">
      <c r="A46" s="1" t="s">
        <v>874</v>
      </c>
      <c r="B46" s="1" t="s">
        <v>86</v>
      </c>
      <c r="C46" s="2" t="s">
        <v>314</v>
      </c>
      <c r="D46" s="2" t="s">
        <v>315</v>
      </c>
      <c r="E46" s="2" t="s">
        <v>17</v>
      </c>
      <c r="F46" s="2" t="s">
        <v>27</v>
      </c>
      <c r="G46" s="97" t="s">
        <v>1247</v>
      </c>
      <c r="H46" s="97" t="s">
        <v>1248</v>
      </c>
      <c r="I46" s="97" t="str" cm="1">
        <f t="array" ref="I46">IF($F46="○","mkdir """&amp;[2]!getdirpath($H46)&amp;"""","")</f>
        <v/>
      </c>
      <c r="J46" s="97" t="str" cm="1">
        <f t="array" ref="J46">IF(
  $F46="○",
  IF(
    $E46="file",
    "copy """&amp;$G46&amp;""" """&amp;[2]!getdirpath($H46)&amp;"""",
    "robocopy """&amp;$G46&amp;""" """&amp;H46&amp;""" /MIR /XD ""System Volume Information"""
  ),
  ""
)</f>
        <v/>
      </c>
      <c r="K46" s="97" t="str">
        <f t="shared" si="3"/>
        <v/>
      </c>
      <c r="L46" s="97" t="str">
        <f t="shared" si="1"/>
        <v/>
      </c>
      <c r="M46" t="s">
        <v>1277</v>
      </c>
    </row>
    <row r="47" spans="1:13">
      <c r="A47" s="1" t="s">
        <v>874</v>
      </c>
      <c r="B47" s="1" t="s">
        <v>70</v>
      </c>
      <c r="C47" s="2" t="s">
        <v>314</v>
      </c>
      <c r="D47" s="2" t="s">
        <v>315</v>
      </c>
      <c r="E47" s="2" t="s">
        <v>17</v>
      </c>
      <c r="F47" s="2" t="s">
        <v>0</v>
      </c>
      <c r="G47" s="1" t="s">
        <v>866</v>
      </c>
      <c r="H47" s="1" t="s">
        <v>1066</v>
      </c>
      <c r="I47" s="1" t="str" cm="1">
        <f t="array" ref="I47">IF($F47="○","mkdir """&amp;[2]!getdirpath($H47)&amp;"""","")</f>
        <v>mkdir "G:\マイドライブ\100_programs\120_setting\Audacity"</v>
      </c>
      <c r="J47" s="1" t="str" cm="1">
        <f t="array" ref="J47">IF(
  $F47="○",
  IF(
    $E47="file",
    "copy """&amp;$G47&amp;""" """&amp;[2]!getdirpath($H47)&amp;"""",
    "robocopy """&amp;$G47&amp;""" """&amp;H47&amp;""" /MIR /XD ""System Volume Information"""
  ),
  ""
)</f>
        <v>robocopy "%USERPROFILE%\AppData\Roaming\Audacity" "G:\マイドライブ\100_programs\120_setting\Audacity\Audacity" /MIR /XD "System Volume Information"</v>
      </c>
      <c r="K47" s="1" t="str">
        <f t="shared" si="3"/>
        <v>move /Y "%USERPROFILE%\AppData\Roaming\Audacity" "Audacity_bak"</v>
      </c>
      <c r="L47" s="1" t="str">
        <f t="shared" si="1"/>
        <v>mklink /d "%USERPROFILE%\AppData\Roaming\Audacity" "G:\マイドライブ\100_programs\120_setting\Audacity\Audacity"</v>
      </c>
      <c r="M47" t="s">
        <v>1277</v>
      </c>
    </row>
    <row r="48" spans="1:13">
      <c r="A48" s="1" t="s">
        <v>874</v>
      </c>
      <c r="B48" s="1" t="s">
        <v>464</v>
      </c>
      <c r="C48" s="2" t="s">
        <v>314</v>
      </c>
      <c r="D48" s="2" t="s">
        <v>315</v>
      </c>
      <c r="E48" s="2" t="s">
        <v>17</v>
      </c>
      <c r="F48" s="2" t="s">
        <v>0</v>
      </c>
      <c r="G48" s="1" t="s">
        <v>1474</v>
      </c>
      <c r="H48" s="1" t="s">
        <v>1067</v>
      </c>
      <c r="I48" s="1" t="str" cm="1">
        <f t="array" ref="I48">IF($F48="○","mkdir """&amp;[2]!getdirpath($H48)&amp;"""","")</f>
        <v>mkdir "G:\マイドライブ\100_programs\120_setting\Subversion"</v>
      </c>
      <c r="J48" s="1" t="str" cm="1">
        <f t="array" ref="J48">IF(
  $F48="○",
  IF(
    $E48="file",
    "copy """&amp;$G48&amp;""" """&amp;[2]!getdirpath($H48)&amp;"""",
    "robocopy """&amp;$G48&amp;""" """&amp;H48&amp;""" /MIR /XD ""System Volume Information"""
  ),
  ""
)</f>
        <v>robocopy "%USERPROFILE%\AppData\Roaming\Subversion" "G:\マイドライブ\100_programs\120_setting\Subversion\Subversion" /MIR /XD "System Volume Information"</v>
      </c>
      <c r="K48" s="1" t="str">
        <f t="shared" si="3"/>
        <v>move /Y "%USERPROFILE%\AppData\Roaming\Subversion" "Subversion_bak"</v>
      </c>
      <c r="L48" s="1" t="str">
        <f t="shared" si="1"/>
        <v>mklink /d "%USERPROFILE%\AppData\Roaming\Subversion" "G:\マイドライブ\100_programs\120_setting\Subversion\Subversion"</v>
      </c>
      <c r="M48" t="s">
        <v>1277</v>
      </c>
    </row>
    <row r="49" spans="1:13">
      <c r="A49" s="1" t="s">
        <v>874</v>
      </c>
      <c r="B49" s="1" t="s">
        <v>49</v>
      </c>
      <c r="C49" s="2" t="s">
        <v>314</v>
      </c>
      <c r="D49" s="2" t="s">
        <v>315</v>
      </c>
      <c r="E49" s="2" t="s">
        <v>17</v>
      </c>
      <c r="F49" s="2" t="s">
        <v>0</v>
      </c>
      <c r="G49" s="1" t="s">
        <v>889</v>
      </c>
      <c r="H49" s="1" t="s">
        <v>1068</v>
      </c>
      <c r="I49" s="1" t="str" cm="1">
        <f t="array" ref="I49">IF($F49="○","mkdir """&amp;[2]!getdirpath($H49)&amp;"""","")</f>
        <v>mkdir "G:\マイドライブ\100_programs\120_setting\TortoiseGit"</v>
      </c>
      <c r="J49" s="1" t="str" cm="1">
        <f t="array" ref="J49">IF(
  $F49="○",
  IF(
    $E49="file",
    "copy """&amp;$G49&amp;""" """&amp;[2]!getdirpath($H49)&amp;"""",
    "robocopy """&amp;$G49&amp;""" """&amp;H49&amp;""" /MIR /XD ""System Volume Information"""
  ),
  ""
)</f>
        <v>robocopy "%USERPROFILE%\AppData\Roaming\TortoiseGit" "G:\マイドライブ\100_programs\120_setting\TortoiseGit\TortoiseGit" /MIR /XD "System Volume Information"</v>
      </c>
      <c r="K49" s="1" t="str">
        <f t="shared" si="3"/>
        <v>move /Y "%USERPROFILE%\AppData\Roaming\TortoiseGit" "TortoiseGit_bak"</v>
      </c>
      <c r="L49" s="1" t="str">
        <f t="shared" si="1"/>
        <v>mklink /d "%USERPROFILE%\AppData\Roaming\TortoiseGit" "G:\マイドライブ\100_programs\120_setting\TortoiseGit\TortoiseGit"</v>
      </c>
      <c r="M49" t="s">
        <v>1277</v>
      </c>
    </row>
    <row r="50" spans="1:13">
      <c r="A50" s="1" t="s">
        <v>874</v>
      </c>
      <c r="B50" s="1" t="s">
        <v>53</v>
      </c>
      <c r="C50" s="2" t="s">
        <v>314</v>
      </c>
      <c r="D50" s="2" t="s">
        <v>315</v>
      </c>
      <c r="E50" s="2" t="s">
        <v>17</v>
      </c>
      <c r="F50" s="2" t="s">
        <v>0</v>
      </c>
      <c r="G50" s="1" t="s">
        <v>867</v>
      </c>
      <c r="H50" s="1" t="s">
        <v>1069</v>
      </c>
      <c r="I50" s="1" t="str" cm="1">
        <f t="array" ref="I50">IF($F50="○","mkdir """&amp;[2]!getdirpath($H50)&amp;"""","")</f>
        <v>mkdir "G:\マイドライブ\100_programs\120_setting\TortoiseSVN"</v>
      </c>
      <c r="J50" s="1" t="str" cm="1">
        <f t="array" ref="J50">IF(
  $F50="○",
  IF(
    $E50="file",
    "copy """&amp;$G50&amp;""" """&amp;[2]!getdirpath($H50)&amp;"""",
    "robocopy """&amp;$G50&amp;""" """&amp;H50&amp;""" /MIR /XD ""System Volume Information"""
  ),
  ""
)</f>
        <v>robocopy "%USERPROFILE%\AppData\Roaming\TortoiseSVN" "G:\マイドライブ\100_programs\120_setting\TortoiseSVN\TortoiseSVN" /MIR /XD "System Volume Information"</v>
      </c>
      <c r="K50" s="1" t="str">
        <f t="shared" si="3"/>
        <v>move /Y "%USERPROFILE%\AppData\Roaming\TortoiseSVN" "TortoiseSVN_bak"</v>
      </c>
      <c r="L50" s="1" t="str">
        <f t="shared" si="1"/>
        <v>mklink /d "%USERPROFILE%\AppData\Roaming\TortoiseSVN" "G:\マイドライブ\100_programs\120_setting\TortoiseSVN\TortoiseSVN"</v>
      </c>
      <c r="M50" t="s">
        <v>1277</v>
      </c>
    </row>
    <row r="51" spans="1:13">
      <c r="A51" s="1" t="s">
        <v>874</v>
      </c>
      <c r="B51" s="1" t="s">
        <v>945</v>
      </c>
      <c r="C51" s="2" t="s">
        <v>0</v>
      </c>
      <c r="D51" s="2" t="s">
        <v>0</v>
      </c>
      <c r="E51" s="2" t="s">
        <v>17</v>
      </c>
      <c r="F51" s="2" t="s">
        <v>0</v>
      </c>
      <c r="G51" s="1" t="s">
        <v>942</v>
      </c>
      <c r="H51" s="1" t="s">
        <v>1137</v>
      </c>
      <c r="I51" s="1" t="str" cm="1">
        <f t="array" ref="I51">IF($F51="○","mkdir """&amp;[2]!getdirpath($H51)&amp;"""","")</f>
        <v>mkdir "G:\マイドライブ\100_programs\120_setting\Anki2"</v>
      </c>
      <c r="J51" s="1" t="str" cm="1">
        <f t="array" ref="J51">IF(
  $F51="○",
  IF(
    $E51="file",
    "copy """&amp;$G51&amp;""" """&amp;[2]!getdirpath($H51)&amp;"""",
    "robocopy """&amp;$G51&amp;""" """&amp;H51&amp;""" /MIR /XD ""System Volume Information"""
  ),
  ""
)</f>
        <v>robocopy "%USERPROFILE%\AppData\Roaming\Anki2" "G:\マイドライブ\100_programs\120_setting\Anki2\Anki2" /MIR /XD "System Volume Information"</v>
      </c>
      <c r="K51" s="1" t="str">
        <f t="shared" si="3"/>
        <v>move /Y "%USERPROFILE%\AppData\Roaming\Anki2" "Anki2_bak"</v>
      </c>
      <c r="L51" s="1" t="str">
        <f>IF(
  F51="○",
  "mklink "&amp;IF(
    E51="folder",
    "/d ",
    ""
  )&amp;""""&amp;G51&amp;""" """&amp;H51&amp;"""",
  ""
)</f>
        <v>mklink /d "%USERPROFILE%\AppData\Roaming\Anki2" "G:\マイドライブ\100_programs\120_setting\Anki2\Anki2"</v>
      </c>
      <c r="M51" t="s">
        <v>1277</v>
      </c>
    </row>
    <row r="52" spans="1:13">
      <c r="A52" s="1" t="s">
        <v>874</v>
      </c>
      <c r="B52" s="1" t="s">
        <v>463</v>
      </c>
      <c r="C52" s="2" t="s">
        <v>314</v>
      </c>
      <c r="D52" s="2" t="s">
        <v>315</v>
      </c>
      <c r="E52" s="2" t="s">
        <v>17</v>
      </c>
      <c r="F52" s="2" t="s">
        <v>0</v>
      </c>
      <c r="G52" s="1" t="s">
        <v>1398</v>
      </c>
      <c r="H52" s="1" t="s">
        <v>1070</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 "G:\マイドライブ\100_programs\120_setting\Serato\_Serato_" /MIR /XD "System Volume Information"</v>
      </c>
      <c r="K52" s="1" t="str">
        <f t="shared" si="3"/>
        <v>move /Y "%USERPROFILE%\Music\_Serato_" "_Serato__bak"</v>
      </c>
      <c r="L52" s="1" t="str">
        <f t="shared" si="1"/>
        <v>mklink /d "%USERPROFILE%\Music\_Serato_" "G:\マイドライブ\100_programs\120_setting\Serato\_Serato_"</v>
      </c>
      <c r="M52" t="s">
        <v>1277</v>
      </c>
    </row>
    <row r="53" spans="1:13">
      <c r="A53" s="1" t="s">
        <v>874</v>
      </c>
      <c r="B53" s="1" t="s">
        <v>873</v>
      </c>
      <c r="C53" s="2" t="s">
        <v>314</v>
      </c>
      <c r="D53" s="2" t="s">
        <v>315</v>
      </c>
      <c r="E53" s="2" t="s">
        <v>17</v>
      </c>
      <c r="F53" s="2" t="s">
        <v>0</v>
      </c>
      <c r="G53" s="1" t="s">
        <v>869</v>
      </c>
      <c r="H53" s="1" t="s">
        <v>1071</v>
      </c>
      <c r="I53" s="1" t="str" cm="1">
        <f t="array" ref="I53">IF($F53="○","mkdir """&amp;[2]!getdirpath($H53)&amp;"""","")</f>
        <v>mkdir "G:\マイドライブ\100_programs\120_setting\Serato"</v>
      </c>
      <c r="J53" s="1" t="str" cm="1">
        <f t="array" ref="J53">IF(
  $F53="○",
  IF(
    $E53="file",
    "copy """&amp;$G53&amp;""" """&amp;[2]!getdirpath($H53)&amp;"""",
    "robocopy """&amp;$G53&amp;""" """&amp;H53&amp;""" /MIR /XD ""System Volume Information"""
  ),
  ""
)</f>
        <v>robocopy "%USERPROFILE%\Music\_Serato_Backup" "G:\マイドライブ\100_programs\120_setting\Serato\_Serato_Backup" /MIR /XD "System Volume Information"</v>
      </c>
      <c r="K53" s="1" t="str">
        <f t="shared" si="3"/>
        <v>move /Y "%USERPROFILE%\Music\_Serato_Backup" "_Serato_Backup_bak"</v>
      </c>
      <c r="L53" s="1" t="str">
        <f t="shared" ref="L53:L67" si="6">IF(
  F53="○",
  "mklink "&amp;IF(
    E53="folder",
    "/d ",
    ""
  )&amp;""""&amp;G53&amp;""" """&amp;H53&amp;"""",
  ""
)</f>
        <v>mklink /d "%USERPROFILE%\Music\_Serato_Backup" "G:\マイドライブ\100_programs\120_setting\Serato\_Serato_Backup"</v>
      </c>
      <c r="M53" t="s">
        <v>1277</v>
      </c>
    </row>
    <row r="54" spans="1:13">
      <c r="A54" s="1" t="s">
        <v>874</v>
      </c>
      <c r="B54" s="1" t="s">
        <v>944</v>
      </c>
      <c r="C54" s="2" t="s">
        <v>0</v>
      </c>
      <c r="D54" s="2" t="s">
        <v>0</v>
      </c>
      <c r="E54" s="2" t="s">
        <v>17</v>
      </c>
      <c r="F54" s="2" t="s">
        <v>27</v>
      </c>
      <c r="G54" s="97" t="s">
        <v>943</v>
      </c>
      <c r="H54" s="97" t="s">
        <v>1078</v>
      </c>
      <c r="I54" s="97" t="str" cm="1">
        <f t="array" ref="I54">IF($F54="○","mkdir """&amp;[2]!getdirpath($H54)&amp;"""","")</f>
        <v/>
      </c>
      <c r="J54" s="97" t="str" cm="1">
        <f t="array" ref="J54">IF(
  $F54="○",
  IF(
    $E54="file",
    "copy """&amp;$G54&amp;""" """&amp;[2]!getdirpath($H54)&amp;"""",
    "robocopy """&amp;$G54&amp;""" """&amp;H54&amp;""" /MIR /XD ""System Volume Information"""
  ),
  ""
)</f>
        <v/>
      </c>
      <c r="K54" s="97" t="str">
        <f t="shared" si="3"/>
        <v/>
      </c>
      <c r="L54" s="97" t="str">
        <f>IF(
  F54="○",
  "mklink "&amp;IF(
    E54="folder",
    "/d ",
    ""
  )&amp;""""&amp;G54&amp;""" """&amp;H54&amp;"""",
  ""
)</f>
        <v/>
      </c>
      <c r="M54" t="s">
        <v>1277</v>
      </c>
    </row>
    <row r="55" spans="1:13">
      <c r="A55" s="1" t="s">
        <v>874</v>
      </c>
      <c r="B55" s="1" t="s">
        <v>944</v>
      </c>
      <c r="C55" s="2" t="s">
        <v>0</v>
      </c>
      <c r="D55" s="2" t="s">
        <v>0</v>
      </c>
      <c r="E55" s="2" t="s">
        <v>16</v>
      </c>
      <c r="F55" s="2" t="s">
        <v>27</v>
      </c>
      <c r="G55" s="97" t="s">
        <v>1146</v>
      </c>
      <c r="H55" s="97" t="s">
        <v>1147</v>
      </c>
      <c r="I55" s="97" t="str" cm="1">
        <f t="array" ref="I55">IF($F55="○","mkdir """&amp;[2]!getdirpath($H55)&amp;"""","")</f>
        <v/>
      </c>
      <c r="J55" s="97" t="str" cm="1">
        <f t="array" ref="J55">IF(
  $F55="○",
  IF(
    $E55="file",
    "copy """&amp;$G55&amp;""" """&amp;[2]!getdirpath($H55)&amp;"""",
    "robocopy """&amp;$G55&amp;""" """&amp;H55&amp;""" /MIR /XD ""System Volume Information"""
  ),
  ""
)</f>
        <v/>
      </c>
      <c r="K55" s="97" t="str">
        <f t="shared" si="3"/>
        <v/>
      </c>
      <c r="L55" s="97" t="str">
        <f>IF(
  F55="○",
  "mklink "&amp;IF(
    E55="folder",
    "/d ",
    ""
  )&amp;""""&amp;G55&amp;""" """&amp;H55&amp;"""",
  ""
)</f>
        <v/>
      </c>
      <c r="M55" t="s">
        <v>1277</v>
      </c>
    </row>
    <row r="56" spans="1:13">
      <c r="A56" s="1" t="s">
        <v>874</v>
      </c>
      <c r="B56" s="1" t="s">
        <v>1136</v>
      </c>
      <c r="C56" s="2" t="s">
        <v>0</v>
      </c>
      <c r="D56" s="2" t="s">
        <v>315</v>
      </c>
      <c r="E56" s="2" t="s">
        <v>16</v>
      </c>
      <c r="F56" s="2" t="s">
        <v>0</v>
      </c>
      <c r="G56" s="1" t="s">
        <v>1138</v>
      </c>
      <c r="H56" s="1" t="s">
        <v>1139</v>
      </c>
      <c r="I56" s="1" t="str" cm="1">
        <f t="array" ref="I56">IF($F56="○","mkdir """&amp;[2]!getdirpath($H56)&amp;"""","")</f>
        <v>mkdir "G:\マイドライブ\100_programs\120_setting\X-Finder"</v>
      </c>
      <c r="J56" s="1" t="str" cm="1">
        <f t="array" ref="J56">IF(
  $F56="○",
  IF(
    $E56="file",
    "copy """&amp;$G56&amp;""" """&amp;[2]!getdirpath($H56)&amp;"""",
    "robocopy """&amp;$G56&amp;""" """&amp;H56&amp;""" /MIR /XD ""System Volume Information"""
  ),
  ""
)</f>
        <v>copy "C:\prg_exe\X-Finder\XF.ini" "G:\マイドライブ\100_programs\120_setting\X-Finder"</v>
      </c>
      <c r="K56" s="1" t="str">
        <f t="shared" si="3"/>
        <v>move /Y "C:\prg_exe\X-Finder\XF.ini" "XF.ini_bak"</v>
      </c>
      <c r="L56" s="1" t="str">
        <f t="shared" ref="L56" si="7">IF(
  F56="○",
  "mklink "&amp;IF(
    E56="folder",
    "/d ",
    ""
  )&amp;""""&amp;G56&amp;""" """&amp;H56&amp;"""",
  ""
)</f>
        <v>mklink "C:\prg_exe\X-Finder\XF.ini" "G:\マイドライブ\100_programs\120_setting\X-Finder\XF.ini"</v>
      </c>
      <c r="M56" t="s">
        <v>1277</v>
      </c>
    </row>
    <row r="57" spans="1:13">
      <c r="A57" s="1" t="s">
        <v>874</v>
      </c>
      <c r="B57" s="1" t="s">
        <v>906</v>
      </c>
      <c r="C57" s="2" t="s">
        <v>314</v>
      </c>
      <c r="D57" s="2" t="s">
        <v>315</v>
      </c>
      <c r="E57" s="2" t="s">
        <v>17</v>
      </c>
      <c r="F57" s="2" t="s">
        <v>0</v>
      </c>
      <c r="G57" s="1" t="s">
        <v>1399</v>
      </c>
      <c r="H57" s="1" t="s">
        <v>1072</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robocopy "%USERPROFILE%\Music\iTunes\Previous iTunes Libraries" "G:\マイドライブ\100_programs\120_setting\iTunes\Previous iTunes Libraries" /MIR /XD "System Volume Information"</v>
      </c>
      <c r="K57" s="1" t="str">
        <f t="shared" si="3"/>
        <v>move /Y "%USERPROFILE%\Music\iTunes\Previous iTunes Libraries" "Previous iTunes Libraries_bak"</v>
      </c>
      <c r="L57" s="1" t="str">
        <f t="shared" si="6"/>
        <v>mklink /d "%USERPROFILE%\Music\iTunes\Previous iTunes Libraries" "G:\マイドライブ\100_programs\120_setting\iTunes\Previous iTunes Libraries"</v>
      </c>
      <c r="M57" t="s">
        <v>1277</v>
      </c>
    </row>
    <row r="58" spans="1:13">
      <c r="A58" s="1" t="s">
        <v>874</v>
      </c>
      <c r="B58" s="1" t="s">
        <v>907</v>
      </c>
      <c r="C58" s="2" t="s">
        <v>314</v>
      </c>
      <c r="D58" s="2" t="s">
        <v>315</v>
      </c>
      <c r="E58" s="2" t="s">
        <v>16</v>
      </c>
      <c r="F58" s="2" t="s">
        <v>0</v>
      </c>
      <c r="G58" s="1" t="s">
        <v>903</v>
      </c>
      <c r="H58" s="1" t="s">
        <v>1073</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Extras.itdb" "G:\マイドライブ\100_programs\120_setting\iTunes"</v>
      </c>
      <c r="K58" s="1" t="str">
        <f t="shared" si="3"/>
        <v>move /Y "%USERPROFILE%\Music\iTunes\iTunes Library Extras.itdb" "iTunes Library Extras.itdb_bak"</v>
      </c>
      <c r="L58" s="1" t="str">
        <f t="shared" si="6"/>
        <v>mklink "%USERPROFILE%\Music\iTunes\iTunes Library Extras.itdb" "G:\マイドライブ\100_programs\120_setting\iTunes\iTunes Library Extras.itdb"</v>
      </c>
      <c r="M58" t="s">
        <v>1277</v>
      </c>
    </row>
    <row r="59" spans="1:13">
      <c r="A59" s="1" t="s">
        <v>874</v>
      </c>
      <c r="B59" s="1" t="s">
        <v>908</v>
      </c>
      <c r="C59" s="2" t="s">
        <v>314</v>
      </c>
      <c r="D59" s="2" t="s">
        <v>315</v>
      </c>
      <c r="E59" s="2" t="s">
        <v>16</v>
      </c>
      <c r="F59" s="2" t="s">
        <v>0</v>
      </c>
      <c r="G59" s="1" t="s">
        <v>904</v>
      </c>
      <c r="H59" s="1" t="s">
        <v>1074</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 Genius.itdb" "G:\マイドライブ\100_programs\120_setting\iTunes"</v>
      </c>
      <c r="K59" s="1" t="str">
        <f t="shared" si="3"/>
        <v>move /Y "%USERPROFILE%\Music\iTunes\iTunes Library Genius.itdb" "iTunes Library Genius.itdb_bak"</v>
      </c>
      <c r="L59" s="1" t="str">
        <f t="shared" si="6"/>
        <v>mklink "%USERPROFILE%\Music\iTunes\iTunes Library Genius.itdb" "G:\マイドライブ\100_programs\120_setting\iTunes\iTunes Library Genius.itdb"</v>
      </c>
      <c r="M59" t="s">
        <v>1277</v>
      </c>
    </row>
    <row r="60" spans="1:13">
      <c r="A60" s="1" t="s">
        <v>874</v>
      </c>
      <c r="B60" s="1" t="s">
        <v>909</v>
      </c>
      <c r="C60" s="2" t="s">
        <v>314</v>
      </c>
      <c r="D60" s="2" t="s">
        <v>315</v>
      </c>
      <c r="E60" s="2" t="s">
        <v>16</v>
      </c>
      <c r="F60" s="2" t="s">
        <v>0</v>
      </c>
      <c r="G60" s="1" t="s">
        <v>905</v>
      </c>
      <c r="H60" s="1" t="s">
        <v>1075</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Library.itl" "G:\マイドライブ\100_programs\120_setting\iTunes"</v>
      </c>
      <c r="K60" s="1" t="str">
        <f t="shared" si="3"/>
        <v>move /Y "%USERPROFILE%\Music\iTunes\iTunes Library.itl" "iTunes Library.itl_bak"</v>
      </c>
      <c r="L60" s="1" t="str">
        <f t="shared" si="6"/>
        <v>mklink "%USERPROFILE%\Music\iTunes\iTunes Library.itl" "G:\マイドライブ\100_programs\120_setting\iTunes\iTunes Library.itl"</v>
      </c>
      <c r="M60" t="s">
        <v>1277</v>
      </c>
    </row>
    <row r="61" spans="1:13">
      <c r="A61" s="1" t="s">
        <v>874</v>
      </c>
      <c r="B61" s="1" t="s">
        <v>910</v>
      </c>
      <c r="C61" s="2" t="s">
        <v>314</v>
      </c>
      <c r="D61" s="2" t="s">
        <v>315</v>
      </c>
      <c r="E61" s="2" t="s">
        <v>16</v>
      </c>
      <c r="F61" s="2" t="s">
        <v>0</v>
      </c>
      <c r="G61" s="1" t="s">
        <v>911</v>
      </c>
      <c r="H61" s="1" t="s">
        <v>1076</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"%USERPROFILE%\Music\iTunes\iTunes Music Library.xml" "G:\マイドライブ\100_programs\120_setting\iTunes"</v>
      </c>
      <c r="K61" s="1" t="str">
        <f t="shared" si="3"/>
        <v>move /Y "%USERPROFILE%\Music\iTunes\iTunes Music Library.xml" "iTunes Music Library.xml_bak"</v>
      </c>
      <c r="L61" s="1" t="str">
        <f t="shared" si="6"/>
        <v>mklink "%USERPROFILE%\Music\iTunes\iTunes Music Library.xml" "G:\マイドライブ\100_programs\120_setting\iTunes\iTunes Music Library.xml"</v>
      </c>
      <c r="M61" t="s">
        <v>1277</v>
      </c>
    </row>
    <row r="62" spans="1:13">
      <c r="A62" s="1" t="s">
        <v>874</v>
      </c>
      <c r="B62" s="1" t="s">
        <v>913</v>
      </c>
      <c r="C62" s="2" t="s">
        <v>314</v>
      </c>
      <c r="D62" s="2" t="s">
        <v>315</v>
      </c>
      <c r="E62" s="2" t="s">
        <v>16</v>
      </c>
      <c r="F62" s="2" t="s">
        <v>0</v>
      </c>
      <c r="G62" s="172" t="s">
        <v>912</v>
      </c>
      <c r="H62" s="1" t="s">
        <v>1077</v>
      </c>
      <c r="I62" s="1" t="str" cm="1">
        <f t="array" ref="I62">IF($F62="○","mkdir """&amp;[2]!getdirpath($H62)&amp;"""","")</f>
        <v>mkdir "G:\マイドライブ\100_programs\120_setting\iTunes"</v>
      </c>
      <c r="J62" s="1" t="str" cm="1">
        <f t="array" ref="J62">IF(
  $F62="○",
  IF(
    $E62="file",
    "copy """&amp;$G62&amp;""" """&amp;[2]!getdirpath($H62)&amp;"""",
    "robocopy """&amp;$G62&amp;""" """&amp;H62&amp;""" /MIR /XD ""System Volume Information"""
  ),
  ""
)</f>
        <v>copy "%USERPROFILE%\Music\iTunes\sentinel" "G:\マイドライブ\100_programs\120_setting\iTunes"</v>
      </c>
      <c r="K62" s="1" t="str">
        <f t="shared" si="3"/>
        <v>move /Y "%USERPROFILE%\Music\iTunes\sentinel" "sentinel_bak"</v>
      </c>
      <c r="L62" s="1" t="str">
        <f t="shared" si="6"/>
        <v>mklink "%USERPROFILE%\Music\iTunes\sentinel" "G:\マイドライブ\100_programs\120_setting\iTunes\sentinel"</v>
      </c>
      <c r="M62" t="s">
        <v>1277</v>
      </c>
    </row>
    <row r="63" spans="1:13">
      <c r="A63" s="1" t="s">
        <v>888</v>
      </c>
      <c r="B63" s="1" t="s">
        <v>914</v>
      </c>
      <c r="C63" s="2" t="s">
        <v>314</v>
      </c>
      <c r="D63" s="2" t="s">
        <v>315</v>
      </c>
      <c r="E63" s="2" t="s">
        <v>17</v>
      </c>
      <c r="F63" s="2" t="s">
        <v>0</v>
      </c>
      <c r="G63" s="1" t="s">
        <v>1367</v>
      </c>
      <c r="H63" s="1" t="s">
        <v>313</v>
      </c>
      <c r="I63" s="1" t="str" cm="1">
        <f t="array" ref="I63">IF($F63="○","mkdir """&amp;[2]!getdirpath($H63)&amp;"""","")</f>
        <v>mkdir "X:\720_Evacuate_iTunes\MobileSync"</v>
      </c>
      <c r="J63" s="1" t="str" cm="1">
        <f t="array" ref="J63">IF(
  $F63="○",
  IF(
    $E63="file",
    "copy """&amp;$G63&amp;""" """&amp;[2]!getdirpath($H63)&amp;"""",
    "robocopy """&amp;$G63&amp;""" """&amp;H63&amp;""" /MIR /XD ""System Volume Information"""
  ),
  ""
)</f>
        <v>robocopy "%USERPROFILE%\Apple\MobileSync\Backup" "X:\720_Evacuate_iTunes\MobileSync\BackUp" /MIR /XD "System Volume Information"</v>
      </c>
      <c r="K63" s="1" t="str">
        <f t="shared" si="3"/>
        <v>move /Y "%USERPROFILE%\Apple\MobileSync\Backup" "Backup_bak"</v>
      </c>
      <c r="L63" s="1" t="str">
        <f t="shared" si="6"/>
        <v>mklink /d "%USERPROFILE%\Apple\MobileSync\Backup" "X:\720_Evacuate_iTunes\MobileSync\BackUp"</v>
      </c>
      <c r="M63" t="s">
        <v>1277</v>
      </c>
    </row>
    <row r="64" spans="1:13">
      <c r="A64" s="1" t="s">
        <v>888</v>
      </c>
      <c r="B64" s="1" t="s">
        <v>916</v>
      </c>
      <c r="C64" s="2" t="s">
        <v>314</v>
      </c>
      <c r="D64" s="2" t="s">
        <v>315</v>
      </c>
      <c r="E64" s="2" t="s">
        <v>17</v>
      </c>
      <c r="F64" s="2" t="s">
        <v>0</v>
      </c>
      <c r="G64" s="1" t="s">
        <v>316</v>
      </c>
      <c r="H64" s="1" t="s">
        <v>318</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"%USERPROFILE%\Music\iTunes\Album Artwork" "X:\720_Evacuate_iTunes\iTunes Media" /MIR /XD "System Volume Information"</v>
      </c>
      <c r="K64" s="1" t="str">
        <f t="shared" si="3"/>
        <v>move /Y "%USERPROFILE%\Music\iTunes\Album Artwork" "Album Artwork_bak"</v>
      </c>
      <c r="L64" s="1" t="str">
        <f t="shared" si="6"/>
        <v>mklink /d "%USERPROFILE%\Music\iTunes\Album Artwork" "X:\720_Evacuate_iTunes\iTunes Media"</v>
      </c>
      <c r="M64" t="s">
        <v>1277</v>
      </c>
    </row>
    <row r="65" spans="1:13">
      <c r="A65" s="1" t="s">
        <v>888</v>
      </c>
      <c r="B65" s="1" t="s">
        <v>915</v>
      </c>
      <c r="C65" s="2" t="s">
        <v>314</v>
      </c>
      <c r="D65" s="2" t="s">
        <v>315</v>
      </c>
      <c r="E65" s="2" t="s">
        <v>17</v>
      </c>
      <c r="F65" s="2" t="s">
        <v>0</v>
      </c>
      <c r="G65" s="1" t="s">
        <v>317</v>
      </c>
      <c r="H65" s="1" t="s">
        <v>319</v>
      </c>
      <c r="I65" s="1" t="str" cm="1">
        <f t="array" ref="I65">IF($F65="○","mkdir """&amp;[2]!getdirpath($H65)&amp;"""","")</f>
        <v>mkdir "X:\720_Evacuate_iTunes"</v>
      </c>
      <c r="J65" s="1" t="str" cm="1">
        <f t="array" ref="J65">IF(
  $F65="○",
  IF(
    $E65="file",
    "copy """&amp;$G65&amp;""" """&amp;[2]!getdirpath($H65)&amp;"""",
    "robocopy """&amp;$G65&amp;""" """&amp;H65&amp;""" /MIR /XD ""System Volume Information"""
  ),
  ""
)</f>
        <v>robocopy "%USERPROFILE%\Music\iTunes\iTunes Media" "X:\720_Evacuate_iTunes\MobileSync" /MIR /XD "System Volume Information"</v>
      </c>
      <c r="K65" s="1" t="str">
        <f t="shared" si="3"/>
        <v>move /Y "%USERPROFILE%\Music\iTunes\iTunes Media" "iTunes Media_bak"</v>
      </c>
      <c r="L65" s="1" t="str">
        <f t="shared" si="6"/>
        <v>mklink /d "%USERPROFILE%\Music\iTunes\iTunes Media" "X:\720_Evacuate_iTunes\MobileSync"</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3"/>
        <v/>
      </c>
      <c r="L66" s="1" t="str">
        <f t="shared" si="6"/>
        <v/>
      </c>
      <c r="M66" t="s">
        <v>1277</v>
      </c>
    </row>
    <row r="67" spans="1:13">
      <c r="A67" s="1"/>
      <c r="B67" s="1"/>
      <c r="C67" s="2"/>
      <c r="D67" s="2"/>
      <c r="E67" s="2"/>
      <c r="F67" s="2"/>
      <c r="G67" s="1"/>
      <c r="H67" s="1"/>
      <c r="I67" s="1" t="str" cm="1">
        <f t="array" ref="I67">IF($F67="○","mkdir """&amp;[2]!getdirpath($H67)&amp;"""","")</f>
        <v/>
      </c>
      <c r="J67" s="1" t="str" cm="1">
        <f t="array" ref="J67">IF(
  $F67="○",
  IF(
    $E67="file",
    "copy """&amp;$G67&amp;""" """&amp;[2]!getdirpath($H67)&amp;"""",
    "robocopy """&amp;$G67&amp;""" """&amp;H67&amp;""" /MIR /XD ""System Volume Information"""
  ),
  ""
)</f>
        <v/>
      </c>
      <c r="K67" s="1" t="str">
        <f t="shared" si="3"/>
        <v/>
      </c>
      <c r="L67" s="1" t="str">
        <f t="shared" si="6"/>
        <v/>
      </c>
      <c r="M67" t="s">
        <v>1277</v>
      </c>
    </row>
    <row r="69" spans="1:13">
      <c r="A69" t="s">
        <v>926</v>
      </c>
    </row>
    <row r="70" spans="1:13">
      <c r="A70" s="95" t="s">
        <v>925</v>
      </c>
    </row>
    <row r="71" spans="1:13">
      <c r="A71" t="s">
        <v>891</v>
      </c>
    </row>
    <row r="72" spans="1:13">
      <c r="A72" s="95" t="s">
        <v>890</v>
      </c>
    </row>
    <row r="73" spans="1:13">
      <c r="A73" t="s">
        <v>892</v>
      </c>
    </row>
    <row r="74" spans="1:13">
      <c r="A74" t="s">
        <v>893</v>
      </c>
    </row>
    <row r="75" spans="1:13">
      <c r="A75" t="s">
        <v>918</v>
      </c>
    </row>
    <row r="76" spans="1:13">
      <c r="A76" t="s">
        <v>917</v>
      </c>
    </row>
    <row r="77" spans="1:13">
      <c r="A77" t="s">
        <v>919</v>
      </c>
    </row>
    <row r="78" spans="1:13">
      <c r="A78" t="s">
        <v>924</v>
      </c>
    </row>
    <row r="79" spans="1:13">
      <c r="A79" t="s">
        <v>940</v>
      </c>
    </row>
    <row r="80" spans="1:13">
      <c r="A80" s="95" t="s">
        <v>921</v>
      </c>
    </row>
    <row r="81" spans="1:1">
      <c r="A81" s="95" t="s">
        <v>902</v>
      </c>
    </row>
    <row r="82" spans="1:1">
      <c r="A82" t="s">
        <v>941</v>
      </c>
    </row>
    <row r="83" spans="1:1">
      <c r="A83" t="s">
        <v>949</v>
      </c>
    </row>
    <row r="84" spans="1:1">
      <c r="A84" t="s">
        <v>951</v>
      </c>
    </row>
    <row r="85" spans="1:1">
      <c r="A85" t="s">
        <v>1088</v>
      </c>
    </row>
    <row r="86" spans="1:1">
      <c r="A86" t="s">
        <v>1115</v>
      </c>
    </row>
  </sheetData>
  <autoFilter ref="A11:L67" xr:uid="{00000000-0009-0000-0000-000003000000}"/>
  <phoneticPr fontId="7"/>
  <dataValidations count="2">
    <dataValidation type="list" allowBlank="1" showInputMessage="1" showErrorMessage="1" sqref="E12:E67" xr:uid="{00000000-0002-0000-0300-000000000000}">
      <formula1>"file,folder"</formula1>
    </dataValidation>
    <dataValidation type="list" allowBlank="1" showInputMessage="1" showErrorMessage="1" sqref="C12:D67 F12:F67"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6"/>
  <sheetViews>
    <sheetView showGridLines="0" view="pageBreakPreview" zoomScale="130" zoomScaleNormal="100" zoomScaleSheetLayoutView="130" workbookViewId="0">
      <pane xSplit="2" ySplit="8" topLeftCell="C9" activePane="bottomRight" state="frozen"/>
      <selection pane="topRight" activeCell="C1" sqref="C1"/>
      <selection pane="bottomLeft" activeCell="A9" sqref="A9"/>
      <selection pane="bottomRight" activeCell="C42" sqref="C4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6"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6"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1567</v>
      </c>
      <c r="D42" s="36" t="str">
        <f t="shared" si="3"/>
        <v>createhardlink ~/_dotfiles/.claude/settings.json .claude/settings.json</v>
      </c>
      <c r="E42" s="36" t="str">
        <f t="shared" si="2"/>
        <v>createhardlink ~/_dotfiles/.claude/settings.json .claude/settings.json</v>
      </c>
      <c r="F42" s="37" t="s">
        <v>0</v>
      </c>
      <c r="G42" s="37" t="s">
        <v>0</v>
      </c>
      <c r="H42" s="36"/>
      <c r="I42" t="s">
        <v>28</v>
      </c>
    </row>
    <row r="43" spans="1:9">
      <c r="A43" s="41" t="s">
        <v>1096</v>
      </c>
      <c r="B43" s="41" t="s">
        <v>1097</v>
      </c>
      <c r="C43" s="36" t="s">
        <v>1477</v>
      </c>
      <c r="D43" s="36" t="str">
        <f t="shared" si="3"/>
        <v>agt=gemini &amp;&amp; skill=func-header-comment &amp;&amp; createhardlink ~/_dotfiles/.ai_agents/skills/${skill}/SKILL.md .${agt}/skills/${skill}/SKILL.md</v>
      </c>
      <c r="E43" s="36" t="str">
        <f t="shared" si="2"/>
        <v>agt=gemini &amp;&amp; skill=func-header-comment &amp;&amp; createhardlink ~/_dotfiles/.ai_agents/skills/${skill}/SKILL.md .${agt}/skills/${skill}/SKILL.md</v>
      </c>
      <c r="F43" s="37" t="s">
        <v>0</v>
      </c>
      <c r="G43" s="37" t="s">
        <v>0</v>
      </c>
      <c r="H43" s="36"/>
      <c r="I43" t="s">
        <v>28</v>
      </c>
    </row>
    <row r="44" spans="1:9">
      <c r="A44" s="41" t="s">
        <v>1096</v>
      </c>
      <c r="B44" s="41" t="s">
        <v>1097</v>
      </c>
      <c r="C44" s="36" t="s">
        <v>1478</v>
      </c>
      <c r="D44" s="36" t="str">
        <f t="shared" si="3"/>
        <v>agt=claude &amp;&amp; skill=func-header-comment &amp;&amp; createhardlink ~/_dotfiles/.ai_agents/skills/${skill}/SKILL.md .${agt}/skills/${skill}/SKILL.md</v>
      </c>
      <c r="E44" s="36" t="str">
        <f t="shared" si="2"/>
        <v>agt=claude &amp;&amp; skill=func-header-comment &amp;&amp; createhardlink ~/_dotfiles/.ai_agents/skills/${skill}/SKILL.md .${agt}/skills/${skill}/SKILL.md</v>
      </c>
      <c r="F44" s="37" t="s">
        <v>0</v>
      </c>
      <c r="G44" s="37" t="s">
        <v>0</v>
      </c>
      <c r="H44" s="36"/>
      <c r="I44" t="s">
        <v>28</v>
      </c>
    </row>
    <row r="45" spans="1:9">
      <c r="A45" s="41" t="s">
        <v>1096</v>
      </c>
      <c r="B45" s="41" t="s">
        <v>1097</v>
      </c>
      <c r="C45" s="36" t="s">
        <v>1479</v>
      </c>
      <c r="D45" s="36" t="str">
        <f t="shared" si="3"/>
        <v>agt=gemini &amp;&amp; skill=func-tree           &amp;&amp; createhardlink ~/_dotfiles/.ai_agents/skills/${skill}/SKILL.md .${agt}/skills/${skill}/SKILL.md</v>
      </c>
      <c r="E45" s="36" t="str">
        <f t="shared" si="2"/>
        <v>agt=gemini &amp;&amp; skill=func-tree           &amp;&amp; createhardlink ~/_dotfiles/.ai_agents/skills/${skill}/SKILL.md .${agt}/skills/${skill}/SKILL.md</v>
      </c>
      <c r="F45" s="37" t="s">
        <v>0</v>
      </c>
      <c r="G45" s="37" t="s">
        <v>0</v>
      </c>
      <c r="H45" s="36"/>
      <c r="I45" t="s">
        <v>28</v>
      </c>
    </row>
    <row r="46" spans="1:9">
      <c r="A46" s="41" t="s">
        <v>1096</v>
      </c>
      <c r="B46" s="41" t="s">
        <v>1097</v>
      </c>
      <c r="C46" s="36" t="s">
        <v>1480</v>
      </c>
      <c r="D46" s="36" t="str">
        <f t="shared" si="3"/>
        <v>agt=claude &amp;&amp; skill=func-tree           &amp;&amp; createhardlink ~/_dotfiles/.ai_agents/skills/${skill}/SKILL.md .${agt}/skills/${skill}/SKILL.md</v>
      </c>
      <c r="E46" s="36" t="str">
        <f t="shared" si="2"/>
        <v>agt=claude &amp;&amp; skill=func-tree           &amp;&amp; createhardlink ~/_dotfiles/.ai_agents/skills/${skill}/SKILL.md .${agt}/skills/${skill}/SKILL.md</v>
      </c>
      <c r="F46" s="37" t="s">
        <v>0</v>
      </c>
      <c r="G46" s="37" t="s">
        <v>0</v>
      </c>
      <c r="H46" s="36"/>
      <c r="I46" t="s">
        <v>28</v>
      </c>
    </row>
    <row r="47" spans="1:9">
      <c r="A47" s="26" t="s">
        <v>294</v>
      </c>
      <c r="B47" s="26"/>
      <c r="C47" s="26" t="s">
        <v>1278</v>
      </c>
      <c r="D47" s="26" t="s">
        <v>518</v>
      </c>
      <c r="E47" s="26" t="s">
        <v>1197</v>
      </c>
      <c r="F47" s="15" t="s">
        <v>149</v>
      </c>
      <c r="G47" s="15" t="s">
        <v>149</v>
      </c>
      <c r="H47" s="134" t="s">
        <v>1117</v>
      </c>
      <c r="I47" t="s">
        <v>1109</v>
      </c>
    </row>
    <row r="48" spans="1:9">
      <c r="A48" s="32" t="s">
        <v>517</v>
      </c>
      <c r="B48" s="32" t="s">
        <v>1198</v>
      </c>
      <c r="C48" s="34" t="s">
        <v>1348</v>
      </c>
      <c r="D48" s="34" t="s">
        <v>518</v>
      </c>
      <c r="E48" s="34" t="s">
        <v>1197</v>
      </c>
      <c r="F48" s="35" t="s">
        <v>0</v>
      </c>
      <c r="G48" s="35" t="s">
        <v>0</v>
      </c>
      <c r="H48" s="34" t="s">
        <v>1116</v>
      </c>
      <c r="I48" t="s">
        <v>1109</v>
      </c>
    </row>
    <row r="49" spans="1:9">
      <c r="A49" s="41" t="s">
        <v>517</v>
      </c>
      <c r="B49" s="41"/>
      <c r="C49" s="174" t="s">
        <v>1539</v>
      </c>
      <c r="D49" s="174" t="s">
        <v>39</v>
      </c>
      <c r="E49" s="174"/>
      <c r="F49" s="175"/>
      <c r="G49" s="175"/>
      <c r="H49" s="174"/>
    </row>
    <row r="50" spans="1:9">
      <c r="A50" s="41" t="s">
        <v>517</v>
      </c>
      <c r="B50" s="41"/>
      <c r="C50" s="174" t="s">
        <v>1540</v>
      </c>
      <c r="D50" s="174"/>
      <c r="E50" s="174"/>
      <c r="F50" s="175"/>
      <c r="G50" s="175"/>
      <c r="H50" s="174"/>
    </row>
    <row r="51" spans="1:9">
      <c r="A51" s="41" t="s">
        <v>517</v>
      </c>
      <c r="B51" s="41"/>
      <c r="C51" s="36" t="s">
        <v>1541</v>
      </c>
      <c r="D51" s="36" t="s">
        <v>39</v>
      </c>
      <c r="E51" s="36" t="s">
        <v>39</v>
      </c>
      <c r="F51" s="37" t="s">
        <v>0</v>
      </c>
      <c r="G51" s="37" t="s">
        <v>0</v>
      </c>
      <c r="H51" s="36" t="s">
        <v>537</v>
      </c>
      <c r="I51" t="s">
        <v>28</v>
      </c>
    </row>
    <row r="52" spans="1:9">
      <c r="A52" s="41" t="s">
        <v>517</v>
      </c>
      <c r="B52" s="41"/>
      <c r="C52" s="36" t="s">
        <v>1542</v>
      </c>
      <c r="D52" s="36" t="s">
        <v>518</v>
      </c>
      <c r="E52" s="36" t="s">
        <v>1197</v>
      </c>
      <c r="F52" s="37" t="s">
        <v>0</v>
      </c>
      <c r="G52" s="37" t="s">
        <v>0</v>
      </c>
      <c r="H52" s="36" t="s">
        <v>537</v>
      </c>
      <c r="I52" t="s">
        <v>1109</v>
      </c>
    </row>
    <row r="53" spans="1:9">
      <c r="A53" s="41" t="s">
        <v>517</v>
      </c>
      <c r="B53" s="41"/>
      <c r="C53" s="45" t="s">
        <v>1543</v>
      </c>
      <c r="D53" s="45" t="s">
        <v>518</v>
      </c>
      <c r="E53" s="45" t="s">
        <v>1197</v>
      </c>
      <c r="F53" s="46" t="s">
        <v>0</v>
      </c>
      <c r="G53" s="46" t="s">
        <v>0</v>
      </c>
      <c r="H53" s="45" t="s">
        <v>537</v>
      </c>
      <c r="I53" t="s">
        <v>1109</v>
      </c>
    </row>
    <row r="54" spans="1:9">
      <c r="A54" s="41" t="s">
        <v>517</v>
      </c>
      <c r="B54" s="41"/>
      <c r="C54" s="36" t="s">
        <v>1544</v>
      </c>
      <c r="D54" s="36" t="s">
        <v>39</v>
      </c>
      <c r="E54" s="36" t="s">
        <v>1197</v>
      </c>
      <c r="F54" s="37" t="s">
        <v>0</v>
      </c>
      <c r="G54" s="37" t="s">
        <v>0</v>
      </c>
      <c r="H54" s="36" t="s">
        <v>537</v>
      </c>
      <c r="I54" t="s">
        <v>1109</v>
      </c>
    </row>
    <row r="55" spans="1:9">
      <c r="A55" s="41" t="s">
        <v>517</v>
      </c>
      <c r="B55" s="132"/>
      <c r="C55" s="36" t="s">
        <v>1357</v>
      </c>
      <c r="D55" s="36" t="s">
        <v>39</v>
      </c>
      <c r="E55" s="36" t="s">
        <v>39</v>
      </c>
      <c r="F55" s="37" t="s">
        <v>0</v>
      </c>
      <c r="G55" s="37" t="s">
        <v>0</v>
      </c>
      <c r="H55" s="36" t="s">
        <v>537</v>
      </c>
      <c r="I55" t="s">
        <v>28</v>
      </c>
    </row>
    <row r="56" spans="1:9" s="150" customFormat="1">
      <c r="A56" s="42" t="s">
        <v>517</v>
      </c>
      <c r="B56" s="148" t="s">
        <v>1199</v>
      </c>
      <c r="C56" s="148" t="s">
        <v>1197</v>
      </c>
      <c r="D56" s="151" t="s">
        <v>1202</v>
      </c>
      <c r="E56" s="151" t="s">
        <v>1202</v>
      </c>
      <c r="F56" s="149" t="s">
        <v>0</v>
      </c>
      <c r="G56" s="149" t="s">
        <v>0</v>
      </c>
      <c r="H56" s="148" t="s">
        <v>537</v>
      </c>
      <c r="I56" s="150" t="s">
        <v>28</v>
      </c>
    </row>
    <row r="57" spans="1:9">
      <c r="A57" s="135" t="s">
        <v>519</v>
      </c>
      <c r="B57" s="32"/>
      <c r="C57" s="32" t="s">
        <v>520</v>
      </c>
      <c r="D57" s="32" t="str">
        <f>C$57</f>
        <v>vim ~/.ssh/config</v>
      </c>
      <c r="E57" s="32" t="str">
        <f>D$57</f>
        <v>vim ~/.ssh/config</v>
      </c>
      <c r="F57" s="99" t="s">
        <v>0</v>
      </c>
      <c r="G57" s="99" t="s">
        <v>0</v>
      </c>
      <c r="H57" s="32"/>
      <c r="I57" t="s">
        <v>1109</v>
      </c>
    </row>
    <row r="58" spans="1:9">
      <c r="A58" s="100" t="s">
        <v>1031</v>
      </c>
      <c r="B58" s="1"/>
      <c r="C58" s="98" t="s">
        <v>1035</v>
      </c>
      <c r="D58" s="98" t="s">
        <v>1035</v>
      </c>
      <c r="E58" s="98" t="s">
        <v>1204</v>
      </c>
      <c r="F58" s="15" t="s">
        <v>149</v>
      </c>
      <c r="G58" s="15" t="s">
        <v>149</v>
      </c>
      <c r="H58" s="26" t="s">
        <v>1033</v>
      </c>
      <c r="I58" t="s">
        <v>1109</v>
      </c>
    </row>
    <row r="59" spans="1:9">
      <c r="A59" s="100" t="s">
        <v>1032</v>
      </c>
      <c r="B59" s="1"/>
      <c r="C59" s="98" t="s">
        <v>1035</v>
      </c>
      <c r="D59" s="26" t="s">
        <v>39</v>
      </c>
      <c r="E59" s="26" t="s">
        <v>1197</v>
      </c>
      <c r="F59" s="15" t="s">
        <v>149</v>
      </c>
      <c r="G59" s="15" t="s">
        <v>149</v>
      </c>
      <c r="H59" s="26" t="s">
        <v>1034</v>
      </c>
      <c r="I59" t="s">
        <v>1109</v>
      </c>
    </row>
    <row r="60" spans="1:9">
      <c r="A60" s="136" t="s">
        <v>300</v>
      </c>
      <c r="B60" s="26"/>
      <c r="C60" s="167" t="s">
        <v>301</v>
      </c>
      <c r="D60" s="26" t="str">
        <f>C60</f>
        <v>省略（~/.tmux.conf参照）</v>
      </c>
      <c r="E60" s="26" t="str">
        <f>D60</f>
        <v>省略（~/.tmux.conf参照）</v>
      </c>
      <c r="F60" s="15" t="s">
        <v>149</v>
      </c>
      <c r="G60" s="15" t="s">
        <v>149</v>
      </c>
      <c r="H60" s="26"/>
      <c r="I60" t="s">
        <v>1109</v>
      </c>
    </row>
    <row r="61" spans="1:9">
      <c r="A61" s="137" t="s">
        <v>295</v>
      </c>
      <c r="B61" s="32" t="s">
        <v>1350</v>
      </c>
      <c r="C61" s="168" t="s">
        <v>1279</v>
      </c>
      <c r="D61" s="34" t="str">
        <f>C61</f>
        <v>sudo apt install -y software-properties-common</v>
      </c>
      <c r="E61" s="34" t="s">
        <v>1203</v>
      </c>
      <c r="F61" s="35" t="s">
        <v>149</v>
      </c>
      <c r="G61" s="35" t="s">
        <v>149</v>
      </c>
      <c r="H61" s="34"/>
      <c r="I61" t="s">
        <v>1109</v>
      </c>
    </row>
    <row r="62" spans="1:9">
      <c r="A62" s="138" t="s">
        <v>295</v>
      </c>
      <c r="B62" s="43"/>
      <c r="C62" s="40" t="s">
        <v>302</v>
      </c>
      <c r="D62" s="36" t="str">
        <f t="shared" ref="D62:E72" si="4">C62</f>
        <v>sudo add-apt-repository ppa:greymd/tmux-xpanes</v>
      </c>
      <c r="E62" s="36" t="s">
        <v>39</v>
      </c>
      <c r="F62" s="37" t="s">
        <v>149</v>
      </c>
      <c r="G62" s="37" t="s">
        <v>149</v>
      </c>
      <c r="H62" s="36"/>
      <c r="I62" t="s">
        <v>1109</v>
      </c>
    </row>
    <row r="63" spans="1:9">
      <c r="A63" s="139" t="s">
        <v>295</v>
      </c>
      <c r="B63" s="44"/>
      <c r="C63" s="40" t="s">
        <v>303</v>
      </c>
      <c r="D63" s="36" t="str">
        <f t="shared" si="4"/>
        <v>sudo apt update</v>
      </c>
      <c r="E63" s="36" t="s">
        <v>39</v>
      </c>
      <c r="F63" s="37" t="s">
        <v>149</v>
      </c>
      <c r="G63" s="37" t="s">
        <v>149</v>
      </c>
      <c r="H63" s="36"/>
      <c r="I63" t="s">
        <v>1109</v>
      </c>
    </row>
    <row r="64" spans="1:9">
      <c r="A64" s="44" t="s">
        <v>295</v>
      </c>
      <c r="B64" s="170"/>
      <c r="C64" s="40" t="s">
        <v>304</v>
      </c>
      <c r="D64" s="36" t="str">
        <f t="shared" si="4"/>
        <v>sudo apt install -y tmux-xpanes</v>
      </c>
      <c r="E64" s="36" t="s">
        <v>39</v>
      </c>
      <c r="F64" s="39" t="s">
        <v>149</v>
      </c>
      <c r="G64" s="39" t="s">
        <v>149</v>
      </c>
      <c r="H64" s="38"/>
      <c r="I64" t="s">
        <v>1109</v>
      </c>
    </row>
    <row r="65" spans="1:9">
      <c r="A65" s="145"/>
      <c r="B65" s="38" t="s">
        <v>1349</v>
      </c>
      <c r="C65" s="169" t="s">
        <v>1351</v>
      </c>
      <c r="D65" s="38" t="str">
        <f>C65</f>
        <v>xpanes -e "top" "vmstat 1" "watch -n 1 free"</v>
      </c>
      <c r="E65" s="38" t="s">
        <v>1203</v>
      </c>
      <c r="F65" s="35" t="s">
        <v>149</v>
      </c>
      <c r="G65" s="35" t="s">
        <v>149</v>
      </c>
      <c r="H65" s="34"/>
      <c r="I65" t="s">
        <v>28</v>
      </c>
    </row>
    <row r="66" spans="1:9">
      <c r="A66" s="32" t="s">
        <v>299</v>
      </c>
      <c r="B66" s="32"/>
      <c r="C66" s="34" t="s">
        <v>310</v>
      </c>
      <c r="D66" s="34" t="s">
        <v>310</v>
      </c>
      <c r="E66" s="34" t="s">
        <v>310</v>
      </c>
      <c r="F66" s="35" t="s">
        <v>149</v>
      </c>
      <c r="G66" s="35" t="s">
        <v>149</v>
      </c>
      <c r="H66" s="34"/>
      <c r="I66" t="s">
        <v>1109</v>
      </c>
    </row>
    <row r="67" spans="1:9">
      <c r="A67" s="41" t="s">
        <v>299</v>
      </c>
      <c r="B67" s="41"/>
      <c r="C67" s="36" t="s">
        <v>1464</v>
      </c>
      <c r="D67" s="36" t="s">
        <v>1464</v>
      </c>
      <c r="E67" s="36" t="s">
        <v>1464</v>
      </c>
      <c r="F67" s="37" t="s">
        <v>0</v>
      </c>
      <c r="G67" s="37" t="s">
        <v>0</v>
      </c>
      <c r="H67" s="36"/>
      <c r="I67" t="s">
        <v>1109</v>
      </c>
    </row>
    <row r="68" spans="1:9">
      <c r="A68" s="41" t="s">
        <v>299</v>
      </c>
      <c r="B68" s="41"/>
      <c r="C68" s="36" t="s">
        <v>305</v>
      </c>
      <c r="D68" s="36" t="str">
        <f t="shared" si="4"/>
        <v>git config --global core.editor vim</v>
      </c>
      <c r="E68" s="36" t="str">
        <f t="shared" si="4"/>
        <v>git config --global core.editor vim</v>
      </c>
      <c r="F68" s="37" t="s">
        <v>0</v>
      </c>
      <c r="G68" s="37" t="s">
        <v>0</v>
      </c>
      <c r="H68" s="36"/>
      <c r="I68" t="s">
        <v>1109</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1109</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1109</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1109</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1109</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1109</v>
      </c>
    </row>
    <row r="74" spans="1:9">
      <c r="A74" s="32" t="s">
        <v>1545</v>
      </c>
      <c r="B74" s="45" t="s">
        <v>1546</v>
      </c>
      <c r="C74" s="36" t="s">
        <v>1547</v>
      </c>
      <c r="D74" s="36" t="str">
        <f>$C74</f>
        <v>cd ~/_dotfiles</v>
      </c>
      <c r="E74" s="36" t="str">
        <f>$C74</f>
        <v>cd ~/_dotfiles</v>
      </c>
      <c r="F74" s="37" t="s">
        <v>0</v>
      </c>
      <c r="G74" s="37" t="s">
        <v>0</v>
      </c>
      <c r="H74" s="36"/>
      <c r="I74" t="s">
        <v>28</v>
      </c>
    </row>
    <row r="75" spans="1:9">
      <c r="A75" s="41"/>
      <c r="B75" s="144"/>
      <c r="C75" s="36" t="s">
        <v>1548</v>
      </c>
      <c r="D75" s="36" t="str">
        <f>$C75</f>
        <v>git init</v>
      </c>
      <c r="E75" s="36" t="str">
        <f t="shared" ref="E75:E77" si="6">$C75</f>
        <v>git init</v>
      </c>
      <c r="F75" s="37" t="s">
        <v>0</v>
      </c>
      <c r="G75" s="37" t="s">
        <v>0</v>
      </c>
      <c r="H75" s="36"/>
    </row>
    <row r="76" spans="1:9">
      <c r="A76" s="41"/>
      <c r="B76" s="144"/>
      <c r="C76" s="36" t="s">
        <v>1549</v>
      </c>
      <c r="D76" s="36" t="str">
        <f t="shared" ref="D76:E80" si="7">$C76</f>
        <v>git add *</v>
      </c>
      <c r="E76" s="36" t="str">
        <f t="shared" si="6"/>
        <v>git add *</v>
      </c>
      <c r="F76" s="37" t="s">
        <v>0</v>
      </c>
      <c r="G76" s="37" t="s">
        <v>0</v>
      </c>
      <c r="H76" s="36"/>
    </row>
    <row r="77" spans="1:9">
      <c r="A77" s="41"/>
      <c r="B77" s="144"/>
      <c r="C77" s="36" t="s">
        <v>1550</v>
      </c>
      <c r="D77" s="36" t="str">
        <f t="shared" si="7"/>
        <v>git commit -m 'initial commit'</v>
      </c>
      <c r="E77" s="36" t="str">
        <f t="shared" si="6"/>
        <v>git commit -m 'initial commit'</v>
      </c>
      <c r="F77" s="37" t="s">
        <v>0</v>
      </c>
      <c r="G77" s="37" t="s">
        <v>0</v>
      </c>
      <c r="H77" s="36"/>
    </row>
    <row r="78" spans="1:9">
      <c r="A78" s="41" t="s">
        <v>1096</v>
      </c>
      <c r="B78" s="45" t="s">
        <v>1095</v>
      </c>
      <c r="C78" s="36" t="s">
        <v>1093</v>
      </c>
      <c r="D78" s="36" t="str">
        <f t="shared" si="7"/>
        <v>wget https://raw.githubusercontent.com/draemonash2/codes/master/sh/backup_files.sh</v>
      </c>
      <c r="E78" s="36" t="str">
        <f t="shared" si="7"/>
        <v>wget https://raw.githubusercontent.com/draemonash2/codes/master/sh/backup_files.sh</v>
      </c>
      <c r="F78" s="37" t="s">
        <v>0</v>
      </c>
      <c r="G78" s="37" t="s">
        <v>0</v>
      </c>
      <c r="H78" s="36"/>
      <c r="I78" t="s">
        <v>28</v>
      </c>
    </row>
    <row r="79" spans="1:9">
      <c r="A79" s="41" t="s">
        <v>1096</v>
      </c>
      <c r="B79" s="132" t="s">
        <v>1095</v>
      </c>
      <c r="C79" s="36" t="s">
        <v>1094</v>
      </c>
      <c r="D79" s="36" t="str">
        <f t="shared" si="7"/>
        <v>mv backup_files.sh _backup_files.sh</v>
      </c>
      <c r="E79" s="36" t="str">
        <f t="shared" si="7"/>
        <v>mv backup_files.sh _backup_files.sh</v>
      </c>
      <c r="F79" s="37" t="s">
        <v>0</v>
      </c>
      <c r="G79" s="37" t="s">
        <v>0</v>
      </c>
      <c r="H79" s="36"/>
      <c r="I79" t="s">
        <v>28</v>
      </c>
    </row>
    <row r="80" spans="1:9">
      <c r="A80" s="42" t="s">
        <v>1096</v>
      </c>
      <c r="B80" s="38" t="s">
        <v>1099</v>
      </c>
      <c r="C80" s="38" t="s">
        <v>1098</v>
      </c>
      <c r="D80" s="38" t="str">
        <f t="shared" si="7"/>
        <v>crontab -e</v>
      </c>
      <c r="E80" s="38" t="str">
        <f t="shared" si="7"/>
        <v>crontab -e</v>
      </c>
      <c r="F80" s="39" t="s">
        <v>0</v>
      </c>
      <c r="G80" s="39" t="s">
        <v>0</v>
      </c>
      <c r="H80" s="38"/>
      <c r="I80" t="s">
        <v>28</v>
      </c>
    </row>
    <row r="81" spans="1:9">
      <c r="A81" t="s">
        <v>1240</v>
      </c>
      <c r="B81" s="33" t="s">
        <v>1239</v>
      </c>
      <c r="C81" s="34" t="s">
        <v>1180</v>
      </c>
      <c r="D81" s="34" t="str">
        <f>C81</f>
        <v>sudo apt-get update</v>
      </c>
      <c r="E81" s="152" t="s">
        <v>1197</v>
      </c>
      <c r="F81" s="35" t="s">
        <v>1190</v>
      </c>
      <c r="G81" s="35" t="s">
        <v>1190</v>
      </c>
      <c r="H81" s="34"/>
      <c r="I81" t="s">
        <v>1109</v>
      </c>
    </row>
    <row r="82" spans="1:9">
      <c r="A82" s="144"/>
      <c r="B82" s="144"/>
      <c r="C82" s="36" t="s">
        <v>1181</v>
      </c>
      <c r="D82" s="36" t="str">
        <f t="shared" ref="D82:D89" si="8">C82</f>
        <v>sudo apt-get install -y ca-certificates curl gnupg lsb-release</v>
      </c>
      <c r="E82" s="153" t="s">
        <v>1197</v>
      </c>
      <c r="F82" s="37" t="s">
        <v>1190</v>
      </c>
      <c r="G82" s="37" t="s">
        <v>1190</v>
      </c>
      <c r="H82" s="36"/>
      <c r="I82" t="s">
        <v>1109</v>
      </c>
    </row>
    <row r="83" spans="1:9">
      <c r="A83" s="144"/>
      <c r="B83" s="144"/>
      <c r="C83" s="36" t="s">
        <v>1182</v>
      </c>
      <c r="D83" s="36" t="str">
        <f t="shared" si="8"/>
        <v>sudo mkdir -p /etc/apt/keyrings</v>
      </c>
      <c r="E83" s="153" t="s">
        <v>1197</v>
      </c>
      <c r="F83" s="37" t="s">
        <v>1190</v>
      </c>
      <c r="G83" s="37" t="s">
        <v>1190</v>
      </c>
      <c r="H83" s="36"/>
      <c r="I83" t="s">
        <v>1109</v>
      </c>
    </row>
    <row r="84" spans="1:9">
      <c r="A84" s="144"/>
      <c r="B84" s="144"/>
      <c r="C84" s="36" t="s">
        <v>1183</v>
      </c>
      <c r="D84" s="36" t="str">
        <f t="shared" si="8"/>
        <v>curl -fsSL https://download.docker.com/linux/ubuntu/gpg | sudo gpg --dearmor -o /etc/apt/keyrings/docker.gpg</v>
      </c>
      <c r="E84" s="153" t="s">
        <v>1197</v>
      </c>
      <c r="F84" s="37" t="s">
        <v>1190</v>
      </c>
      <c r="G84" s="37" t="s">
        <v>1190</v>
      </c>
      <c r="H84" s="36"/>
      <c r="I84" t="s">
        <v>28</v>
      </c>
    </row>
    <row r="85" spans="1:9">
      <c r="A85" s="144"/>
      <c r="B85" s="144"/>
      <c r="C85" s="36" t="s">
        <v>1184</v>
      </c>
      <c r="D85" s="36" t="str">
        <f t="shared" si="8"/>
        <v>echo "deb [arch=$(dpkg --print-architecture) signed-by=/etc/apt/keyrings/docker.gpg] https://download.docker.com/linux/ubuntu $(lsb_release -cs) stable" | sudo tee /etc/apt/sources.list.d/docker.list &gt; /dev/null</v>
      </c>
      <c r="E85" s="153" t="s">
        <v>1197</v>
      </c>
      <c r="F85" s="37" t="s">
        <v>1190</v>
      </c>
      <c r="G85" s="37" t="s">
        <v>1190</v>
      </c>
      <c r="H85" s="36"/>
      <c r="I85" t="s">
        <v>28</v>
      </c>
    </row>
    <row r="86" spans="1:9">
      <c r="A86" s="144"/>
      <c r="B86" s="144"/>
      <c r="C86" s="36" t="s">
        <v>1180</v>
      </c>
      <c r="D86" s="36" t="str">
        <f t="shared" si="8"/>
        <v>sudo apt-get update</v>
      </c>
      <c r="E86" s="153" t="s">
        <v>1197</v>
      </c>
      <c r="F86" s="37" t="s">
        <v>1190</v>
      </c>
      <c r="G86" s="37" t="s">
        <v>1190</v>
      </c>
      <c r="H86" s="36"/>
      <c r="I86" t="s">
        <v>28</v>
      </c>
    </row>
    <row r="87" spans="1:9">
      <c r="A87" s="144"/>
      <c r="B87" s="144"/>
      <c r="C87" s="36" t="s">
        <v>1185</v>
      </c>
      <c r="D87" s="36" t="str">
        <f t="shared" si="8"/>
        <v>sudo apt-get install -y docker-ce docker-ce-cli containerd.io docker-compose-plugin</v>
      </c>
      <c r="E87" s="153" t="s">
        <v>1197</v>
      </c>
      <c r="F87" s="37" t="s">
        <v>1190</v>
      </c>
      <c r="G87" s="37" t="s">
        <v>1190</v>
      </c>
      <c r="H87" s="36"/>
      <c r="I87" t="s">
        <v>28</v>
      </c>
    </row>
    <row r="88" spans="1:9">
      <c r="A88" s="144"/>
      <c r="B88" s="144"/>
      <c r="C88" s="36" t="s">
        <v>1186</v>
      </c>
      <c r="D88" s="36" t="str">
        <f t="shared" si="8"/>
        <v>sudo groupadd docker</v>
      </c>
      <c r="E88" s="153" t="s">
        <v>1197</v>
      </c>
      <c r="F88" s="37" t="s">
        <v>1190</v>
      </c>
      <c r="G88" s="37" t="s">
        <v>1190</v>
      </c>
      <c r="H88" s="36"/>
      <c r="I88" t="s">
        <v>28</v>
      </c>
    </row>
    <row r="89" spans="1:9">
      <c r="A89" s="144"/>
      <c r="B89" s="144"/>
      <c r="C89" s="36" t="s">
        <v>1187</v>
      </c>
      <c r="D89" s="36" t="str">
        <f t="shared" si="8"/>
        <v>sudo usermod -aG docker $USER</v>
      </c>
      <c r="E89" s="153" t="s">
        <v>1197</v>
      </c>
      <c r="F89" s="37" t="s">
        <v>1190</v>
      </c>
      <c r="G89" s="37" t="s">
        <v>1190</v>
      </c>
      <c r="H89" s="36"/>
      <c r="I89" t="s">
        <v>28</v>
      </c>
    </row>
    <row r="90" spans="1:9">
      <c r="A90" s="144"/>
      <c r="B90" s="145"/>
      <c r="C90" s="38" t="s">
        <v>1188</v>
      </c>
      <c r="D90" s="38" t="s">
        <v>39</v>
      </c>
      <c r="E90" s="154" t="s">
        <v>1197</v>
      </c>
      <c r="F90" s="39" t="s">
        <v>1190</v>
      </c>
      <c r="G90" s="39" t="s">
        <v>1190</v>
      </c>
      <c r="H90" s="38" t="s">
        <v>1189</v>
      </c>
      <c r="I90" t="s">
        <v>28</v>
      </c>
    </row>
    <row r="91" spans="1:9">
      <c r="A91" s="144"/>
      <c r="B91" s="144" t="s">
        <v>1238</v>
      </c>
      <c r="C91" s="144" t="s">
        <v>1551</v>
      </c>
      <c r="D91" s="144" t="str">
        <f>$C91</f>
        <v>mkdir -p ~/.docker; echo -e "{\n    \"detachKeys\": \"ctrl-\\\\\\\\,ctrl-\\\\\\\\\"\n}" &gt; ~/.docker/config.json</v>
      </c>
      <c r="E91" s="160" t="s">
        <v>1241</v>
      </c>
      <c r="F91" s="39" t="s">
        <v>149</v>
      </c>
      <c r="G91" s="39" t="s">
        <v>149</v>
      </c>
      <c r="H91" s="144"/>
    </row>
    <row r="92" spans="1:9">
      <c r="A92" s="144"/>
      <c r="B92" s="32" t="s">
        <v>1236</v>
      </c>
      <c r="C92" s="34" t="s">
        <v>1103</v>
      </c>
      <c r="D92" s="34" t="s">
        <v>1101</v>
      </c>
      <c r="E92" s="152" t="s">
        <v>1197</v>
      </c>
      <c r="F92" s="35" t="s">
        <v>0</v>
      </c>
      <c r="G92" s="35" t="s">
        <v>0</v>
      </c>
      <c r="H92" s="34"/>
      <c r="I92" t="s">
        <v>1109</v>
      </c>
    </row>
    <row r="93" spans="1:9">
      <c r="A93" s="41" t="s">
        <v>1102</v>
      </c>
      <c r="B93" s="41" t="s">
        <v>1100</v>
      </c>
      <c r="C93" s="45" t="s">
        <v>1104</v>
      </c>
      <c r="D93" s="45" t="s">
        <v>1105</v>
      </c>
      <c r="E93" s="173" t="s">
        <v>1197</v>
      </c>
      <c r="F93" s="46" t="s">
        <v>0</v>
      </c>
      <c r="G93" s="46" t="s">
        <v>0</v>
      </c>
      <c r="H93" s="45"/>
      <c r="I93" t="s">
        <v>1109</v>
      </c>
    </row>
    <row r="94" spans="1:9">
      <c r="A94" s="41" t="s">
        <v>1102</v>
      </c>
      <c r="B94" s="41" t="s">
        <v>1100</v>
      </c>
      <c r="C94" s="45" t="s">
        <v>1410</v>
      </c>
      <c r="D94" s="45" t="s">
        <v>1411</v>
      </c>
      <c r="E94" s="173" t="s">
        <v>39</v>
      </c>
      <c r="F94" s="46" t="s">
        <v>0</v>
      </c>
      <c r="G94" s="46" t="s">
        <v>0</v>
      </c>
      <c r="H94" s="45"/>
      <c r="I94" t="s">
        <v>28</v>
      </c>
    </row>
    <row r="95" spans="1:9">
      <c r="A95" s="42" t="s">
        <v>1102</v>
      </c>
      <c r="B95" s="26" t="s">
        <v>1237</v>
      </c>
      <c r="C95" s="26" t="s">
        <v>1163</v>
      </c>
      <c r="D95" s="26" t="s">
        <v>1163</v>
      </c>
      <c r="E95" s="155" t="s">
        <v>1197</v>
      </c>
      <c r="F95" s="15" t="s">
        <v>0</v>
      </c>
      <c r="G95" s="15" t="s">
        <v>0</v>
      </c>
      <c r="H95" s="26" t="s">
        <v>1164</v>
      </c>
      <c r="I95" t="s">
        <v>1109</v>
      </c>
    </row>
    <row r="96" spans="1:9">
      <c r="A96" s="33" t="s">
        <v>1552</v>
      </c>
      <c r="B96" s="32"/>
      <c r="C96" s="34" t="s">
        <v>1553</v>
      </c>
      <c r="D96" s="34" t="s">
        <v>310</v>
      </c>
      <c r="E96" s="34" t="s">
        <v>310</v>
      </c>
      <c r="F96" s="35" t="s">
        <v>149</v>
      </c>
      <c r="G96" s="35" t="s">
        <v>149</v>
      </c>
      <c r="H96" s="34"/>
      <c r="I96" t="s">
        <v>28</v>
      </c>
    </row>
    <row r="97" spans="1:9">
      <c r="A97" s="41" t="s">
        <v>299</v>
      </c>
      <c r="B97" s="41"/>
      <c r="C97" s="36" t="s">
        <v>1554</v>
      </c>
      <c r="D97" s="36" t="s">
        <v>1464</v>
      </c>
      <c r="E97" s="36" t="s">
        <v>1464</v>
      </c>
      <c r="F97" s="37" t="s">
        <v>0</v>
      </c>
      <c r="G97" s="37" t="s">
        <v>0</v>
      </c>
      <c r="H97" s="36"/>
      <c r="I97" t="s">
        <v>28</v>
      </c>
    </row>
    <row r="98" spans="1:9">
      <c r="A98" s="41" t="s">
        <v>299</v>
      </c>
      <c r="B98" s="41"/>
      <c r="C98" s="36" t="s">
        <v>1555</v>
      </c>
      <c r="D98" s="36" t="str">
        <f t="shared" ref="D98:E100" si="9">C98</f>
        <v>nvm install 24</v>
      </c>
      <c r="E98" s="36" t="str">
        <f t="shared" si="9"/>
        <v>nvm install 24</v>
      </c>
      <c r="F98" s="37" t="s">
        <v>0</v>
      </c>
      <c r="G98" s="37" t="s">
        <v>0</v>
      </c>
      <c r="H98" s="36"/>
      <c r="I98" t="s">
        <v>28</v>
      </c>
    </row>
    <row r="99" spans="1:9">
      <c r="A99" s="41" t="s">
        <v>299</v>
      </c>
      <c r="B99" s="41"/>
      <c r="C99" s="36" t="s">
        <v>1556</v>
      </c>
      <c r="D99" s="36" t="str">
        <f t="shared" si="9"/>
        <v>node -v</v>
      </c>
      <c r="E99" s="36" t="str">
        <f t="shared" si="9"/>
        <v>node -v</v>
      </c>
      <c r="F99" s="37" t="s">
        <v>0</v>
      </c>
      <c r="G99" s="37" t="s">
        <v>0</v>
      </c>
      <c r="H99" s="36"/>
      <c r="I99" t="s">
        <v>28</v>
      </c>
    </row>
    <row r="100" spans="1:9">
      <c r="A100" s="42" t="s">
        <v>299</v>
      </c>
      <c r="B100" s="42"/>
      <c r="C100" s="38" t="s">
        <v>1557</v>
      </c>
      <c r="D100" s="38" t="str">
        <f t="shared" si="9"/>
        <v>npm -v</v>
      </c>
      <c r="E100" s="38" t="str">
        <f t="shared" si="9"/>
        <v>npm -v</v>
      </c>
      <c r="F100" s="39" t="s">
        <v>0</v>
      </c>
      <c r="G100" s="39" t="s">
        <v>0</v>
      </c>
      <c r="H100" s="38"/>
      <c r="I100" t="s">
        <v>28</v>
      </c>
    </row>
    <row r="101" spans="1:9">
      <c r="A101" s="26" t="s">
        <v>1558</v>
      </c>
      <c r="B101" s="26"/>
      <c r="C101" s="26" t="s">
        <v>1559</v>
      </c>
      <c r="D101" s="26"/>
      <c r="E101" s="26"/>
      <c r="F101" s="15"/>
      <c r="G101" s="15"/>
      <c r="H101" s="26"/>
      <c r="I101" t="s">
        <v>28</v>
      </c>
    </row>
    <row r="102" spans="1:9">
      <c r="A102" s="26" t="s">
        <v>1560</v>
      </c>
      <c r="B102" s="26"/>
      <c r="C102" s="26" t="s">
        <v>1561</v>
      </c>
      <c r="D102" s="26"/>
      <c r="E102" s="26"/>
      <c r="F102" s="15"/>
      <c r="G102" s="15"/>
      <c r="H102" s="26"/>
      <c r="I102" t="s">
        <v>28</v>
      </c>
    </row>
    <row r="103" spans="1:9">
      <c r="A103" s="26"/>
      <c r="B103" s="26"/>
      <c r="C103" s="26"/>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28</v>
      </c>
    </row>
    <row r="107" spans="1:9">
      <c r="A107" s="26"/>
      <c r="B107" s="26"/>
      <c r="C107" s="26"/>
      <c r="D107" s="26"/>
      <c r="E107" s="26"/>
      <c r="F107" s="15"/>
      <c r="G107" s="15"/>
      <c r="H107" s="26"/>
      <c r="I107" t="s">
        <v>1109</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row r="116" spans="1:9">
      <c r="A116" s="26"/>
      <c r="B116" s="26"/>
      <c r="C116" s="26"/>
      <c r="D116" s="26"/>
      <c r="E116" s="26"/>
      <c r="F116" s="15"/>
      <c r="G116" s="15"/>
      <c r="H116" s="26"/>
      <c r="I116" t="s">
        <v>1109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81" r:id="rId8" display="Docker インストール" xr:uid="{00000000-0004-0000-0400-000007000000}"/>
    <hyperlink ref="A96"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2026-10-24T04:53:04Z</dcterms:modified>
</cp:coreProperties>
</file>