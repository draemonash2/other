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1D618488-AEA8-4FCA-A47E-C859CB668499}" xr6:coauthVersionLast="47" xr6:coauthVersionMax="47" xr10:uidLastSave="{00000000-0000-0000-0000-000000000000}"/>
  <bookViews>
    <workbookView xWindow="15" yWindow="15" windowWidth="38385" windowHeight="42465" activeTab="4"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shortcut!$A$9:$AJ$230</definedName>
    <definedName name="_xlnm._FilterDatabase" localSheetId="3" hidden="1">symlink!$A$11:$L$67</definedName>
    <definedName name="_xlnm._FilterDatabase" localSheetId="0" hidden="1">セットアップ事項!$A$2:$M$83</definedName>
    <definedName name="_xlnm.Print_Area" localSheetId="4">linux環境構築!$A$6:$H$117</definedName>
    <definedName name="_xlnm.Print_Area" localSheetId="2">shortcut!$A$8:$AI$230</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43" i="14" l="1"/>
  <c r="D43" i="14"/>
  <c r="AI228" i="20"/>
  <c r="AH228" i="20"/>
  <c r="AG228" i="20"/>
  <c r="AF228" i="20"/>
  <c r="AE228" i="20"/>
  <c r="AD228" i="20"/>
  <c r="AC228" i="20"/>
  <c r="AB228" i="20"/>
  <c r="AA228" i="20"/>
  <c r="Z228" i="20"/>
  <c r="Y228" i="20"/>
  <c r="X228" i="20"/>
  <c r="W228" i="20"/>
  <c r="V228" i="20"/>
  <c r="U228" i="20"/>
  <c r="T228" i="20"/>
  <c r="S228" i="20"/>
  <c r="R228" i="20"/>
  <c r="AI227" i="20"/>
  <c r="AH227" i="20"/>
  <c r="AG227" i="20"/>
  <c r="AF227" i="20"/>
  <c r="AE227" i="20"/>
  <c r="AD227" i="20"/>
  <c r="AC227" i="20"/>
  <c r="AA227" i="20"/>
  <c r="Z227" i="20"/>
  <c r="Y227" i="20"/>
  <c r="X227" i="20"/>
  <c r="W227" i="20"/>
  <c r="S227" i="20"/>
  <c r="R227" i="20"/>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AI226" i="20"/>
  <c r="AH226" i="20"/>
  <c r="AG226" i="20"/>
  <c r="AF226" i="20"/>
  <c r="AE226" i="20"/>
  <c r="AD226" i="20"/>
  <c r="AC226" i="20"/>
  <c r="AA226" i="20"/>
  <c r="Z226" i="20"/>
  <c r="Y226" i="20"/>
  <c r="X226" i="20"/>
  <c r="W226" i="20" s="1"/>
  <c r="V226" i="20"/>
  <c r="T226" i="20"/>
  <c r="S226" i="20"/>
  <c r="R226" i="20"/>
  <c r="D42" i="14"/>
  <c r="E42" i="14"/>
  <c r="L17" i="4"/>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D101" i="14"/>
  <c r="E101" i="14" s="1"/>
  <c r="D100" i="14"/>
  <c r="E100" i="14" s="1"/>
  <c r="D99" i="14"/>
  <c r="E99" i="14" s="1"/>
  <c r="E81" i="14"/>
  <c r="D81" i="14"/>
  <c r="E80" i="14"/>
  <c r="D80" i="14"/>
  <c r="E79" i="14"/>
  <c r="D79" i="14"/>
  <c r="E78" i="14"/>
  <c r="D78" i="14"/>
  <c r="E77" i="14"/>
  <c r="D77" i="14"/>
  <c r="E76" i="14"/>
  <c r="D76" i="14"/>
  <c r="E75" i="14"/>
  <c r="D75" i="14"/>
  <c r="J17" i="4" a="1"/>
  <c r="I41" i="4" a="1"/>
  <c r="J62" i="4" a="1"/>
  <c r="J34" i="4" a="1"/>
  <c r="J26" i="4" a="1"/>
  <c r="I45" i="4" a="1"/>
  <c r="J30" i="4" a="1"/>
  <c r="I52" i="4" a="1"/>
  <c r="I62" i="4" a="1"/>
  <c r="I44" i="4" a="1"/>
  <c r="I57" i="4" a="1"/>
  <c r="I36" i="4" a="1"/>
  <c r="I24" i="4" a="1"/>
  <c r="J25" i="4" a="1"/>
  <c r="I16" i="4" a="1"/>
  <c r="I61" i="4" a="1"/>
  <c r="J40" i="4" a="1"/>
  <c r="I27" i="4" a="1"/>
  <c r="I33" i="4" a="1"/>
  <c r="J28" i="4" a="1"/>
  <c r="I43" i="4" a="1"/>
  <c r="I38" i="4" a="1"/>
  <c r="I37" i="4" a="1"/>
  <c r="I40" i="4" a="1"/>
  <c r="I23" i="4" a="1"/>
  <c r="I60" i="4" a="1"/>
  <c r="I20" i="4" a="1"/>
  <c r="I18" i="4" a="1"/>
  <c r="I56" i="4" a="1"/>
  <c r="I53" i="4" a="1"/>
  <c r="I12" i="4" a="1"/>
  <c r="J59" i="4" a="1"/>
  <c r="I65" i="4" a="1"/>
  <c r="J24" i="4" a="1"/>
  <c r="J38" i="4" a="1"/>
  <c r="I21" i="4" a="1"/>
  <c r="I64" i="4" a="1"/>
  <c r="I34" i="4" a="1"/>
  <c r="I29" i="4" a="1"/>
  <c r="I59" i="4" a="1"/>
  <c r="I14" i="4" a="1"/>
  <c r="I39" i="4" a="1"/>
  <c r="J31" i="4" a="1"/>
  <c r="J37" i="4" a="1"/>
  <c r="J27" i="4" a="1"/>
  <c r="J60" i="4" a="1"/>
  <c r="E16" i="20" a="1"/>
  <c r="I30" i="4" a="1"/>
  <c r="I58" i="4" a="1"/>
  <c r="I17" i="4" a="1"/>
  <c r="I32" i="4" a="1"/>
  <c r="I13" i="4" a="1"/>
  <c r="I51" i="4" a="1"/>
  <c r="I50" i="4" a="1"/>
  <c r="J33" i="4" a="1"/>
  <c r="J39" i="4" a="1"/>
  <c r="J32" i="4" a="1"/>
  <c r="I47" i="4" a="1"/>
  <c r="I42" i="4" a="1"/>
  <c r="J21" i="4" a="1"/>
  <c r="J35" i="4" a="1"/>
  <c r="I26" i="4" a="1"/>
  <c r="I31" i="4" a="1"/>
  <c r="I25" i="4" a="1"/>
  <c r="I15" i="4" a="1"/>
  <c r="E85" i="20" a="1"/>
  <c r="I63" i="4" a="1"/>
  <c r="I49" i="4" a="1"/>
  <c r="I48" i="4" a="1"/>
  <c r="I35" i="4" a="1"/>
  <c r="J36" i="4" a="1"/>
  <c r="I22" i="4" a="1"/>
  <c r="J56" i="4" a="1"/>
  <c r="J61" i="4" a="1"/>
  <c r="I28" i="4" a="1"/>
  <c r="J29" i="4" a="1"/>
  <c r="J58" i="4" a="1"/>
  <c r="I20" i="4" l="1"/>
  <c r="I40" i="4"/>
  <c r="I48" i="4"/>
  <c r="J28" i="4"/>
  <c r="J40" i="4"/>
  <c r="J60" i="4"/>
  <c r="I25" i="4"/>
  <c r="I57" i="4"/>
  <c r="J21" i="4"/>
  <c r="J33" i="4"/>
  <c r="I14" i="4"/>
  <c r="I34" i="4"/>
  <c r="J26" i="4"/>
  <c r="J34" i="4"/>
  <c r="J58" i="4"/>
  <c r="I28" i="4"/>
  <c r="I60" i="4"/>
  <c r="J36" i="4"/>
  <c r="I17" i="4"/>
  <c r="I33" i="4"/>
  <c r="I61" i="4"/>
  <c r="J25" i="4"/>
  <c r="J37" i="4"/>
  <c r="I26" i="4"/>
  <c r="I42" i="4"/>
  <c r="I50" i="4"/>
  <c r="I62" i="4"/>
  <c r="J30" i="4"/>
  <c r="J38" i="4"/>
  <c r="J62" i="4"/>
  <c r="I12" i="4"/>
  <c r="I56" i="4"/>
  <c r="J56" i="4"/>
  <c r="I37" i="4"/>
  <c r="I49" i="4"/>
  <c r="I30" i="4"/>
  <c r="E16" i="20"/>
  <c r="I15" i="4"/>
  <c r="I31" i="4"/>
  <c r="I39" i="4"/>
  <c r="I47" i="4"/>
  <c r="I51" i="4"/>
  <c r="I59" i="4"/>
  <c r="I64" i="4"/>
  <c r="J24" i="4"/>
  <c r="I41" i="4"/>
  <c r="I53" i="4"/>
  <c r="I18" i="4"/>
  <c r="I23" i="4"/>
  <c r="I35" i="4"/>
  <c r="I43" i="4"/>
  <c r="I63" i="4"/>
  <c r="I16" i="4"/>
  <c r="I24" i="4"/>
  <c r="I36" i="4"/>
  <c r="I44" i="4"/>
  <c r="J32" i="4"/>
  <c r="I13" i="4"/>
  <c r="I29" i="4"/>
  <c r="I45" i="4"/>
  <c r="I65" i="4"/>
  <c r="J17" i="4"/>
  <c r="J29" i="4"/>
  <c r="J61" i="4"/>
  <c r="I22" i="4"/>
  <c r="I38" i="4"/>
  <c r="I58" i="4"/>
  <c r="I27" i="4"/>
  <c r="E85" i="20"/>
  <c r="J27" i="4"/>
  <c r="J31" i="4"/>
  <c r="J35" i="4"/>
  <c r="J39" i="4"/>
  <c r="I32" i="4"/>
  <c r="I52" i="4"/>
  <c r="I21" i="4"/>
  <c r="J59" i="4"/>
  <c r="R206" i="20"/>
  <c r="T206" i="20"/>
  <c r="V206" i="20"/>
  <c r="W206" i="20"/>
  <c r="X206" i="20"/>
  <c r="Y206" i="20"/>
  <c r="Z206" i="20"/>
  <c r="AA206" i="20"/>
  <c r="AC206" i="20"/>
  <c r="AD206" i="20"/>
  <c r="AE206" i="20"/>
  <c r="AF206" i="20"/>
  <c r="AG206" i="20"/>
  <c r="AH206" i="20"/>
  <c r="AI206" i="20"/>
  <c r="R207" i="20"/>
  <c r="T207" i="20"/>
  <c r="V207" i="20"/>
  <c r="W207" i="20"/>
  <c r="X207" i="20"/>
  <c r="Y207" i="20"/>
  <c r="Z207" i="20"/>
  <c r="AA207" i="20"/>
  <c r="AC207" i="20"/>
  <c r="AD207" i="20"/>
  <c r="AF207" i="20"/>
  <c r="AE207" i="20" s="1"/>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X211" i="20"/>
  <c r="W211" i="20" s="1"/>
  <c r="Y211" i="20"/>
  <c r="Z211" i="20"/>
  <c r="AA211" i="20"/>
  <c r="AC211" i="20"/>
  <c r="AD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W213" i="20"/>
  <c r="X213" i="20"/>
  <c r="Y213" i="20"/>
  <c r="Z213" i="20"/>
  <c r="AC213" i="20"/>
  <c r="AE213" i="20"/>
  <c r="AF213" i="20"/>
  <c r="AG213" i="20"/>
  <c r="AH213" i="20"/>
  <c r="AI213" i="20"/>
  <c r="R214" i="20"/>
  <c r="T214" i="20"/>
  <c r="V214" i="20"/>
  <c r="X214" i="20"/>
  <c r="W214" i="20" s="1"/>
  <c r="Y214" i="20"/>
  <c r="Z214" i="20"/>
  <c r="AA214" i="20"/>
  <c r="AC214" i="20"/>
  <c r="AD214" i="20"/>
  <c r="AE214" i="20"/>
  <c r="AF214" i="20"/>
  <c r="AG214" i="20"/>
  <c r="AH214" i="20"/>
  <c r="AI214" i="20"/>
  <c r="R215" i="20"/>
  <c r="T215" i="20"/>
  <c r="V215" i="20"/>
  <c r="X215" i="20"/>
  <c r="W215" i="20" s="1"/>
  <c r="Y215" i="20"/>
  <c r="Z215" i="20"/>
  <c r="AA215" i="20"/>
  <c r="AC215" i="20"/>
  <c r="AD215" i="20"/>
  <c r="AE215" i="20"/>
  <c r="AF215" i="20"/>
  <c r="AG215" i="20"/>
  <c r="AH215" i="20"/>
  <c r="AI215" i="20"/>
  <c r="AI145" i="20"/>
  <c r="AH145" i="20"/>
  <c r="AG145" i="20"/>
  <c r="AF145" i="20"/>
  <c r="AE145" i="20"/>
  <c r="AD145" i="20"/>
  <c r="AC145" i="20"/>
  <c r="AA145" i="20"/>
  <c r="Z145" i="20"/>
  <c r="Y145" i="20"/>
  <c r="X145" i="20"/>
  <c r="W145" i="20"/>
  <c r="R145" i="20"/>
  <c r="AI132" i="20"/>
  <c r="AH132" i="20"/>
  <c r="AG132" i="20"/>
  <c r="AF132" i="20"/>
  <c r="AE132" i="20"/>
  <c r="AD132" i="20"/>
  <c r="AC132" i="20"/>
  <c r="AA132" i="20"/>
  <c r="Z132" i="20"/>
  <c r="Y132" i="20"/>
  <c r="X132" i="20"/>
  <c r="W132" i="20"/>
  <c r="R132" i="20"/>
  <c r="AI225" i="20"/>
  <c r="AH225" i="20"/>
  <c r="AG225" i="20"/>
  <c r="AF225" i="20"/>
  <c r="AE225" i="20"/>
  <c r="AD225" i="20"/>
  <c r="AC225" i="20"/>
  <c r="AA225" i="20"/>
  <c r="Z225" i="20"/>
  <c r="Y225" i="20"/>
  <c r="X225" i="20"/>
  <c r="W225" i="20" s="1"/>
  <c r="V225" i="20"/>
  <c r="T225" i="20"/>
  <c r="R225" i="20"/>
  <c r="AI131" i="20"/>
  <c r="AH131" i="20"/>
  <c r="AG131" i="20"/>
  <c r="AF131" i="20"/>
  <c r="AE131" i="20" s="1"/>
  <c r="AD131" i="20"/>
  <c r="AC131" i="20"/>
  <c r="AA131" i="20"/>
  <c r="Z131" i="20"/>
  <c r="Y131" i="20"/>
  <c r="X131" i="20"/>
  <c r="W131" i="20"/>
  <c r="R131" i="20"/>
  <c r="AI158" i="20"/>
  <c r="AH158" i="20"/>
  <c r="AG158" i="20"/>
  <c r="AF158" i="20"/>
  <c r="AE158" i="20" s="1"/>
  <c r="AD158" i="20"/>
  <c r="AC158" i="20"/>
  <c r="AA158" i="20"/>
  <c r="Z158" i="20"/>
  <c r="Y158" i="20"/>
  <c r="X158" i="20"/>
  <c r="W158" i="20"/>
  <c r="V158" i="20"/>
  <c r="T158" i="20"/>
  <c r="R158" i="20"/>
  <c r="AI130" i="20"/>
  <c r="AH130" i="20"/>
  <c r="AG130" i="20"/>
  <c r="AF130" i="20"/>
  <c r="AE130" i="20"/>
  <c r="AD130" i="20"/>
  <c r="AC130" i="20"/>
  <c r="AA130" i="20"/>
  <c r="Z130" i="20"/>
  <c r="Y130" i="20"/>
  <c r="X130" i="20"/>
  <c r="W130" i="20"/>
  <c r="R130" i="20"/>
  <c r="AI205" i="20"/>
  <c r="AH205" i="20"/>
  <c r="AG205" i="20"/>
  <c r="AF205" i="20"/>
  <c r="AE205" i="20"/>
  <c r="AD205" i="20"/>
  <c r="AC205" i="20"/>
  <c r="AA205" i="20"/>
  <c r="Z205" i="20"/>
  <c r="Y205" i="20"/>
  <c r="X205" i="20"/>
  <c r="W205" i="20" s="1"/>
  <c r="V205" i="20"/>
  <c r="T205" i="20"/>
  <c r="R205" i="20"/>
  <c r="AI129" i="20"/>
  <c r="AH129" i="20"/>
  <c r="AG129" i="20"/>
  <c r="AF129" i="20"/>
  <c r="AE129" i="20"/>
  <c r="AD129" i="20"/>
  <c r="AC129" i="20"/>
  <c r="AA129" i="20"/>
  <c r="Z129" i="20"/>
  <c r="Y129" i="20"/>
  <c r="X129" i="20"/>
  <c r="W129" i="20" s="1"/>
  <c r="R129" i="20"/>
  <c r="AI159" i="20"/>
  <c r="AH159" i="20"/>
  <c r="AG159" i="20"/>
  <c r="AF159" i="20"/>
  <c r="AE159" i="20" s="1"/>
  <c r="AD159" i="20"/>
  <c r="AC159" i="20"/>
  <c r="AA159" i="20"/>
  <c r="Z159" i="20"/>
  <c r="Y159" i="20"/>
  <c r="X159" i="20"/>
  <c r="W159" i="20"/>
  <c r="V159" i="20"/>
  <c r="T159" i="20"/>
  <c r="R159" i="20"/>
  <c r="E32" i="14"/>
  <c r="D32" i="14"/>
  <c r="D31" i="14"/>
  <c r="E29" i="14"/>
  <c r="E28" i="14"/>
  <c r="D28" i="14"/>
  <c r="E27" i="14"/>
  <c r="D27" i="14"/>
  <c r="D29" i="14"/>
  <c r="E47" i="14"/>
  <c r="D47" i="14"/>
  <c r="E46" i="14"/>
  <c r="D46" i="14"/>
  <c r="E45" i="14"/>
  <c r="D45" i="14"/>
  <c r="E44" i="14"/>
  <c r="D44" i="14"/>
  <c r="E41" i="14"/>
  <c r="D41" i="14"/>
  <c r="E40" i="14"/>
  <c r="D40" i="14"/>
  <c r="E39" i="14"/>
  <c r="D39" i="14"/>
  <c r="E38" i="14"/>
  <c r="D38" i="14"/>
  <c r="E37" i="14"/>
  <c r="D37" i="14"/>
  <c r="E36" i="14"/>
  <c r="D36" i="14"/>
  <c r="E35" i="14"/>
  <c r="D35" i="14"/>
  <c r="E34" i="14"/>
  <c r="D34" i="14"/>
  <c r="E33" i="14"/>
  <c r="D33" i="14"/>
  <c r="E31" i="14"/>
  <c r="D92" i="14" l="1"/>
  <c r="AI198" i="20"/>
  <c r="AH198" i="20"/>
  <c r="AG198" i="20"/>
  <c r="AF198" i="20"/>
  <c r="AE198" i="20"/>
  <c r="AD198" i="20"/>
  <c r="AC198" i="20"/>
  <c r="AA198" i="20"/>
  <c r="Z198" i="20"/>
  <c r="Y198" i="20"/>
  <c r="X198" i="20"/>
  <c r="W198" i="20"/>
  <c r="V198" i="20"/>
  <c r="T198" i="20"/>
  <c r="R198" i="20"/>
  <c r="AI144" i="20"/>
  <c r="AH144" i="20"/>
  <c r="AG144" i="20"/>
  <c r="AF144" i="20"/>
  <c r="AE144" i="20"/>
  <c r="AD144" i="20"/>
  <c r="AC144" i="20"/>
  <c r="AA144" i="20"/>
  <c r="Z144" i="20"/>
  <c r="Y144" i="20"/>
  <c r="X144" i="20"/>
  <c r="W144" i="20"/>
  <c r="R144" i="20"/>
  <c r="AI142" i="20"/>
  <c r="AH142" i="20"/>
  <c r="AG142" i="20"/>
  <c r="AF142" i="20"/>
  <c r="AE142" i="20"/>
  <c r="AD142" i="20"/>
  <c r="AC142" i="20"/>
  <c r="AA142" i="20"/>
  <c r="Z142" i="20"/>
  <c r="Y142" i="20"/>
  <c r="X142" i="20"/>
  <c r="W142" i="20"/>
  <c r="R142" i="20"/>
  <c r="AI127" i="20"/>
  <c r="AH127" i="20"/>
  <c r="AG127" i="20"/>
  <c r="AF127" i="20"/>
  <c r="AE127" i="20"/>
  <c r="AD127" i="20"/>
  <c r="AC127" i="20"/>
  <c r="AA127" i="20"/>
  <c r="Z127" i="20"/>
  <c r="Y127" i="20"/>
  <c r="X127" i="20"/>
  <c r="W127" i="20"/>
  <c r="R127" i="20"/>
  <c r="AI154" i="20"/>
  <c r="AH154" i="20"/>
  <c r="AG154" i="20"/>
  <c r="AF154" i="20"/>
  <c r="AE154" i="20"/>
  <c r="AD154" i="20"/>
  <c r="AC154" i="20"/>
  <c r="AA154" i="20"/>
  <c r="Z154" i="20"/>
  <c r="Y154" i="20"/>
  <c r="X154" i="20"/>
  <c r="W154" i="20"/>
  <c r="R154" i="20"/>
  <c r="AI71" i="20"/>
  <c r="AH71" i="20"/>
  <c r="AG71" i="20"/>
  <c r="AF71" i="20"/>
  <c r="AE71" i="20"/>
  <c r="AD71" i="20"/>
  <c r="AC71" i="20"/>
  <c r="AA71" i="20"/>
  <c r="Z71" i="20"/>
  <c r="Y71" i="20"/>
  <c r="X71" i="20"/>
  <c r="W71" i="20"/>
  <c r="R71" i="20"/>
  <c r="AI223" i="20"/>
  <c r="AH223" i="20"/>
  <c r="AG223" i="20"/>
  <c r="AF223" i="20"/>
  <c r="AE223" i="20"/>
  <c r="AD223" i="20"/>
  <c r="AC223" i="20"/>
  <c r="AA223" i="20"/>
  <c r="Z223" i="20"/>
  <c r="Y223" i="20"/>
  <c r="X223" i="20"/>
  <c r="W223" i="20" s="1"/>
  <c r="V223" i="20"/>
  <c r="T223" i="20"/>
  <c r="R223"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41" i="20"/>
  <c r="AH141" i="20"/>
  <c r="AG141" i="20"/>
  <c r="AF141" i="20"/>
  <c r="AE141" i="20"/>
  <c r="AD141" i="20"/>
  <c r="AC141" i="20"/>
  <c r="AA141" i="20"/>
  <c r="Z141" i="20"/>
  <c r="Y141" i="20"/>
  <c r="X141" i="20"/>
  <c r="W141" i="20"/>
  <c r="R141" i="20"/>
  <c r="D66"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40" i="20"/>
  <c r="AH140" i="20"/>
  <c r="AG140" i="20"/>
  <c r="AF140" i="20"/>
  <c r="AE140" i="20"/>
  <c r="AD140" i="20"/>
  <c r="AC140" i="20"/>
  <c r="AA140" i="20"/>
  <c r="Z140" i="20"/>
  <c r="Y140" i="20"/>
  <c r="X140" i="20"/>
  <c r="W140" i="20"/>
  <c r="R140" i="20"/>
  <c r="AI224" i="20"/>
  <c r="AH224" i="20"/>
  <c r="AG224" i="20"/>
  <c r="AF224" i="20"/>
  <c r="AE224" i="20"/>
  <c r="AD224" i="20"/>
  <c r="AC224" i="20"/>
  <c r="AA224" i="20"/>
  <c r="Z224" i="20"/>
  <c r="Y224" i="20"/>
  <c r="X224" i="20"/>
  <c r="W224" i="20" s="1"/>
  <c r="R224" i="20"/>
  <c r="AI139" i="20"/>
  <c r="AH139" i="20"/>
  <c r="AG139" i="20"/>
  <c r="AF139" i="20"/>
  <c r="AE139" i="20"/>
  <c r="AD139" i="20"/>
  <c r="AC139" i="20"/>
  <c r="AA139" i="20"/>
  <c r="Z139" i="20"/>
  <c r="Y139" i="20"/>
  <c r="X139" i="20"/>
  <c r="W139" i="20"/>
  <c r="R139"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3" i="20"/>
  <c r="AH143" i="20"/>
  <c r="AG143" i="20"/>
  <c r="AF143" i="20"/>
  <c r="AE143" i="20"/>
  <c r="AD143" i="20"/>
  <c r="AC143" i="20"/>
  <c r="AA143" i="20"/>
  <c r="Z143" i="20"/>
  <c r="Y143" i="20"/>
  <c r="X143" i="20"/>
  <c r="W143" i="20"/>
  <c r="R143" i="20"/>
  <c r="AI138" i="20"/>
  <c r="AH138" i="20"/>
  <c r="AG138" i="20"/>
  <c r="AF138" i="20"/>
  <c r="AE138" i="20"/>
  <c r="AD138" i="20"/>
  <c r="AC138" i="20"/>
  <c r="AA138" i="20"/>
  <c r="Z138" i="20"/>
  <c r="Y138" i="20"/>
  <c r="X138" i="20"/>
  <c r="W138" i="20"/>
  <c r="R138" i="20"/>
  <c r="AH229" i="20"/>
  <c r="AG229" i="20"/>
  <c r="AH128" i="20"/>
  <c r="AG128" i="20"/>
  <c r="AH121" i="20"/>
  <c r="AG121" i="20"/>
  <c r="AH234" i="20"/>
  <c r="AG234" i="20"/>
  <c r="AH118" i="20"/>
  <c r="AG118" i="20"/>
  <c r="AH222" i="20"/>
  <c r="AG222" i="20"/>
  <c r="AH120" i="20"/>
  <c r="AG120" i="20"/>
  <c r="AH220" i="20"/>
  <c r="AG220" i="20"/>
  <c r="AH219" i="20"/>
  <c r="AG219" i="20"/>
  <c r="AH218" i="20"/>
  <c r="AG218" i="20"/>
  <c r="AH217" i="20"/>
  <c r="AG217" i="20"/>
  <c r="AH216" i="20"/>
  <c r="AG216" i="20"/>
  <c r="AH204" i="20"/>
  <c r="AG204" i="20"/>
  <c r="AH203" i="20"/>
  <c r="AG203" i="20"/>
  <c r="AH202" i="20"/>
  <c r="AG202" i="20"/>
  <c r="AH201" i="20"/>
  <c r="AG201" i="20"/>
  <c r="AH200" i="20"/>
  <c r="AG200" i="20"/>
  <c r="AH199" i="20"/>
  <c r="AG199" i="20"/>
  <c r="AH197" i="20"/>
  <c r="AG197" i="20"/>
  <c r="AH196" i="20"/>
  <c r="AG196"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7" i="20"/>
  <c r="AG157" i="20"/>
  <c r="AH156" i="20"/>
  <c r="AG156" i="20"/>
  <c r="AH155" i="20"/>
  <c r="AG155" i="20"/>
  <c r="AH153" i="20"/>
  <c r="AG153" i="20"/>
  <c r="AH152" i="20"/>
  <c r="AG152" i="20"/>
  <c r="AH151" i="20"/>
  <c r="AG151" i="20"/>
  <c r="AH150" i="20"/>
  <c r="AG150" i="20"/>
  <c r="AH149" i="20"/>
  <c r="AG149" i="20"/>
  <c r="AH148" i="20"/>
  <c r="AG148" i="20"/>
  <c r="AH147" i="20"/>
  <c r="AG147" i="20"/>
  <c r="AH146" i="20"/>
  <c r="AG146" i="20"/>
  <c r="AH237" i="20"/>
  <c r="AG237" i="20"/>
  <c r="AH137" i="20"/>
  <c r="AG137" i="20"/>
  <c r="AH136" i="20"/>
  <c r="AG136" i="20"/>
  <c r="AH135" i="20"/>
  <c r="AG135" i="20"/>
  <c r="AH233" i="20"/>
  <c r="AG233" i="20"/>
  <c r="AH232" i="20"/>
  <c r="AG232" i="20"/>
  <c r="AH134" i="20"/>
  <c r="AG134" i="20"/>
  <c r="AH133" i="20"/>
  <c r="AG133" i="20"/>
  <c r="AH236" i="20"/>
  <c r="AG236" i="20"/>
  <c r="AH235" i="20"/>
  <c r="AG23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1" i="20"/>
  <c r="AG221" i="20"/>
  <c r="AI118" i="20"/>
  <c r="AF118" i="20"/>
  <c r="AE118" i="20"/>
  <c r="AD118" i="20"/>
  <c r="AC118" i="20"/>
  <c r="AA118" i="20"/>
  <c r="Z118" i="20"/>
  <c r="Y118" i="20"/>
  <c r="X118" i="20"/>
  <c r="W118" i="20"/>
  <c r="R118" i="20"/>
  <c r="AI222" i="20"/>
  <c r="AF222" i="20"/>
  <c r="AE222" i="20" s="1"/>
  <c r="AD222" i="20"/>
  <c r="AC222" i="20"/>
  <c r="AA222" i="20"/>
  <c r="Z222" i="20"/>
  <c r="Y222" i="20"/>
  <c r="X222" i="20"/>
  <c r="W222" i="20"/>
  <c r="V222" i="20"/>
  <c r="T222" i="20"/>
  <c r="R222" i="20"/>
  <c r="AI120" i="20"/>
  <c r="AF120" i="20"/>
  <c r="AE120" i="20"/>
  <c r="AD120" i="20"/>
  <c r="AC120" i="20"/>
  <c r="AA120" i="20"/>
  <c r="Z120" i="20"/>
  <c r="Y120" i="20"/>
  <c r="X120" i="20"/>
  <c r="W120" i="20"/>
  <c r="R120" i="20"/>
  <c r="AI221" i="20"/>
  <c r="AF221" i="20"/>
  <c r="AE221" i="20" s="1"/>
  <c r="AD221" i="20"/>
  <c r="AC221" i="20"/>
  <c r="AA221" i="20"/>
  <c r="Z221" i="20"/>
  <c r="Y221" i="20"/>
  <c r="X221" i="20"/>
  <c r="W221" i="20"/>
  <c r="V221" i="20"/>
  <c r="T221" i="20"/>
  <c r="R221" i="20"/>
  <c r="AI220" i="20"/>
  <c r="AF220" i="20"/>
  <c r="AE220" i="20"/>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s="1"/>
  <c r="R217" i="20"/>
  <c r="D58" i="14"/>
  <c r="E58" i="14" s="1"/>
  <c r="D90" i="14"/>
  <c r="D89" i="14"/>
  <c r="D88" i="14"/>
  <c r="D87" i="14"/>
  <c r="D86" i="14"/>
  <c r="D85" i="14"/>
  <c r="D84" i="14"/>
  <c r="D83" i="14"/>
  <c r="D82" i="14"/>
  <c r="AI229" i="20"/>
  <c r="AF229" i="20"/>
  <c r="AE229" i="20"/>
  <c r="AD229" i="20"/>
  <c r="AC229" i="20"/>
  <c r="AA229" i="20"/>
  <c r="Z229" i="20"/>
  <c r="Y229" i="20"/>
  <c r="X229" i="20"/>
  <c r="W229" i="20"/>
  <c r="V229" i="20"/>
  <c r="T229" i="20"/>
  <c r="R22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4" i="20"/>
  <c r="AF234" i="20"/>
  <c r="AE234" i="20" s="1"/>
  <c r="AD234" i="20"/>
  <c r="AC234" i="20"/>
  <c r="AA234" i="20"/>
  <c r="Z234" i="20"/>
  <c r="Y234" i="20"/>
  <c r="X234" i="20"/>
  <c r="W234" i="20"/>
  <c r="R234" i="20"/>
  <c r="AI117" i="20"/>
  <c r="AF117" i="20"/>
  <c r="AE117" i="20"/>
  <c r="AD117" i="20"/>
  <c r="AC117" i="20"/>
  <c r="AA117" i="20"/>
  <c r="Z117" i="20"/>
  <c r="Y117" i="20"/>
  <c r="X117" i="20"/>
  <c r="W117" i="20"/>
  <c r="R117" i="20"/>
  <c r="L40" i="4"/>
  <c r="L55" i="4"/>
  <c r="L56" i="4"/>
  <c r="L35" i="4" l="1"/>
  <c r="L36" i="4"/>
  <c r="AI116" i="20"/>
  <c r="AI157" i="20"/>
  <c r="AI237" i="20"/>
  <c r="AI156" i="20"/>
  <c r="AI216" i="20"/>
  <c r="AI204" i="20"/>
  <c r="AI203" i="20"/>
  <c r="AI202" i="20"/>
  <c r="AI201" i="20"/>
  <c r="AI200" i="20"/>
  <c r="AI199" i="20"/>
  <c r="AI197" i="20"/>
  <c r="AI196"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5" i="20"/>
  <c r="AI153" i="20"/>
  <c r="AI152" i="20"/>
  <c r="AI151" i="20"/>
  <c r="AI150" i="20"/>
  <c r="AI149" i="20"/>
  <c r="AI148" i="20"/>
  <c r="AI146" i="20"/>
  <c r="AI137" i="20"/>
  <c r="AI136" i="20"/>
  <c r="AI135" i="20"/>
  <c r="AI233" i="20"/>
  <c r="AI232" i="20"/>
  <c r="AI134" i="20"/>
  <c r="AI133" i="20"/>
  <c r="AI236" i="20"/>
  <c r="AI23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7" i="20"/>
  <c r="AE157" i="20"/>
  <c r="AE237" i="20"/>
  <c r="AE156" i="20"/>
  <c r="AE203" i="20"/>
  <c r="AE202" i="20"/>
  <c r="AE201" i="20"/>
  <c r="AE200" i="20"/>
  <c r="AE199" i="20"/>
  <c r="AE197" i="20"/>
  <c r="AE196"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5" i="20"/>
  <c r="AE153" i="20"/>
  <c r="AE152" i="20"/>
  <c r="AE151" i="20"/>
  <c r="AE150" i="20"/>
  <c r="AE149" i="20"/>
  <c r="AE148" i="20"/>
  <c r="AE137" i="20"/>
  <c r="AE136" i="20"/>
  <c r="AE135" i="20"/>
  <c r="AE233" i="20"/>
  <c r="AE232" i="20"/>
  <c r="AE134" i="20"/>
  <c r="AE133" i="20"/>
  <c r="AE236" i="20"/>
  <c r="AE23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7" i="20"/>
  <c r="AA157" i="20"/>
  <c r="AA237" i="20"/>
  <c r="AA156" i="20"/>
  <c r="AA216" i="20"/>
  <c r="AA204" i="20"/>
  <c r="AA203" i="20"/>
  <c r="AA202" i="20"/>
  <c r="AA201" i="20"/>
  <c r="AA200" i="20"/>
  <c r="AA199" i="20"/>
  <c r="AA197" i="20"/>
  <c r="AA196" i="20"/>
  <c r="AA195" i="20"/>
  <c r="AA191" i="20"/>
  <c r="AA188" i="20"/>
  <c r="AA187" i="20"/>
  <c r="AA186" i="20"/>
  <c r="AA185" i="20"/>
  <c r="AA183" i="20"/>
  <c r="AA182" i="20"/>
  <c r="AA181" i="20"/>
  <c r="AA180" i="20"/>
  <c r="AA179" i="20"/>
  <c r="AA178" i="20"/>
  <c r="AA177" i="20"/>
  <c r="AA176" i="20"/>
  <c r="AA174" i="20"/>
  <c r="AA170" i="20"/>
  <c r="AA169" i="20"/>
  <c r="AA168" i="20"/>
  <c r="AA167" i="20"/>
  <c r="AA166" i="20"/>
  <c r="AA165" i="20"/>
  <c r="AA155" i="20"/>
  <c r="AA153" i="20"/>
  <c r="AA152" i="20"/>
  <c r="AA151" i="20"/>
  <c r="AA150" i="20"/>
  <c r="AA149" i="20"/>
  <c r="AA148" i="20"/>
  <c r="AA146" i="20"/>
  <c r="AA137" i="20"/>
  <c r="AA136" i="20"/>
  <c r="AA135" i="20"/>
  <c r="AA233" i="20"/>
  <c r="AA232" i="20"/>
  <c r="AA134" i="20"/>
  <c r="AA133" i="20"/>
  <c r="AA236" i="20"/>
  <c r="AA23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6" i="20"/>
  <c r="T204" i="20"/>
  <c r="T203" i="20"/>
  <c r="T202" i="20"/>
  <c r="T201" i="20"/>
  <c r="T200" i="20"/>
  <c r="T199" i="20"/>
  <c r="T197" i="20"/>
  <c r="T196"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W116" i="20"/>
  <c r="W237" i="20"/>
  <c r="W216" i="20"/>
  <c r="W204" i="20"/>
  <c r="W203" i="20"/>
  <c r="W199" i="20"/>
  <c r="W196" i="20"/>
  <c r="W195"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5" i="20"/>
  <c r="W153" i="20"/>
  <c r="W152" i="20"/>
  <c r="W151" i="20"/>
  <c r="W150" i="20"/>
  <c r="W149" i="20"/>
  <c r="W148" i="20"/>
  <c r="W146" i="20"/>
  <c r="W137" i="20"/>
  <c r="W136" i="20"/>
  <c r="W135" i="20"/>
  <c r="W233" i="20"/>
  <c r="W232" i="20"/>
  <c r="W134" i="20"/>
  <c r="W133" i="20"/>
  <c r="W236" i="20"/>
  <c r="W23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7" i="20"/>
  <c r="Y237" i="20"/>
  <c r="Y156" i="20"/>
  <c r="Y216" i="20"/>
  <c r="Y204" i="20"/>
  <c r="Y203" i="20"/>
  <c r="Y202" i="20"/>
  <c r="Y201" i="20"/>
  <c r="Y200" i="20"/>
  <c r="Y199" i="20"/>
  <c r="Y197" i="20"/>
  <c r="Y196"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5" i="20"/>
  <c r="Y153" i="20"/>
  <c r="Y152" i="20"/>
  <c r="Y151" i="20"/>
  <c r="Y150" i="20"/>
  <c r="Y149" i="20"/>
  <c r="Y148" i="20"/>
  <c r="Y146" i="20"/>
  <c r="Y137" i="20"/>
  <c r="Y136" i="20"/>
  <c r="Y135" i="20"/>
  <c r="Y233" i="20"/>
  <c r="Y232" i="20"/>
  <c r="Y134" i="20"/>
  <c r="Y133" i="20"/>
  <c r="Y236" i="20"/>
  <c r="Y23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7" i="20"/>
  <c r="Y147"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7" i="20"/>
  <c r="Z237" i="20"/>
  <c r="Z156" i="20"/>
  <c r="Z115" i="20"/>
  <c r="Z216" i="20"/>
  <c r="Z204" i="20"/>
  <c r="Z203" i="20"/>
  <c r="Z202" i="20"/>
  <c r="Z201" i="20"/>
  <c r="Z200" i="20"/>
  <c r="Z199" i="20"/>
  <c r="Z197" i="20"/>
  <c r="Z196"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5" i="20"/>
  <c r="Z153" i="20"/>
  <c r="Z152" i="20"/>
  <c r="Z151" i="20"/>
  <c r="Z150" i="20"/>
  <c r="Z149" i="20"/>
  <c r="Z148" i="20"/>
  <c r="Z147" i="20"/>
  <c r="Z146" i="20"/>
  <c r="Z137" i="20"/>
  <c r="Z136" i="20"/>
  <c r="Z135" i="20"/>
  <c r="Z233" i="20"/>
  <c r="Z232" i="20"/>
  <c r="Z134" i="20"/>
  <c r="Z133" i="20"/>
  <c r="Z236" i="20"/>
  <c r="Z23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7" i="20"/>
  <c r="W157" i="20" s="1"/>
  <c r="X237" i="20"/>
  <c r="X156" i="20"/>
  <c r="W156" i="20" s="1"/>
  <c r="X115" i="20"/>
  <c r="X216" i="20"/>
  <c r="X204" i="20"/>
  <c r="X203" i="20"/>
  <c r="X202" i="20"/>
  <c r="W202" i="20" s="1"/>
  <c r="X201" i="20"/>
  <c r="W201" i="20" s="1"/>
  <c r="X200" i="20"/>
  <c r="W200" i="20" s="1"/>
  <c r="X199" i="20"/>
  <c r="X197" i="20"/>
  <c r="W197" i="20" s="1"/>
  <c r="X196" i="20"/>
  <c r="X195" i="20"/>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5" i="20"/>
  <c r="X153" i="20"/>
  <c r="X152" i="20"/>
  <c r="X151" i="20"/>
  <c r="X150" i="20"/>
  <c r="X149" i="20"/>
  <c r="X148" i="20"/>
  <c r="X147" i="20"/>
  <c r="X146" i="20"/>
  <c r="X137" i="20"/>
  <c r="X136" i="20"/>
  <c r="X135" i="20"/>
  <c r="X233" i="20"/>
  <c r="X232" i="20"/>
  <c r="X134" i="20"/>
  <c r="X133" i="20"/>
  <c r="X236" i="20"/>
  <c r="X23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7" i="20"/>
  <c r="AF237" i="20"/>
  <c r="AF156" i="20"/>
  <c r="AF115" i="20"/>
  <c r="AF216" i="20"/>
  <c r="AF155" i="20"/>
  <c r="AF153" i="20"/>
  <c r="AF152" i="20"/>
  <c r="AF204" i="20"/>
  <c r="AF203" i="20"/>
  <c r="AF202" i="20"/>
  <c r="AF201" i="20"/>
  <c r="AF200" i="20"/>
  <c r="AF199" i="20"/>
  <c r="AF197" i="20"/>
  <c r="AF196"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1" i="20"/>
  <c r="AF150" i="20"/>
  <c r="AF149" i="20"/>
  <c r="AF148" i="20"/>
  <c r="AF147" i="20"/>
  <c r="AF146" i="20"/>
  <c r="AF137" i="20"/>
  <c r="AF136" i="20"/>
  <c r="AF135" i="20"/>
  <c r="AF233" i="20"/>
  <c r="AF232" i="20"/>
  <c r="AF134" i="20"/>
  <c r="AF133" i="20"/>
  <c r="AF236" i="20"/>
  <c r="AF23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7" i="20"/>
  <c r="AD237" i="20"/>
  <c r="AD156" i="20"/>
  <c r="AD115" i="20"/>
  <c r="AD216" i="20"/>
  <c r="AD155" i="20"/>
  <c r="AD153" i="20"/>
  <c r="AD152" i="20"/>
  <c r="AD204" i="20"/>
  <c r="AD203" i="20"/>
  <c r="AD202" i="20"/>
  <c r="AD201" i="20"/>
  <c r="AD200" i="20"/>
  <c r="AD199" i="20"/>
  <c r="AD197" i="20"/>
  <c r="AD196" i="20"/>
  <c r="AD195" i="20"/>
  <c r="AD191" i="20"/>
  <c r="AD188" i="20"/>
  <c r="AD187" i="20"/>
  <c r="AD186" i="20"/>
  <c r="AD185" i="20"/>
  <c r="AD183" i="20"/>
  <c r="AD182" i="20"/>
  <c r="AD181" i="20"/>
  <c r="AD180" i="20"/>
  <c r="AD179" i="20"/>
  <c r="AD178" i="20"/>
  <c r="AD177" i="20"/>
  <c r="AD176" i="20"/>
  <c r="AD174" i="20"/>
  <c r="AD170" i="20"/>
  <c r="AD169" i="20"/>
  <c r="AD168" i="20"/>
  <c r="AD167" i="20"/>
  <c r="AD166" i="20"/>
  <c r="AD165" i="20"/>
  <c r="AD151" i="20"/>
  <c r="AD150" i="20"/>
  <c r="AD149" i="20"/>
  <c r="AD148" i="20"/>
  <c r="AD146" i="20"/>
  <c r="AD137" i="20"/>
  <c r="AD136" i="20"/>
  <c r="AD135" i="20"/>
  <c r="AD233" i="20"/>
  <c r="AD232" i="20"/>
  <c r="AD134" i="20"/>
  <c r="AD133" i="20"/>
  <c r="AD236" i="20"/>
  <c r="AD23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6" i="20"/>
  <c r="V204" i="20"/>
  <c r="V203" i="20"/>
  <c r="V202" i="20"/>
  <c r="V201" i="20"/>
  <c r="V200" i="20"/>
  <c r="V199" i="20"/>
  <c r="V197" i="20"/>
  <c r="V196"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AC116" i="20"/>
  <c r="AC157" i="20"/>
  <c r="AC237" i="20"/>
  <c r="AC156" i="20"/>
  <c r="AC115" i="20"/>
  <c r="AC216" i="20"/>
  <c r="AC155" i="20"/>
  <c r="AC153" i="20"/>
  <c r="AC152" i="20"/>
  <c r="AC204" i="20"/>
  <c r="AC203" i="20"/>
  <c r="AC202" i="20"/>
  <c r="AC201" i="20"/>
  <c r="AC200" i="20"/>
  <c r="AC199" i="20"/>
  <c r="AC197" i="20"/>
  <c r="AC196" i="20"/>
  <c r="AC195" i="20"/>
  <c r="AC194" i="20"/>
  <c r="AC193" i="20"/>
  <c r="AC192" i="20"/>
  <c r="AC191" i="20"/>
  <c r="AC190" i="20"/>
  <c r="AC188" i="20"/>
  <c r="AC187"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1" i="20"/>
  <c r="AC150" i="20"/>
  <c r="AC149" i="20"/>
  <c r="AC148" i="20"/>
  <c r="AC147" i="20"/>
  <c r="AC146" i="20"/>
  <c r="AC137" i="20"/>
  <c r="AC136" i="20"/>
  <c r="AC135" i="20"/>
  <c r="AC233" i="20"/>
  <c r="AC232" i="20"/>
  <c r="AC134" i="20"/>
  <c r="AC133" i="20"/>
  <c r="AC236" i="20"/>
  <c r="AC23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9" i="20"/>
  <c r="O6" i="8"/>
  <c r="O5" i="8"/>
  <c r="O4" i="8"/>
  <c r="R116" i="20"/>
  <c r="R157" i="20"/>
  <c r="R237" i="20"/>
  <c r="R156" i="20"/>
  <c r="R115" i="20"/>
  <c r="R216" i="20"/>
  <c r="R155" i="20"/>
  <c r="R153" i="20"/>
  <c r="R152" i="20"/>
  <c r="R204" i="20"/>
  <c r="R203" i="20"/>
  <c r="R202" i="20"/>
  <c r="R201" i="20"/>
  <c r="R200" i="20"/>
  <c r="R199" i="20"/>
  <c r="R197" i="20"/>
  <c r="R196" i="20"/>
  <c r="R195" i="20"/>
  <c r="R194" i="20"/>
  <c r="R193" i="20"/>
  <c r="R192" i="20"/>
  <c r="R191" i="20"/>
  <c r="R190" i="20"/>
  <c r="R189" i="20"/>
  <c r="R188" i="20"/>
  <c r="R187" i="20"/>
  <c r="R186" i="20"/>
  <c r="R185" i="20"/>
  <c r="R184" i="20"/>
  <c r="R183" i="20"/>
  <c r="R180" i="20"/>
  <c r="R182" i="20"/>
  <c r="R181" i="20"/>
  <c r="R179" i="20"/>
  <c r="R170" i="20"/>
  <c r="R169" i="20"/>
  <c r="R168" i="20"/>
  <c r="R178" i="20"/>
  <c r="R177" i="20"/>
  <c r="R176" i="20"/>
  <c r="R174" i="20"/>
  <c r="R173" i="20"/>
  <c r="R172" i="20"/>
  <c r="R171" i="20"/>
  <c r="R167" i="20"/>
  <c r="R166" i="20"/>
  <c r="R165" i="20"/>
  <c r="R175" i="20"/>
  <c r="R164" i="20"/>
  <c r="R163" i="20"/>
  <c r="R162" i="20"/>
  <c r="R161" i="20"/>
  <c r="R160" i="20"/>
  <c r="R151" i="20"/>
  <c r="R150" i="20"/>
  <c r="R149" i="20"/>
  <c r="R148" i="20"/>
  <c r="R147" i="20"/>
  <c r="R146" i="20"/>
  <c r="R137" i="20"/>
  <c r="R136" i="20"/>
  <c r="R135" i="20"/>
  <c r="R233" i="20"/>
  <c r="R232" i="20"/>
  <c r="R134" i="20"/>
  <c r="R133" i="20"/>
  <c r="R236" i="20"/>
  <c r="R23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4" i="14"/>
  <c r="E74" i="14" s="1"/>
  <c r="D73" i="14"/>
  <c r="E73" i="14" s="1"/>
  <c r="D72" i="14"/>
  <c r="E72" i="14" s="1"/>
  <c r="D71" i="14"/>
  <c r="E71" i="14" s="1"/>
  <c r="D70" i="14"/>
  <c r="E70" i="14" s="1"/>
  <c r="D69" i="14"/>
  <c r="E69" i="14" s="1"/>
  <c r="D61" i="14"/>
  <c r="E61" i="14" s="1"/>
  <c r="D65" i="14"/>
  <c r="D64" i="14"/>
  <c r="D63" i="14"/>
  <c r="D62" i="14"/>
  <c r="S210" i="20" l="1"/>
  <c r="S209" i="20"/>
  <c r="S208" i="20"/>
  <c r="S206" i="20"/>
  <c r="S129" i="20"/>
  <c r="S205" i="20"/>
  <c r="S131" i="20"/>
  <c r="S214" i="20"/>
  <c r="S159" i="20"/>
  <c r="S207" i="20"/>
  <c r="S130" i="20"/>
  <c r="S212" i="20"/>
  <c r="S145" i="20"/>
  <c r="S225" i="20"/>
  <c r="S158" i="20"/>
  <c r="S215" i="20"/>
  <c r="S132" i="20"/>
  <c r="S213" i="20"/>
  <c r="S211" i="20"/>
  <c r="S125" i="20"/>
  <c r="S127" i="20"/>
  <c r="S144" i="20"/>
  <c r="S141" i="20"/>
  <c r="S126" i="20"/>
  <c r="S198" i="20"/>
  <c r="S223" i="20"/>
  <c r="S71" i="20"/>
  <c r="S154" i="20"/>
  <c r="S142" i="20"/>
  <c r="S216" i="20"/>
  <c r="S199" i="20"/>
  <c r="S186" i="20"/>
  <c r="S174" i="20"/>
  <c r="S162" i="20"/>
  <c r="S148" i="20"/>
  <c r="S235" i="20"/>
  <c r="S106" i="20"/>
  <c r="S94" i="20"/>
  <c r="S82" i="20"/>
  <c r="S70" i="20"/>
  <c r="S58" i="20"/>
  <c r="S46" i="20"/>
  <c r="S34" i="20"/>
  <c r="S22" i="20"/>
  <c r="S120" i="20"/>
  <c r="S45" i="20"/>
  <c r="S21" i="20"/>
  <c r="S229" i="20"/>
  <c r="S197" i="20"/>
  <c r="S185" i="20"/>
  <c r="S173" i="20"/>
  <c r="S161" i="20"/>
  <c r="S147" i="20"/>
  <c r="S117" i="20"/>
  <c r="S105" i="20"/>
  <c r="S93" i="20"/>
  <c r="S81" i="20"/>
  <c r="S69" i="20"/>
  <c r="S57" i="20"/>
  <c r="S33" i="20"/>
  <c r="S128" i="20"/>
  <c r="S196" i="20"/>
  <c r="S184" i="20"/>
  <c r="S172" i="20"/>
  <c r="S160" i="20"/>
  <c r="S146" i="20"/>
  <c r="S116" i="20"/>
  <c r="S104" i="20"/>
  <c r="S92" i="20"/>
  <c r="S80" i="20"/>
  <c r="S68" i="20"/>
  <c r="S56" i="20"/>
  <c r="S44" i="20"/>
  <c r="S32" i="20"/>
  <c r="S20" i="20"/>
  <c r="S121" i="20"/>
  <c r="S195" i="20"/>
  <c r="S183" i="20"/>
  <c r="S171" i="20"/>
  <c r="S237" i="20"/>
  <c r="S115" i="20"/>
  <c r="S103" i="20"/>
  <c r="S91" i="20"/>
  <c r="S79" i="20"/>
  <c r="S67" i="20"/>
  <c r="S55" i="20"/>
  <c r="S43" i="20"/>
  <c r="S31" i="20"/>
  <c r="S19" i="20"/>
  <c r="S119" i="20"/>
  <c r="S224" i="20"/>
  <c r="S123" i="20"/>
  <c r="S143" i="20"/>
  <c r="S234" i="20"/>
  <c r="S194" i="20"/>
  <c r="S182" i="20"/>
  <c r="S170" i="20"/>
  <c r="S157" i="20"/>
  <c r="S137" i="20"/>
  <c r="S114" i="20"/>
  <c r="S102" i="20"/>
  <c r="S90" i="20"/>
  <c r="S78" i="20"/>
  <c r="S66" i="20"/>
  <c r="S54" i="20"/>
  <c r="S42" i="20"/>
  <c r="S30" i="20"/>
  <c r="S18" i="20"/>
  <c r="AB229" i="20"/>
  <c r="S118" i="20"/>
  <c r="S193" i="20"/>
  <c r="S181" i="20"/>
  <c r="S169" i="20"/>
  <c r="S156" i="20"/>
  <c r="S136" i="20"/>
  <c r="S113" i="20"/>
  <c r="S101" i="20"/>
  <c r="S89" i="20"/>
  <c r="S77" i="20"/>
  <c r="S65" i="20"/>
  <c r="S53" i="20"/>
  <c r="S41" i="20"/>
  <c r="S29" i="20"/>
  <c r="S17" i="20"/>
  <c r="S217" i="20"/>
  <c r="S200" i="20"/>
  <c r="S187" i="20"/>
  <c r="S175" i="20"/>
  <c r="S163" i="20"/>
  <c r="S149" i="20"/>
  <c r="S236" i="20"/>
  <c r="S107" i="20"/>
  <c r="S95" i="20"/>
  <c r="S83" i="20"/>
  <c r="S59" i="20"/>
  <c r="S47" i="20"/>
  <c r="S35" i="20"/>
  <c r="S23" i="20"/>
  <c r="S11" i="20"/>
  <c r="U229" i="20"/>
  <c r="S222" i="20"/>
  <c r="S192" i="20"/>
  <c r="S180" i="20"/>
  <c r="S168" i="20"/>
  <c r="S155" i="20"/>
  <c r="S135" i="20"/>
  <c r="S112" i="20"/>
  <c r="S100" i="20"/>
  <c r="S88" i="20"/>
  <c r="S76" i="20"/>
  <c r="S64" i="20"/>
  <c r="S52" i="20"/>
  <c r="S40" i="20"/>
  <c r="S28" i="20"/>
  <c r="S16" i="20"/>
  <c r="S221" i="20"/>
  <c r="S204" i="20"/>
  <c r="S191" i="20"/>
  <c r="S179" i="20"/>
  <c r="S167" i="20"/>
  <c r="S153" i="20"/>
  <c r="S233" i="20"/>
  <c r="S111" i="20"/>
  <c r="S99" i="20"/>
  <c r="S87" i="20"/>
  <c r="S75" i="20"/>
  <c r="S63" i="20"/>
  <c r="S51" i="20"/>
  <c r="S39" i="20"/>
  <c r="S27" i="20"/>
  <c r="S15" i="20"/>
  <c r="S220" i="20"/>
  <c r="S203" i="20"/>
  <c r="S190" i="20"/>
  <c r="S178" i="20"/>
  <c r="S166" i="20"/>
  <c r="S152" i="20"/>
  <c r="S232" i="20"/>
  <c r="S110" i="20"/>
  <c r="S98" i="20"/>
  <c r="S86" i="20"/>
  <c r="S74" i="20"/>
  <c r="S62" i="20"/>
  <c r="S50" i="20"/>
  <c r="S38" i="20"/>
  <c r="S26" i="20"/>
  <c r="S14" i="20"/>
  <c r="S219" i="20"/>
  <c r="S202" i="20"/>
  <c r="S189" i="20"/>
  <c r="S177" i="20"/>
  <c r="S165" i="20"/>
  <c r="S151" i="20"/>
  <c r="S134" i="20"/>
  <c r="S109" i="20"/>
  <c r="S97" i="20"/>
  <c r="S85" i="20"/>
  <c r="S73" i="20"/>
  <c r="S61" i="20"/>
  <c r="S49" i="20"/>
  <c r="S37" i="20"/>
  <c r="S25" i="20"/>
  <c r="S13" i="20"/>
  <c r="S96" i="20"/>
  <c r="S84" i="20"/>
  <c r="S72" i="20"/>
  <c r="S60" i="20"/>
  <c r="S36" i="20"/>
  <c r="S24" i="20"/>
  <c r="S12" i="20"/>
  <c r="S124" i="20"/>
  <c r="S140" i="20"/>
  <c r="S139" i="20"/>
  <c r="S122" i="20"/>
  <c r="S138" i="20"/>
  <c r="S218" i="20"/>
  <c r="S201" i="20"/>
  <c r="S188" i="20"/>
  <c r="S176" i="20"/>
  <c r="S164" i="20"/>
  <c r="S150" i="20"/>
  <c r="S133" i="20"/>
  <c r="S108" i="20"/>
  <c r="S48" i="20"/>
  <c r="AE37" i="20"/>
  <c r="AE116" i="20"/>
  <c r="AE204" i="20"/>
  <c r="AE64" i="20"/>
  <c r="AE216" i="20"/>
  <c r="AE22" i="20"/>
  <c r="AE146" i="20"/>
  <c r="J22" i="8"/>
  <c r="J30" i="8"/>
  <c r="AB123" i="20" s="1"/>
  <c r="J21" i="8"/>
  <c r="J15" i="8"/>
  <c r="J23" i="8"/>
  <c r="J31" i="8"/>
  <c r="J16" i="8"/>
  <c r="AB119" i="20" s="1"/>
  <c r="J24" i="8"/>
  <c r="J32" i="8"/>
  <c r="AB237" i="20" s="1"/>
  <c r="J17" i="8"/>
  <c r="J25" i="8"/>
  <c r="J33" i="8"/>
  <c r="J18" i="8"/>
  <c r="J26" i="8"/>
  <c r="J34" i="8"/>
  <c r="J19" i="8"/>
  <c r="J27" i="8"/>
  <c r="J35" i="8"/>
  <c r="U132" i="20" s="1"/>
  <c r="V132" i="20" s="1"/>
  <c r="T132" i="20" s="1"/>
  <c r="J29" i="8"/>
  <c r="J20" i="8"/>
  <c r="J28" i="8"/>
  <c r="J36" i="8"/>
  <c r="J14" i="8"/>
  <c r="AB131" i="20" l="1"/>
  <c r="AB227" i="20"/>
  <c r="U227" i="20"/>
  <c r="V227" i="20" s="1"/>
  <c r="T227" i="20" s="1"/>
  <c r="AB132" i="20"/>
  <c r="AB225" i="20"/>
  <c r="U226" i="20"/>
  <c r="AB226" i="20"/>
  <c r="U225" i="20"/>
  <c r="U131" i="20"/>
  <c r="V131" i="20" s="1"/>
  <c r="T131" i="20" s="1"/>
  <c r="AB206" i="20"/>
  <c r="AB211" i="20"/>
  <c r="AB212" i="20"/>
  <c r="AB213" i="20"/>
  <c r="AD213" i="20" s="1"/>
  <c r="AA213" i="20" s="1"/>
  <c r="AB214" i="20"/>
  <c r="AB215" i="20"/>
  <c r="AB210" i="20"/>
  <c r="U206" i="20"/>
  <c r="U207" i="20"/>
  <c r="U208" i="20"/>
  <c r="U209" i="20"/>
  <c r="U210" i="20"/>
  <c r="U211" i="20"/>
  <c r="U212" i="20"/>
  <c r="U213" i="20"/>
  <c r="U214" i="20"/>
  <c r="U215" i="20"/>
  <c r="AB208" i="20"/>
  <c r="AB209" i="20"/>
  <c r="AB207" i="20"/>
  <c r="AB145" i="20"/>
  <c r="U145" i="20"/>
  <c r="V145" i="20" s="1"/>
  <c r="T145" i="20" s="1"/>
  <c r="AB130" i="20"/>
  <c r="U130" i="20"/>
  <c r="V130" i="20" s="1"/>
  <c r="T130" i="20" s="1"/>
  <c r="AB205" i="20"/>
  <c r="U205" i="20"/>
  <c r="U129" i="20"/>
  <c r="V129" i="20" s="1"/>
  <c r="T129" i="20" s="1"/>
  <c r="AB129" i="20"/>
  <c r="AB158" i="20"/>
  <c r="U158" i="20"/>
  <c r="U159" i="20"/>
  <c r="AB159" i="20"/>
  <c r="AB198" i="20"/>
  <c r="U198" i="20"/>
  <c r="AB128" i="20"/>
  <c r="U144" i="20"/>
  <c r="V144" i="20" s="1"/>
  <c r="T144" i="20" s="1"/>
  <c r="AB144" i="20"/>
  <c r="U128" i="20"/>
  <c r="V128" i="20" s="1"/>
  <c r="T128" i="20" s="1"/>
  <c r="U142" i="20"/>
  <c r="V142" i="20" s="1"/>
  <c r="T142" i="20" s="1"/>
  <c r="AB142" i="20"/>
  <c r="AB154" i="20"/>
  <c r="U154" i="20"/>
  <c r="V154" i="20" s="1"/>
  <c r="T154" i="20" s="1"/>
  <c r="U119" i="20"/>
  <c r="V119" i="20" s="1"/>
  <c r="T119" i="20" s="1"/>
  <c r="U127" i="20"/>
  <c r="V127" i="20" s="1"/>
  <c r="T127" i="20" s="1"/>
  <c r="AB127" i="20"/>
  <c r="U143" i="20"/>
  <c r="V143" i="20" s="1"/>
  <c r="T143" i="20" s="1"/>
  <c r="AB71" i="20"/>
  <c r="U71" i="20"/>
  <c r="V71" i="20" s="1"/>
  <c r="T71" i="20" s="1"/>
  <c r="U223" i="20"/>
  <c r="AB223" i="20"/>
  <c r="AB124" i="20"/>
  <c r="AB126" i="20"/>
  <c r="U126" i="20"/>
  <c r="V126" i="20" s="1"/>
  <c r="T126" i="20" s="1"/>
  <c r="U125" i="20"/>
  <c r="V125" i="20" s="1"/>
  <c r="T125" i="20" s="1"/>
  <c r="AB125" i="20"/>
  <c r="U124" i="20"/>
  <c r="V124" i="20" s="1"/>
  <c r="T124" i="20" s="1"/>
  <c r="AB224" i="20"/>
  <c r="AB138" i="20"/>
  <c r="AB141" i="20"/>
  <c r="U141" i="20"/>
  <c r="V141" i="20" s="1"/>
  <c r="T141" i="20" s="1"/>
  <c r="AB140" i="20"/>
  <c r="U140" i="20"/>
  <c r="V140" i="20" s="1"/>
  <c r="T140" i="20" s="1"/>
  <c r="U224" i="20"/>
  <c r="V224" i="20" s="1"/>
  <c r="T224" i="20" s="1"/>
  <c r="AB139" i="20"/>
  <c r="U139" i="20"/>
  <c r="V139" i="20" s="1"/>
  <c r="T139" i="20" s="1"/>
  <c r="U123" i="20"/>
  <c r="V123" i="20" s="1"/>
  <c r="T123" i="20" s="1"/>
  <c r="U122" i="20"/>
  <c r="V122" i="20" s="1"/>
  <c r="T122" i="20" s="1"/>
  <c r="U138" i="20"/>
  <c r="V138" i="20" s="1"/>
  <c r="T138" i="20" s="1"/>
  <c r="AB122" i="20"/>
  <c r="AB143" i="20"/>
  <c r="U116" i="20"/>
  <c r="V116" i="20" s="1"/>
  <c r="T116" i="20" s="1"/>
  <c r="U121" i="20"/>
  <c r="V121" i="20" s="1"/>
  <c r="T121" i="20" s="1"/>
  <c r="AB121" i="20"/>
  <c r="AB156" i="20"/>
  <c r="U234" i="20"/>
  <c r="V234" i="20" s="1"/>
  <c r="T234" i="20" s="1"/>
  <c r="AB234" i="20"/>
  <c r="AB118" i="20"/>
  <c r="U118" i="20"/>
  <c r="V118" i="20" s="1"/>
  <c r="T118" i="20" s="1"/>
  <c r="AB222" i="20"/>
  <c r="U222" i="20"/>
  <c r="U120" i="20"/>
  <c r="V120" i="20" s="1"/>
  <c r="T120" i="20" s="1"/>
  <c r="AB120" i="20"/>
  <c r="U217" i="20"/>
  <c r="V217" i="20" s="1"/>
  <c r="T217" i="20" s="1"/>
  <c r="AB218" i="20"/>
  <c r="U219" i="20"/>
  <c r="U220" i="20"/>
  <c r="U218" i="20"/>
  <c r="U221" i="20"/>
  <c r="AB219" i="20"/>
  <c r="AB221" i="20"/>
  <c r="AB220" i="20"/>
  <c r="AB217" i="20"/>
  <c r="U117" i="20"/>
  <c r="V117" i="20" s="1"/>
  <c r="T117" i="20" s="1"/>
  <c r="AB117" i="20"/>
  <c r="AB116" i="20"/>
  <c r="AD116" i="20" s="1"/>
  <c r="AA116" i="20" s="1"/>
  <c r="AB157" i="20"/>
  <c r="U157" i="20"/>
  <c r="V157" i="20" s="1"/>
  <c r="T157" i="20" s="1"/>
  <c r="U237" i="20"/>
  <c r="V237" i="20" s="1"/>
  <c r="T237" i="20" s="1"/>
  <c r="U156" i="20"/>
  <c r="V156" i="20" s="1"/>
  <c r="T156" i="20" s="1"/>
  <c r="AB115" i="20"/>
  <c r="U115" i="20"/>
  <c r="V115" i="20" s="1"/>
  <c r="T115" i="20" s="1"/>
  <c r="AB216" i="20"/>
  <c r="U216" i="20"/>
  <c r="U73" i="20"/>
  <c r="V73" i="20" s="1"/>
  <c r="T73" i="20" s="1"/>
  <c r="AB153" i="20"/>
  <c r="U152" i="20"/>
  <c r="V152" i="20" s="1"/>
  <c r="T152" i="20" s="1"/>
  <c r="AB155" i="20"/>
  <c r="U153" i="20"/>
  <c r="V153" i="20" s="1"/>
  <c r="T153" i="20" s="1"/>
  <c r="U155" i="20"/>
  <c r="V155" i="20" s="1"/>
  <c r="T155" i="20" s="1"/>
  <c r="AB152" i="20"/>
  <c r="U135" i="20"/>
  <c r="V135" i="20" s="1"/>
  <c r="T135"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51" i="20"/>
  <c r="V151" i="20" s="1"/>
  <c r="T151" i="20" s="1"/>
  <c r="U62" i="20"/>
  <c r="V62" i="20" s="1"/>
  <c r="T62" i="20" s="1"/>
  <c r="U91" i="20"/>
  <c r="V91" i="20" s="1"/>
  <c r="T91" i="20" s="1"/>
  <c r="U50" i="20"/>
  <c r="V50" i="20" s="1"/>
  <c r="T50" i="20" s="1"/>
  <c r="U60" i="20"/>
  <c r="V60" i="20" s="1"/>
  <c r="T60" i="20" s="1"/>
  <c r="U232" i="20"/>
  <c r="V232" i="20" s="1"/>
  <c r="T232" i="20" s="1"/>
  <c r="U197" i="20"/>
  <c r="U189" i="20"/>
  <c r="U182" i="20"/>
  <c r="U174" i="20"/>
  <c r="U166" i="20"/>
  <c r="U203" i="20"/>
  <c r="U194" i="20"/>
  <c r="U186" i="20"/>
  <c r="U179" i="20"/>
  <c r="U171" i="20"/>
  <c r="U163" i="20"/>
  <c r="U200" i="20"/>
  <c r="U191" i="20"/>
  <c r="U176" i="20"/>
  <c r="U168" i="20"/>
  <c r="U160" i="20"/>
  <c r="U196" i="20"/>
  <c r="U188" i="20"/>
  <c r="U181" i="20"/>
  <c r="U173" i="20"/>
  <c r="U165" i="20"/>
  <c r="U202" i="20"/>
  <c r="U193" i="20"/>
  <c r="U185" i="20"/>
  <c r="U178" i="20"/>
  <c r="U170" i="20"/>
  <c r="U162" i="20"/>
  <c r="U201" i="20"/>
  <c r="U177" i="20"/>
  <c r="U199" i="20"/>
  <c r="U190" i="20"/>
  <c r="U183" i="20"/>
  <c r="U175" i="20"/>
  <c r="U167" i="20"/>
  <c r="U184" i="20"/>
  <c r="U161" i="20"/>
  <c r="U204" i="20"/>
  <c r="U195" i="20"/>
  <c r="U187" i="20"/>
  <c r="U180" i="20"/>
  <c r="U172" i="20"/>
  <c r="U164" i="20"/>
  <c r="U192" i="20"/>
  <c r="U169" i="20"/>
  <c r="U235" i="20"/>
  <c r="V235" i="20" s="1"/>
  <c r="T23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6" i="20"/>
  <c r="V236" i="20" s="1"/>
  <c r="T236" i="20" s="1"/>
  <c r="U41" i="20"/>
  <c r="V41" i="20" s="1"/>
  <c r="T41" i="20" s="1"/>
  <c r="U30" i="20"/>
  <c r="V30" i="20" s="1"/>
  <c r="T30" i="20" s="1"/>
  <c r="U29" i="20"/>
  <c r="V29" i="20" s="1"/>
  <c r="T29" i="20" s="1"/>
  <c r="U31" i="20"/>
  <c r="V31" i="20" s="1"/>
  <c r="T31" i="20" s="1"/>
  <c r="U14" i="20"/>
  <c r="V14" i="20" s="1"/>
  <c r="T14" i="20" s="1"/>
  <c r="U13" i="20"/>
  <c r="V13" i="20" s="1"/>
  <c r="T13" i="20" s="1"/>
  <c r="U146" i="20"/>
  <c r="V146" i="20" s="1"/>
  <c r="T146" i="20" s="1"/>
  <c r="U92" i="20"/>
  <c r="V92" i="20" s="1"/>
  <c r="T92" i="20" s="1"/>
  <c r="U150" i="20"/>
  <c r="V150" i="20" s="1"/>
  <c r="T150" i="20" s="1"/>
  <c r="U233" i="20"/>
  <c r="V233" i="20" s="1"/>
  <c r="T233" i="20" s="1"/>
  <c r="U45" i="20"/>
  <c r="V45" i="20" s="1"/>
  <c r="T45" i="20" s="1"/>
  <c r="U98" i="20"/>
  <c r="V98" i="20" s="1"/>
  <c r="T98" i="20" s="1"/>
  <c r="U18" i="20"/>
  <c r="V18" i="20" s="1"/>
  <c r="T18" i="20" s="1"/>
  <c r="U52" i="20"/>
  <c r="V52" i="20" s="1"/>
  <c r="T52" i="20" s="1"/>
  <c r="U134" i="20"/>
  <c r="V134" i="20" s="1"/>
  <c r="T134" i="20" s="1"/>
  <c r="U48" i="20"/>
  <c r="V48" i="20" s="1"/>
  <c r="T48" i="20" s="1"/>
  <c r="U105" i="20"/>
  <c r="V105" i="20" s="1"/>
  <c r="T105" i="20" s="1"/>
  <c r="U89" i="20"/>
  <c r="V89" i="20" s="1"/>
  <c r="T89" i="20" s="1"/>
  <c r="U49" i="20"/>
  <c r="V49" i="20" s="1"/>
  <c r="T49" i="20" s="1"/>
  <c r="U148" i="20"/>
  <c r="V148" i="20" s="1"/>
  <c r="T148" i="20" s="1"/>
  <c r="U94" i="20"/>
  <c r="V94" i="20" s="1"/>
  <c r="T94" i="20" s="1"/>
  <c r="U54" i="20"/>
  <c r="V54" i="20" s="1"/>
  <c r="T54" i="20" s="1"/>
  <c r="U137" i="20"/>
  <c r="V137" i="20" s="1"/>
  <c r="T137" i="20" s="1"/>
  <c r="U104" i="20"/>
  <c r="V104" i="20" s="1"/>
  <c r="T104" i="20" s="1"/>
  <c r="U147" i="20"/>
  <c r="V147" i="20" s="1"/>
  <c r="T147" i="20" s="1"/>
  <c r="U133" i="20"/>
  <c r="V133" i="20" s="1"/>
  <c r="T133" i="20" s="1"/>
  <c r="U61" i="20"/>
  <c r="V61" i="20" s="1"/>
  <c r="T61" i="20" s="1"/>
  <c r="U136" i="20"/>
  <c r="V136" i="20" s="1"/>
  <c r="T136" i="20" s="1"/>
  <c r="U82" i="20"/>
  <c r="V82" i="20" s="1"/>
  <c r="T82" i="20" s="1"/>
  <c r="U108" i="20"/>
  <c r="V108" i="20" s="1"/>
  <c r="T108" i="20" s="1"/>
  <c r="U149" i="20"/>
  <c r="V149" i="20" s="1"/>
  <c r="T149"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7" i="20"/>
  <c r="AB189" i="20"/>
  <c r="AD189" i="20" s="1"/>
  <c r="AA189" i="20" s="1"/>
  <c r="AB182" i="20"/>
  <c r="AB174" i="20"/>
  <c r="AB166" i="20"/>
  <c r="AB203" i="20"/>
  <c r="AB194" i="20"/>
  <c r="AD194" i="20" s="1"/>
  <c r="AA194" i="20" s="1"/>
  <c r="AB186" i="20"/>
  <c r="AB179" i="20"/>
  <c r="AB171" i="20"/>
  <c r="AD171" i="20" s="1"/>
  <c r="AA171" i="20" s="1"/>
  <c r="AB163" i="20"/>
  <c r="AD163" i="20" s="1"/>
  <c r="AA163" i="20" s="1"/>
  <c r="AB200" i="20"/>
  <c r="AB191" i="20"/>
  <c r="AB176" i="20"/>
  <c r="AB168" i="20"/>
  <c r="AB160" i="20"/>
  <c r="AD160" i="20" s="1"/>
  <c r="AA160" i="20" s="1"/>
  <c r="AB196" i="20"/>
  <c r="AB188" i="20"/>
  <c r="AB181" i="20"/>
  <c r="AB173" i="20"/>
  <c r="AD173" i="20" s="1"/>
  <c r="AA173" i="20" s="1"/>
  <c r="AB165" i="20"/>
  <c r="AB202" i="20"/>
  <c r="AB193" i="20"/>
  <c r="AD193" i="20" s="1"/>
  <c r="AA193" i="20" s="1"/>
  <c r="AB185" i="20"/>
  <c r="AB178" i="20"/>
  <c r="AB170" i="20"/>
  <c r="AB162" i="20"/>
  <c r="AD162" i="20" s="1"/>
  <c r="AA162" i="20" s="1"/>
  <c r="AB199" i="20"/>
  <c r="AB190" i="20"/>
  <c r="AD190" i="20" s="1"/>
  <c r="AA190" i="20" s="1"/>
  <c r="AB183" i="20"/>
  <c r="AB175" i="20"/>
  <c r="AD175" i="20" s="1"/>
  <c r="AA175" i="20" s="1"/>
  <c r="AB167" i="20"/>
  <c r="AB204" i="20"/>
  <c r="AB195" i="20"/>
  <c r="AB187" i="20"/>
  <c r="AB180" i="20"/>
  <c r="AB172" i="20"/>
  <c r="AD172" i="20" s="1"/>
  <c r="AA172" i="20" s="1"/>
  <c r="AB164" i="20"/>
  <c r="AD164" i="20" s="1"/>
  <c r="AA164" i="20" s="1"/>
  <c r="AB201" i="20"/>
  <c r="AB192" i="20"/>
  <c r="AD192" i="20" s="1"/>
  <c r="AA192" i="20" s="1"/>
  <c r="AB184" i="20"/>
  <c r="AD184" i="20" s="1"/>
  <c r="AA184" i="20" s="1"/>
  <c r="AB177" i="20"/>
  <c r="AB169" i="20"/>
  <c r="AB161" i="20"/>
  <c r="AD161" i="20" s="1"/>
  <c r="AA161" i="20" s="1"/>
  <c r="AB23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8" i="20"/>
  <c r="AB94" i="20"/>
  <c r="AB137" i="20"/>
  <c r="AB61" i="20"/>
  <c r="AB47" i="20"/>
  <c r="AB49" i="20"/>
  <c r="AB54" i="20"/>
  <c r="AB104" i="20"/>
  <c r="AD104" i="20" s="1"/>
  <c r="AA104" i="20" s="1"/>
  <c r="AB147" i="20"/>
  <c r="AD147" i="20" s="1"/>
  <c r="AA147" i="20" s="1"/>
  <c r="AB133" i="20"/>
  <c r="AB136" i="20"/>
  <c r="AB82" i="20"/>
  <c r="AD82" i="20" s="1"/>
  <c r="AA82" i="20" s="1"/>
  <c r="AB149" i="20"/>
  <c r="AB108" i="20"/>
  <c r="AB113" i="20"/>
  <c r="AB97" i="20"/>
  <c r="AB78" i="20"/>
  <c r="AB75" i="20"/>
  <c r="AB88" i="20"/>
  <c r="AB236" i="20"/>
  <c r="AB29" i="20"/>
  <c r="AB31" i="20"/>
  <c r="AB41" i="20"/>
  <c r="AB30" i="20"/>
  <c r="AB14" i="20"/>
  <c r="AB13" i="20"/>
  <c r="AB135"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51" i="20"/>
  <c r="AB91" i="20"/>
  <c r="AD91" i="20" s="1"/>
  <c r="AA91" i="20" s="1"/>
  <c r="AB50" i="20"/>
  <c r="AD50" i="20" s="1"/>
  <c r="AA50" i="20" s="1"/>
  <c r="AB60" i="20"/>
  <c r="AB62" i="20"/>
  <c r="AB232" i="20"/>
  <c r="AB73" i="20"/>
  <c r="AB45" i="20"/>
  <c r="AB18" i="20"/>
  <c r="AB52" i="20"/>
  <c r="AB150" i="20"/>
  <c r="AB233" i="20"/>
  <c r="AB98" i="20"/>
  <c r="AB146" i="20"/>
  <c r="AB92" i="20"/>
  <c r="AB134"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6" authorId="0" shapeId="0" xr:uid="{00000000-0006-0000-0200-000007000000}">
      <text>
        <r>
          <rPr>
            <sz val="9"/>
            <color indexed="81"/>
            <rFont val="MS P ゴシック"/>
            <family val="3"/>
            <charset val="128"/>
          </rPr>
          <t>初期ディレクトリ指定用</t>
        </r>
      </text>
    </comment>
    <comment ref="D157" authorId="0" shapeId="0" xr:uid="{00000000-0006-0000-0200-000008000000}">
      <text>
        <r>
          <rPr>
            <sz val="9"/>
            <color indexed="81"/>
            <rFont val="MS P ゴシック"/>
            <family val="3"/>
            <charset val="128"/>
          </rPr>
          <t>初期ディレクトリ指定用</t>
        </r>
      </text>
    </comment>
    <comment ref="J196" authorId="0" shapeId="0" xr:uid="{00000000-0006-0000-0200-000009000000}">
      <text>
        <r>
          <rPr>
            <sz val="9"/>
            <color indexed="81"/>
            <rFont val="MS P ゴシック"/>
            <family val="3"/>
            <charset val="128"/>
          </rPr>
          <t>「ConnectWSL2withTeraTerm.vbs」でまとめて行う</t>
        </r>
      </text>
    </comment>
    <comment ref="J199" authorId="0" shapeId="0" xr:uid="{00000000-0006-0000-0200-00000A000000}">
      <text>
        <r>
          <rPr>
            <sz val="9"/>
            <color indexed="81"/>
            <rFont val="MS P ゴシック"/>
            <family val="3"/>
            <charset val="128"/>
          </rPr>
          <t>「ConnectWSL2withTeraTerm.vbs」でまとめて行う</t>
        </r>
      </text>
    </comment>
    <comment ref="C207"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81" authorId="0" shapeId="0" xr:uid="{CA356C80-7B70-4EE7-B6F8-8CB81F6261A9}">
      <text>
        <r>
          <rPr>
            <b/>
            <sz val="9"/>
            <color indexed="81"/>
            <rFont val="MS P ゴシック"/>
            <family val="3"/>
            <charset val="128"/>
          </rPr>
          <t>例）
26 09 * * * /home/endo/_backup_files.sh</t>
        </r>
      </text>
    </comment>
    <comment ref="D81" authorId="0" shapeId="0" xr:uid="{AEB1A5C2-D3BB-4B5C-A1E6-36BA6B0143FC}">
      <text>
        <r>
          <rPr>
            <b/>
            <sz val="9"/>
            <color indexed="81"/>
            <rFont val="MS P ゴシック"/>
            <family val="3"/>
            <charset val="128"/>
          </rPr>
          <t>例）
26 09 * * * /home/endo/_backup_files.sh</t>
        </r>
      </text>
    </comment>
    <comment ref="E81" authorId="0" shapeId="0" xr:uid="{9E937EA5-3343-4855-90CE-B7E0D415796E}">
      <text>
        <r>
          <rPr>
            <b/>
            <sz val="9"/>
            <color indexed="81"/>
            <rFont val="MS P ゴシック"/>
            <family val="3"/>
            <charset val="128"/>
          </rPr>
          <t>例）
26 09 * * * /home/endo/_backup_files.sh</t>
        </r>
      </text>
    </comment>
    <comment ref="C91"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<sst xmlns="http://schemas.openxmlformats.org/spreadsheetml/2006/main" count="6538" uniqueCount="1587">
  <si>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</si>
  <si>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</si>
  <si>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</si>
  <si>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</si>
  <si>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</si>
  <si>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</si>
  <si>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</si>
  <si>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</si>
  <si>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</si>
  <si>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</si>
  <si>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</si>
  <si>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</si>
  <si>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</si>
  <si>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</si>
  <si>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</si>
  <si>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</si>
  <si>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</si>
  <si>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</si>
  <si>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</si>
  <si>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</si>
  <si>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</si>
  <si>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</si>
  <si>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</si>
  <si>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</si>
  <si>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</si>
  <si>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</si>
  <si>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</si>
  <si>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</si>
  <si>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</si>
  <si>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</si>
  <si>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</si>
  <si>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</si>
  <si>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</si>
  <si>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</si>
  <si>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</si>
  <si>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</si>
  <si>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</si>
  <si>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</si>
  <si>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</si>
  <si>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</si>
  <si>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</si>
  <si>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</si>
  <si>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</si>
  <si>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</si>
  <si>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</si>
  <si>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</si>
  <si>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</si>
  <si>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</si>
  <si>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</si>
  <si>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</si>
  <si>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</si>
  <si>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</si>
  <si>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</si>
  <si>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</si>
  <si>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</si>
  <si>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</si>
  <si>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</si>
  <si>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</si>
  <si>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</si>
  <si>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</si>
  <si>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</si>
  <si>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</si>
  <si>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</si>
  <si>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</si>
  <si>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</si>
  <si>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</si>
  <si>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</si>
  <si>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</si>
  <si>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</si>
  <si>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</si>
  <si>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</si>
  <si>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</si>
  <si>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</si>
  <si>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</si>
  <si>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</si>
  <si>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</si>
  <si>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</si>
  <si>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</si>
  <si>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</si>
  <si>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</si>
  <si>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</si>
  <si>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</si>
  <si>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</si>
  <si>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</si>
  <si>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</si>
  <si>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</si>
  <si>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</si>
  <si>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</si>
  <si>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</si>
  <si>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</si>
  <si>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</si>
  <si>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</si>
  <si>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</si>
  <si>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</si>
  <si>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</si>
  <si>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</si>
  <si>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</si>
  <si>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</si>
  <si>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</si>
  <si>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</si>
  <si>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</si>
  <si>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</si>
  <si>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</si>
  <si>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</si>
  <si>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</si>
  <si>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</si>
  <si>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</si>
  <si>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</si>
  <si>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</si>
  <si>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</si>
  <si>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</si>
  <si>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</si>
  <si>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</si>
  <si>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</si>
  <si>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</si>
  <si>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</si>
  <si>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</si>
  <si>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</si>
  <si>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</si>
  <si>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</si>
  <si>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</si>
  <si>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</si>
  <si>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</si>
  <si>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</si>
  <si>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</si>
  <si>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</si>
  <si>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</si>
  <si>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</si>
  <si>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</si>
  <si>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</si>
  <si>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</si>
  <si>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</si>
  <si>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</si>
  <si>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</si>
  <si>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</si>
  <si>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</si>
  <si>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</si>
  <si>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</si>
  <si>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</si>
  <si>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</si>
  <si>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</si>
  <si>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</si>
  <si>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</si>
  <si>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</si>
  <si>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</si>
  <si>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</si>
  <si>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</si>
  <si>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</si>
  <si>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</si>
  <si>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</si>
  <si>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</si>
  <si>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</si>
  <si>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</si>
  <si>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</si>
  <si>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</si>
  <si>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</si>
  <si>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</si>
  <si>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</si>
  <si>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</si>
  <si>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</si>
  <si>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</si>
  <si>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</si>
  <si>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</si>
  <si>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</si>
  <si>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</si>
  <si>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</si>
  <si>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</si>
  <si>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</si>
  <si>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</si>
  <si>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</si>
  <si>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</si>
  <si>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</si>
  <si>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</si>
  <si>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</si>
  <si>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</si>
  <si>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</si>
  <si>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</si>
  <si>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</si>
  <si>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</si>
  <si>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</si>
  <si>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</si>
  <si>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</si>
  <si>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</si>
  <si>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</si>
  <si>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</si>
  <si>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</si>
  <si>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</si>
  <si>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</si>
  <si>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</si>
  <si>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</si>
  <si>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</si>
  <si>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</si>
  <si>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</si>
  <si>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</si>
  <si>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</si>
  <si>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</si>
  <si>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</si>
  <si>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</si>
  <si>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</si>
  <si>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</si>
  <si>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</si>
  <si>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</si>
  <si>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</si>
  <si>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</si>
  <si>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</si>
  <si>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</si>
  <si>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</si>
  <si>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</si>
  <si>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</si>
  <si>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</si>
  <si>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</si>
  <si>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</si>
  <si>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</si>
  <si>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</si>
  <si>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</si>
  <si>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</si>
  <si>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</si>
  <si>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</si>
  <si>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</si>
  <si>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</si>
  <si>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</si>
  <si>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</si>
  <si>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</si>
  <si>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</si>
  <si>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</si>
  <si>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</si>
  <si>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</si>
  <si>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</si>
  <si>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</si>
  <si>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</si>
  <si>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</si>
  <si>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</si>
  <si>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</si>
  <si>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</si>
  <si>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</si>
  <si>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</si>
  <si>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</si>
  <si>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</si>
  <si>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</si>
  <si>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</si>
  <si>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</si>
  <si>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</si>
  <si>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</si>
  <si>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</si>
  <si>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</si>
  <si>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</si>
  <si>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</si>
  <si>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</si>
  <si>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</si>
  <si>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</si>
  <si>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</si>
  <si>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</si>
  <si>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</si>
  <si>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</si>
  <si>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</si>
  <si>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</si>
  <si>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</si>
  <si>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</si>
  <si>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</si>
  <si>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</si>
  <si>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</si>
  <si>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</si>
  <si>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</si>
  <si>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</si>
  <si>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</si>
  <si>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</si>
  <si>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</si>
  <si>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</si>
  <si>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</si>
  <si>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</si>
  <si>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</si>
  <si>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</si>
  <si>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</si>
  <si>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</si>
  <si>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</si>
  <si>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</si>
  <si>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</si>
  <si>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</si>
  <si>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</si>
  <si>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</si>
  <si>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</si>
  <si>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</si>
  <si>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</si>
  <si>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</si>
  <si>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</si>
  <si>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</si>
  <si>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</si>
  <si>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</si>
  <si>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</si>
  <si>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</si>
  <si>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</si>
  <si>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</si>
  <si>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</si>
  <si>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</si>
  <si>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</si>
  <si>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</si>
  <si>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</si>
  <si>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</si>
  <si>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</si>
  <si>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</si>
  <si>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</si>
  <si>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</si>
  <si>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</si>
  <si>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</si>
  <si>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</si>
  <si>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</si>
  <si>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</si>
  <si>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</si>
  <si>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</si>
  <si>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</si>
  <si>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</si>
  <si>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</si>
  <si>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</si>
  <si>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</si>
  <si>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</si>
  <si>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</si>
  <si>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</si>
  <si>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</si>
  <si>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</si>
  <si>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</si>
  <si>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</si>
  <si>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</si>
  <si>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</si>
  <si>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</si>
  <si>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</si>
  <si>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</si>
  <si>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</si>
  <si>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</si>
  <si>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</si>
  <si>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</si>
  <si>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</si>
  <si>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</si>
  <si>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</si>
  <si>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</si>
  <si>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</si>
  <si>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</si>
  <si>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</si>
  <si>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</si>
  <si>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</si>
  <si>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</si>
  <si>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</si>
  <si>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</si>
  <si>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</si>
  <si>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</si>
  <si>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</si>
  <si>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</si>
  <si>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</si>
  <si>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</si>
  <si>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</si>
  <si>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</si>
  <si>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</si>
  <si>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</si>
  <si>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</si>
  <si>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</si>
  <si>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</si>
  <si>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</si>
  <si>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</si>
  <si>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</si>
  <si>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</si>
  <si>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</si>
  <si>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</si>
  <si>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</si>
  <si>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</si>
  <si>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</si>
  <si>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</si>
  <si>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</si>
  <si>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</si>
  <si>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</si>
  <si>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</si>
  <si>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</si>
  <si>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</si>
  <si>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</si>
  <si>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</si>
  <si>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</si>
  <si>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</si>
  <si>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</si>
  <si>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</si>
  <si>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</si>
  <si>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</si>
  <si>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</si>
  <si>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</si>
  <si>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</si>
  <si>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</si>
  <si>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</si>
  <si>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</si>
  <si>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</si>
  <si>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</si>
  <si>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</si>
  <si>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</si>
  <si>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</si>
  <si>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</si>
  <si>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</si>
  <si>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</si>
  <si>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</si>
  <si>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</si>
  <si>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</si>
  <si>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</si>
  <si>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</si>
  <si>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</si>
  <si>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</si>
  <si>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</si>
  <si>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</si>
  <si>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</si>
  <si>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</si>
  <si>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</si>
  <si>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</si>
  <si>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</si>
  <si>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</si>
  <si>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</si>
  <si>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</si>
  <si>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</si>
  <si>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</si>
  <si>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</si>
  <si>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</si>
  <si>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</si>
  <si>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</si>
  <si>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</si>
  <si>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</si>
  <si>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</si>
  <si>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</si>
  <si>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</si>
  <si>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</si>
  <si>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</si>
  <si>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</si>
  <si>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</si>
  <si>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</si>
  <si>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</si>
  <si>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</si>
  <si>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</si>
  <si>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</si>
  <si>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</si>
  <si>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</si>
  <si>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</si>
  <si>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</si>
  <si>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</si>
  <si>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</si>
  <si>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</si>
  <si>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</si>
  <si>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</si>
  <si>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</si>
  <si>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</si>
  <si>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</si>
  <si>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</si>
  <si>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</si>
  <si>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</si>
  <si>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</si>
  <si>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</si>
  <si>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</si>
  <si>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</si>
  <si>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</si>
  <si>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</si>
  <si>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</si>
  <si>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</si>
  <si>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</si>
  <si>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</si>
  <si>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</si>
  <si>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</si>
  <si>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</si>
  <si>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</si>
  <si>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</si>
  <si>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</si>
  <si>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</si>
  <si>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</si>
  <si>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</si>
  <si>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</si>
  <si>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</si>
  <si>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</si>
  <si>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</si>
  <si>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</si>
  <si>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</si>
  <si>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</si>
  <si>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</si>
  <si>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</si>
  <si>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</si>
  <si>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</si>
  <si>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</si>
  <si>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</si>
  <si>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</si>
  <si>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</si>
  <si>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</si>
  <si>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</si>
  <si>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</si>
  <si>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</si>
  <si>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</si>
  <si>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</si>
  <si>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</si>
  <si>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</si>
  <si>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</si>
  <si>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</si>
  <si>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</si>
  <si>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</si>
  <si>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</si>
  <si>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</si>
  <si>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</si>
  <si>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</si>
  <si>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</si>
  <si>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</si>
  <si>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</si>
  <si>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</si>
  <si>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</si>
  <si>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</si>
  <si>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</si>
  <si>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</si>
  <si>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</si>
  <si>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</si>
  <si>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</si>
  <si>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</si>
  <si>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</si>
  <si>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</si>
  <si>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</si>
  <si>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</si>
  <si>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</si>
  <si>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</si>
  <si>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</si>
  <si>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</si>
  <si>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</si>
  <si>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</si>
  <si>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</si>
  <si>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</si>
  <si>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</si>
  <si>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</si>
  <si>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</si>
  <si>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</si>
  <si>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</si>
  <si>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</si>
  <si>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</si>
  <si>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</si>
  <si>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</si>
  <si>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</si>
  <si>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</si>
  <si>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</si>
  <si>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</si>
  <si>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</si>
  <si>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</si>
  <si>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</si>
  <si>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</si>
  <si>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</si>
  <si>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</si>
  <si>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</si>
  <si>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</si>
  <si>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</si>
  <si>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</si>
  <si>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</si>
  <si>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</si>
  <si>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</si>
  <si>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</si>
  <si>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</si>
  <si>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</si>
  <si>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</si>
  <si>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</si>
  <si>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</si>
  <si>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</si>
  <si>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</si>
  <si>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</si>
  <si>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</si>
  <si>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</si>
  <si>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</si>
  <si>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</si>
  <si>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</si>
  <si>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</si>
  <si>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</si>
  <si>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</si>
  <si>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</si>
  <si>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</si>
  <si>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</si>
  <si>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</si>
  <si>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</si>
  <si>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</si>
  <si>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</si>
  <si>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</si>
  <si>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</si>
  <si>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</si>
  <si>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</si>
  <si>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</si>
  <si>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</si>
  <si>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</si>
  <si>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</si>
  <si>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</si>
  <si>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</si>
  <si>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</si>
  <si>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</si>
  <si>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</si>
  <si>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</si>
  <si>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</si>
  <si>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</si>
  <si>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</si>
  <si>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</si>
  <si>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</si>
  <si>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</si>
  <si>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</si>
  <si>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</si>
  <si>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</si>
  <si>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</si>
  <si>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</si>
  <si>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</si>
  <si>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</si>
  <si>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</si>
  <si>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</si>
  <si>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</si>
  <si>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</si>
  <si>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</si>
  <si>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</si>
  <si>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</si>
  <si>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</si>
  <si>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</si>
  <si>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</si>
  <si>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</si>
  <si>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</si>
  <si>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</si>
  <si>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</si>
  <si>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</si>
  <si>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</si>
  <si>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</si>
  <si>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</si>
  <si>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</si>
  <si>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</si>
  <si>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</si>
  <si>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</si>
  <si>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</si>
  <si>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</si>
  <si>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</si>
  <si>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</si>
  <si>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</si>
  <si>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</si>
  <si>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</si>
  <si>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</si>
  <si>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</si>
  <si>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</si>
  <si>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</si>
  <si>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</si>
  <si>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</si>
  <si>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</si>
  <si>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</si>
  <si>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</si>
  <si>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</si>
  <si>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</si>
  <si>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</si>
  <si>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</si>
  <si>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</si>
  <si>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</si>
  <si>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</si>
  <si>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</si>
  <si>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</si>
  <si>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</si>
  <si>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</si>
  <si>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</si>
  <si>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</si>
  <si>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</si>
  <si>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</si>
  <si>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</si>
  <si>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</si>
  <si>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</si>
  <si>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</si>
  <si>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</si>
  <si>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</si>
  <si>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</si>
  <si>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</si>
  <si>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</si>
  <si>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</si>
  <si>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</si>
  <si>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</si>
  <si>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</si>
  <si>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</si>
  <si>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</si>
  <si>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</si>
  <si>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</si>
  <si>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</si>
  <si>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</si>
  <si>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</si>
  <si>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</si>
  <si>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</si>
  <si>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</si>
  <si>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</si>
  <si>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</si>
  <si>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</si>
  <si>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</si>
  <si>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</si>
  <si>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</si>
  <si>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</si>
  <si>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</si>
  <si>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</si>
  <si>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</si>
  <si>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</si>
  <si>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</si>
  <si>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</si>
  <si>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</si>
  <si>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</si>
  <si>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</si>
  <si>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</si>
  <si>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</si>
  <si>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</si>
  <si>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</si>
  <si>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</si>
  <si>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</si>
  <si>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</si>
  <si>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</si>
  <si>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</si>
  <si>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</si>
  <si>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</si>
  <si>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</si>
  <si>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</si>
  <si>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</si>
  <si>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</si>
  <si>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</si>
  <si>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</si>
  <si>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</si>
  <si>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</si>
  <si>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</si>
  <si>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</si>
  <si>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</si>
  <si>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</si>
  <si>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</si>
  <si>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</si>
  <si>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</si>
  <si>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</si>
  <si>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</si>
  <si>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</si>
  <si>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</si>
  <si>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</si>
  <si>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</si>
  <si>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</si>
  <si>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</si>
  <si>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</si>
  <si>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</si>
  <si>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</si>
  <si>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</si>
  <si>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</si>
  <si>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</si>
  <si>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</si>
  <si>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</si>
  <si>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</si>
  <si>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</si>
  <si>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</si>
  <si>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</si>
  <si>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</si>
  <si>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</si>
  <si>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</si>
  <si>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</si>
  <si>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</si>
  <si>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</si>
  <si>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</si>
  <si>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</si>
  <si>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</si>
  <si>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</si>
  <si>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</si>
  <si>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</si>
  <si>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</si>
  <si>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</si>
  <si>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</si>
  <si>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</si>
  <si>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</si>
  <si>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</si>
  <si>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</si>
  <si>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</si>
  <si>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</si>
  <si>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</si>
  <si>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</si>
  <si>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</si>
  <si>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</si>
  <si>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</si>
  <si>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</si>
  <si>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</si>
  <si>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</si>
  <si>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</si>
  <si>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</si>
  <si>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</si>
  <si>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</si>
  <si>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</si>
  <si>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</si>
  <si>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</si>
  <si>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</si>
  <si>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</si>
  <si>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</si>
  <si>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</si>
  <si>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</si>
  <si>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</si>
  <si>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</si>
  <si>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</si>
  <si>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</si>
  <si>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</si>
  <si>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</si>
  <si>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</si>
  <si>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</si>
  <si>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</si>
  <si>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</si>
  <si>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</si>
  <si>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</si>
  <si>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</si>
  <si>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</si>
  <si>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</si>
  <si>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</si>
  <si>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</si>
  <si>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</si>
  <si>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</si>
  <si>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</si>
  <si>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</si>
  <si>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</si>
  <si>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</si>
  <si>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</si>
  <si>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</si>
  <si>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</si>
  <si>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</si>
  <si>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</si>
  <si>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</si>
  <si>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</si>
  <si>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</si>
  <si>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</si>
  <si>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</si>
  <si>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</si>
  <si>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</si>
  <si>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</si>
  <si>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</si>
  <si>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</si>
  <si>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</si>
  <si>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</si>
  <si>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</si>
  <si>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</si>
  <si>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</si>
  <si>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</si>
  <si>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</si>
  <si>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</si>
  <si>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</si>
  <si>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</si>
  <si>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</si>
  <si>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</si>
  <si>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</si>
  <si>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</si>
  <si>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</si>
  <si>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</si>
  <si>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</si>
  <si>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</si>
  <si>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</si>
  <si>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</si>
  <si>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</si>
  <si>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</si>
  <si>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</si>
  <si>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</si>
  <si>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</si>
  <si>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</si>
  <si>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</si>
  <si>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</si>
  <si>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</si>
  <si>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</si>
  <si>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</si>
  <si>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</si>
  <si>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</si>
  <si>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</si>
  <si>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</si>
  <si>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</si>
  <si>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</si>
  <si>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</si>
  <si>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</si>
  <si>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</si>
  <si>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</si>
  <si>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</si>
  <si>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</si>
  <si>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</si>
  <si>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</si>
  <si>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</si>
  <si>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</si>
  <si>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</si>
  <si>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</si>
  <si>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</si>
  <si>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</si>
  <si>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</si>
  <si>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</si>
  <si>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</si>
  <si>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</si>
  <si>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</si>
  <si>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</si>
  <si>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</si>
  <si>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</si>
  <si>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</si>
  <si>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</si>
  <si>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</si>
  <si>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</si>
  <si>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</si>
  <si>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</si>
  <si>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</si>
  <si>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</si>
  <si>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</si>
  <si>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</si>
  <si>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</si>
  <si>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</si>
  <si>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</si>
  <si>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</si>
  <si>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</si>
  <si>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</si>
  <si>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</si>
  <si>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</si>
  <si>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</si>
  <si>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</si>
  <si>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</si>
  <si>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</si>
  <si>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</si>
  <si>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</si>
  <si>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</si>
  <si>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</si>
  <si>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</si>
  <si>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</si>
  <si>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</si>
  <si>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</si>
  <si>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</si>
  <si>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</si>
  <si>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</si>
  <si>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</si>
  <si>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</si>
  <si>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</si>
  <si>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</si>
  <si>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</si>
  <si>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</si>
  <si>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</si>
  <si>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</si>
  <si>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</si>
  <si>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</si>
  <si>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</si>
  <si>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</si>
  <si>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</si>
  <si>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</si>
  <si>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</si>
  <si>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</si>
  <si>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</si>
  <si>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</si>
  <si>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</si>
  <si>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</si>
  <si>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</si>
  <si>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</si>
  <si>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</si>
  <si>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</si>
  <si>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</si>
  <si>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</si>
  <si>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</si>
  <si>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</si>
  <si>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</si>
  <si>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</si>
  <si>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</si>
  <si>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</si>
  <si>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</si>
  <si>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</si>
  <si>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</si>
  <si>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</si>
  <si>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</si>
  <si>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</si>
  <si>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</si>
  <si>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</si>
  <si>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</si>
  <si>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</si>
  <si>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</si>
  <si>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</si>
  <si>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</si>
  <si>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</si>
  <si>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</si>
  <si>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</si>
  <si>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</si>
  <si>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</si>
  <si>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</si>
  <si>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</si>
  <si>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</si>
  <si>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</si>
  <si>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</si>
  <si>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</si>
  <si>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</si>
  <si>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</si>
  <si>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</si>
  <si>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</si>
  <si>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</si>
  <si>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</si>
  <si>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</si>
  <si>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</si>
  <si>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</si>
  <si>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</si>
  <si>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</si>
  <si>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</si>
  <si>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</si>
  <si>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</si>
  <si>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</si>
  <si>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</si>
  <si>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</si>
  <si>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</si>
  <si>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</si>
  <si>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</si>
  <si>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</si>
  <si>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</si>
  <si>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</si>
  <si>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</si>
  <si>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</si>
  <si>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</si>
  <si>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</si>
  <si>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</si>
  <si>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</si>
  <si>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</si>
  <si>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</si>
  <si>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</si>
  <si>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</si>
  <si>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</si>
  <si>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</si>
  <si>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</si>
  <si>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</si>
  <si>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</si>
  <si>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</si>
  <si>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</si>
  <si>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</si>
  <si>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</si>
  <si>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</si>
  <si>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</si>
  <si>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</si>
  <si>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</si>
  <si>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</si>
  <si>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</si>
  <si>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</si>
  <si>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</si>
  <si>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</si>
  <si>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</si>
  <si>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</si>
  <si>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</si>
  <si>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</si>
  <si>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</si>
  <si>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</si>
  <si>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</si>
  <si>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</si>
  <si>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</si>
  <si>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</si>
  <si>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</si>
  <si>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</si>
  <si>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</si>
  <si>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</si>
  <si>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</si>
  <si>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</si>
  <si>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</si>
  <si>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</si>
  <si>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</si>
  <si>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</si>
  <si>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</si>
  <si>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</si>
  <si>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</si>
  <si>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</si>
  <si>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</si>
  <si>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</si>
  <si>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</si>
  <si>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</si>
  <si>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</si>
  <si>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</si>
  <si>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</si>
  <si>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</si>
  <si>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</si>
  <si>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</si>
  <si>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</si>
  <si>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</si>
  <si>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</si>
  <si>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</si>
  <si>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</si>
  <si>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</si>
  <si>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</si>
  <si>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</si>
  <si>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</si>
  <si>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</si>
  <si>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</si>
  <si>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</si>
  <si>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</si>
  <si>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</si>
  <si>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</si>
  <si>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</si>
  <si>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</si>
  <si>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</si>
  <si>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</si>
  <si>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</si>
  <si>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</si>
  <si>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</si>
  <si>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</si>
  <si>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</si>
  <si>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</si>
  <si>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</si>
  <si>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</si>
  <si>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</si>
  <si>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</si>
  <si>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</si>
  <si>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</si>
  <si>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</si>
  <si>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</si>
  <si>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</si>
  <si>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</si>
  <si>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</si>
  <si>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</si>
  <si>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</si>
  <si>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</si>
  <si>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</si>
  <si>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</si>
  <si>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</si>
  <si>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</si>
  <si>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</si>
  <si>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</si>
  <si>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</si>
  <si>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</si>
  <si>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</si>
  <si>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</si>
  <si>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</si>
  <si>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</si>
  <si>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</si>
  <si>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</si>
  <si>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</si>
  <si>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</si>
  <si>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</si>
  <si>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</si>
  <si>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</si>
  <si>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</si>
  <si>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</si>
  <si>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</si>
  <si>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</si>
  <si>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</si>
  <si>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</si>
  <si>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</si>
  <si>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</si>
  <si>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</si>
  <si>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</si>
  <si>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</si>
  <si>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</si>
  <si>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</si>
  <si>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</si>
  <si>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</si>
  <si>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</si>
  <si>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</si>
  <si>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</si>
  <si>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</si>
  <si>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</si>
  <si>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</si>
  <si>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</si>
  <si>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</si>
  <si>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</si>
  <si>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</si>
  <si>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</si>
  <si>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</si>
  <si>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</si>
  <si>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</si>
  <si>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</si>
  <si>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</si>
  <si>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</si>
  <si>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</si>
  <si>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</si>
  <si>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</si>
  <si>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</si>
  <si>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</si>
  <si>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</si>
  <si>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</si>
  <si>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</si>
  <si>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</si>
  <si>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</si>
  <si>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</si>
  <si>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</si>
  <si>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</si>
  <si>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</si>
  <si>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</si>
  <si>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</si>
  <si>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</si>
  <si>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</si>
  <si>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</si>
  <si>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</si>
  <si>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</si>
  <si>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</si>
  <si>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</si>
  <si>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</si>
  <si>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</si>
  <si>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</si>
  <si>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</si>
  <si>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</si>
  <si>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</si>
  <si>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</si>
  <si>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</si>
  <si>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</si>
  <si>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</si>
  <si>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</si>
  <si>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</si>
  <si>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</si>
  <si>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</si>
  <si>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</si>
  <si>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</si>
  <si>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</si>
  <si>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</si>
  <si>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</si>
  <si>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</si>
  <si>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</si>
  <si>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</si>
  <si>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</si>
  <si>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</si>
  <si>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</si>
  <si>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</si>
  <si>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</si>
  <si>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</si>
  <si>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</si>
  <si>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</si>
  <si>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</si>
  <si>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</si>
  <si>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</si>
  <si>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</si>
  <si>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</si>
  <si>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</si>
  <si>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</si>
  <si>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</si>
  <si>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</si>
  <si>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</si>
  <si>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</si>
  <si>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</si>
  <si>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</si>
  <si>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</si>
  <si>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</si>
  <si>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</si>
  <si>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</si>
  <si>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</si>
  <si>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</si>
  <si>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</si>
  <si>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</si>
  <si>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</si>
  <si>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</si>
  <si>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</si>
  <si>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</si>
  <si>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</si>
  <si>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</si>
  <si>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</si>
  <si>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</si>
  <si>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</si>
  <si>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</si>
  <si>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</si>
  <si>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</si>
  <si>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</si>
  <si>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</si>
  <si>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</si>
  <si>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</si>
  <si>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</si>
  <si>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</si>
  <si>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</si>
  <si>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</si>
  <si>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</si>
  <si>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</si>
  <si>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</si>
  <si>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</si>
  <si>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</si>
  <si>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</si>
  <si>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</si>
  <si>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</si>
  <si>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</si>
  <si>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</si>
  <si>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</si>
  <si>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</si>
  <si>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</si>
  <si>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</si>
  <si>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</si>
  <si>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</si>
  <si>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</si>
  <si>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</si>
  <si>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</si>
  <si>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</si>
  <si>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</si>
  <si>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</si>
  <si>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</si>
  <si>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</si>
  <si>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</si>
  <si>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</si>
  <si>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</si>
  <si>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</si>
  <si>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</si>
  <si>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</si>
  <si>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</si>
  <si>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</si>
  <si>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</si>
  <si>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</si>
  <si>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</si>
  <si>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</si>
  <si>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</si>
  <si>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</si>
  <si>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</si>
  <si>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</si>
  <si>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</si>
  <si>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</si>
  <si>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</si>
  <si>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</si>
  <si>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</si>
  <si>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</si>
  <si>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</si>
  <si>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</si>
  <si>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</si>
  <si>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</si>
  <si>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</si>
  <si>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</si>
  <si>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</si>
  <si>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</si>
  <si>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</si>
  <si>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</si>
  <si>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</si>
  <si>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</si>
  <si>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</si>
  <si>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</si>
  <si>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</si>
  <si>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</si>
  <si>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</si>
  <si>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</si>
  <si>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</si>
  <si>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</si>
  <si>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</si>
  <si>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</si>
  <si>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</si>
  <si>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</si>
  <si>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</si>
  <si>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</si>
  <si>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</si>
  <si>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</si>
  <si>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</si>
  <si>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</si>
  <si>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</si>
  <si>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</si>
  <si>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</si>
  <si>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</si>
  <si>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</si>
  <si>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</si>
  <si>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</si>
  <si>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</si>
  <si>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</si>
  <si>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</si>
  <si>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</si>
  <si>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</si>
  <si>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</si>
  <si>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</si>
  <si>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</si>
  <si>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</si>
  <si>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</si>
  <si>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</si>
  <si>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</si>
  <si>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</si>
  <si>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</si>
  <si>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</si>
  <si>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</si>
  <si>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</si>
  <si>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</si>
  <si>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</si>
  <si>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</si>
  <si>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</si>
  <si>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</si>
  <si>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</si>
  <si>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</si>
  <si>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</si>
  <si>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</si>
  <si>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</si>
  <si>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</si>
  <si>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</si>
  <si>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</si>
  <si>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</si>
  <si>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</si>
  <si>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</si>
  <si>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</si>
  <si>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</si>
  <si>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</si>
  <si>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</si>
  <si>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</si>
  <si>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</si>
  <si>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</si>
  <si>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</si>
  <si>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</si>
  <si>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</si>
  <si>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</si>
  <si>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</si>
  <si>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</si>
  <si>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</si>
  <si>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</si>
  <si>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</si>
  <si>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</si>
  <si>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</si>
  <si>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</si>
  <si>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</si>
  <si>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</si>
  <si>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</si>
  <si>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</si>
  <si>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</si>
  <si>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</si>
  <si>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</si>
  <si>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</si>
  <si>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</si>
  <si>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</si>
  <si>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</si>
  <si>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</si>
  <si>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</si>
  <si>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</si>
  <si>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</si>
  <si>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</si>
  <si>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</si>
  <si>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</si>
  <si>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</si>
  <si>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</si>
  <si>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</si>
  <si>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</si>
  <si>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</si>
  <si>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</si>
  <si>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</si>
  <si>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</si>
  <si>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</si>
  <si>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</si>
  <si>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</si>
  <si>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</si>
  <si>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</si>
  <si>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</si>
  <si>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</si>
  <si>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</si>
  <si>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</si>
  <si>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</si>
  <si>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</si>
  <si>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</si>
  <si>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</si>
  <si>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</si>
  <si>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</si>
  <si>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</si>
  <si>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</si>
  <si>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</si>
  <si>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</si>
  <si>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</si>
  <si>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</si>
  <si>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</si>
  <si>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</si>
  <si>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</si>
  <si>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</si>
  <si>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</si>
  <si>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</si>
  <si>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</si>
  <si>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</si>
  <si>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</si>
  <si>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</si>
  <si>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</si>
  <si>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</si>
  <si>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</si>
  <si>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</si>
  <si>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</si>
  <si>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</si>
  <si>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</si>
  <si>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</si>
  <si>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</si>
  <si>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</si>
  <si>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</si>
  <si>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</si>
  <si>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</si>
  <si>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</si>
  <si>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</si>
  <si>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</si>
  <si>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</si>
  <si>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</si>
  <si>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</si>
  <si>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</si>
  <si>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</si>
  <si>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</si>
  <si>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</si>
  <si>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</si>
  <si>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</si>
  <si>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</si>
  <si>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</si>
  <si>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</si>
  <si>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</si>
  <si>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</si>
  <si>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</si>
  <si>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</si>
  <si>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</si>
  <si>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</si>
  <si>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</si>
  <si>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</si>
  <si>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</si>
  <si>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</si>
  <si>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</si>
  <si>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</si>
  <si>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</si>
  <si>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</si>
  <si>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</si>
  <si>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</si>
  <si>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</si>
  <si>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</si>
  <si>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</si>
  <si>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</si>
  <si>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</si>
  <si>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</si>
  <si>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</si>
  <si>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</si>
  <si>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</si>
  <si>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</si>
  <si>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</si>
  <si>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</si>
  <si>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</si>
  <si>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</si>
  <si>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</si>
  <si>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</si>
  <si>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</si>
  <si>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</si>
  <si>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</si>
  <si>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</si>
  <si>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</si>
  <si>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</si>
  <si>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</si>
  <si>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</si>
  <si>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</si>
  <si>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</si>
  <si>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</si>
  <si>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</si>
  <si>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</si>
  <si>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</si>
  <si>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</si>
  <si>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</si>
  <si>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</si>
  <si>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</si>
  <si>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</si>
  <si>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</si>
  <si>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</si>
  <si>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</si>
  <si>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</si>
  <si>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</si>
  <si>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</si>
  <si>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</si>
  <si>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</si>
  <si>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</si>
  <si>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</si>
  <si>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</si>
  <si>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</si>
  <si>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</si>
  <si>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</si>
  <si>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</si>
  <si>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</si>
  <si>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</si>
  <si>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</si>
  <si>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</si>
  <si>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</si>
  <si>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</si>
  <si>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</si>
  <si>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</si>
  <si>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</si>
  <si>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</si>
  <si>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</si>
  <si>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</si>
  <si>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</si>
  <si>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</si>
  <si>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</si>
  <si>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</si>
  <si>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</si>
  <si>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</si>
  <si>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</si>
  <si>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</si>
  <si>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</si>
  <si>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</si>
  <si>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</si>
  <si>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</si>
  <si>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</si>
  <si>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</si>
  <si>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</si>
  <si>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</si>
  <si>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</si>
  <si>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</si>
  <si>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</si>
  <si>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</si>
  <si>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</si>
  <si>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</si>
  <si>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</si>
  <si>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</si>
  <si>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</si>
  <si>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</si>
  <si>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</si>
  <si>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</si>
  <si>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</si>
  <si>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</si>
  <si>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</si>
  <si>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</si>
  <si>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</si>
  <si>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</si>
  <si>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</si>
  <si>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</si>
  <si>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</si>
  <si>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</si>
  <si>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</si>
  <si>
    <t>createhardlink ~/_dotfiles/.claude/settings.json .claude/settings.json</t>
    <phoneticPr fontId="2"/>
  </si>
  <si>
    <t>C:\prg_exe\SoundSwitcher\SoundSwitcher.exe</t>
    <phoneticPr fontId="2"/>
  </si>
  <si>
    <t>SoundSwitcher</t>
    <phoneticPr fontId="2"/>
  </si>
  <si>
    <t>サウンド切り替え</t>
    <rPh sb="4" eb="5">
      <t>キ</t>
    </rPh>
    <rPh sb="6" eb="7">
      <t>カ</t>
    </rPh>
    <phoneticPr fontId="2"/>
  </si>
  <si>
    <t>-</t>
    <phoneticPr fontId="2"/>
  </si>
  <si>
    <t>Shutdown.vbs</t>
  </si>
  <si>
    <t>時刻指定シャットダウン</t>
    <rPh sb="0" eb="2">
      <t>ジコク</t>
    </rPh>
    <rPh sb="2" eb="4">
      <t>シテイ</t>
    </rPh>
    <phoneticPr fontId="2"/>
  </si>
  <si>
    <t>C:\codes\vbs\tools\win\other\Shutdown.vbs</t>
  </si>
  <si>
    <t>sht</t>
  </si>
  <si>
    <t>ScheduleClockOut.vbs</t>
  </si>
  <si>
    <t>遅延退勤</t>
    <rPh sb="0" eb="2">
      <t>チエン</t>
    </rPh>
    <rPh sb="2" eb="4">
      <t>タイキン</t>
    </rPh>
    <phoneticPr fontId="3"/>
  </si>
  <si>
    <t>C:\codes\vbs\tools\win\other\ScheduleClockOut.vbs</t>
  </si>
  <si>
    <t>sco</t>
  </si>
  <si>
    <t>C:\prg_exe\Cryptomator\app\Cryptomator.exe</t>
    <phoneticPr fontId="2"/>
  </si>
  <si>
    <t>Cryptomator</t>
    <phoneticPr fontId="2"/>
  </si>
  <si>
    <t>ファイル暗号化</t>
    <rPh sb="4" eb="7">
      <t>アンゴウカ</t>
    </rPh>
    <phoneticPr fontId="2"/>
  </si>
  <si>
    <t>C:\Program Files (x86)\FILCO Assist\FilcoAssistUI.exe</t>
    <phoneticPr fontId="2"/>
  </si>
  <si>
    <t>FILCOAssist</t>
    <phoneticPr fontId="2"/>
  </si>
  <si>
    <t>キー置き換え</t>
    <rPh sb="2" eb="3">
      <t>オ</t>
    </rPh>
    <rPh sb="4" eb="5">
      <t>カ</t>
    </rPh>
    <phoneticPr fontId="2"/>
  </si>
  <si>
    <t>createhardlink ~/_dotfiles/.config/herdr/config.toml .config/herdr/config.toml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</si>
</sst>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7">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xf numFmtId="0" fontId="8" fillId="0" borderId="0">
      <alignment vertical="center"/>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7">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 name="標準 3 2" xfId="6" xr:uid="{434FB8F1-F054-492B-94AE-8C12B4AF6F3F}"/>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robocip20-my.sharepoint.com/personal/endo_tatsuya_robocip_or_jp/Documents/&#12489;&#12461;&#12517;&#12513;&#12531;&#12488;/_repos/other/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ROBOCIP(PC-31)/AppData/Roaming/Microsoft/AddIns/MyExcelAddin.xlam" TargetMode="External"/><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 val="MyExcelAddin"/>
    </sheetNames>
    <definedNames>
      <definedName name="getdirpath"/>
    </defined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7"/>
  <sheetViews>
    <sheetView showGridLines="0" view="pageBreakPreview" zoomScale="115" zoomScaleNormal="100" zoomScaleSheetLayoutView="115" workbookViewId="0">
      <pane xSplit="2" ySplit="10" topLeftCell="C103" activePane="bottomRight" state="frozen"/>
      <selection pane="topRight" activeCell="C1" sqref="C1"/>
      <selection pane="bottomLeft" activeCell="A4" sqref="A4"/>
      <selection pane="bottomRight" activeCell="E227" sqref="E227"/>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e" cm="1">
        <f t="array" aca="1" ref="E16" ca="1">[2]!getdirpath(C16)</f>
        <v>#NAME?</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e">
        <f ca="1">IF(
  AND($A16&lt;&gt;"",$I16="○"),
  (
    "mkdir """&amp;V16&amp;""" &amp; "
  )&amp;(
    """"&amp;shortcut設定!$F$7&amp;""""&amp;
    " """&amp;V16&amp;"\"&amp;$A16&amp;"（"&amp;$B16&amp;"）.lnk"""&amp;
    " """&amp;$C16&amp;""""&amp;
    IF($D16="-"," """""," """&amp;$D16&amp;"""")&amp;
    IF($E16="-"," """""," """&amp;$E16&amp;"""")
  ),
  ""
)</f>
        <v>#NAME?</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e" cm="1">
        <f t="array" aca="1" ref="E85" ca="1">[2]!getdirpath(C85)</f>
        <v>#NAME?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e">
        <f ca="1">IF(
  AND($A85&lt;&gt;"",$I85="○"),
  (
    "mkdir """&amp;V85&amp;""" &amp; "
  )&amp;(
    """"&amp;shortcut設定!$F$7&amp;""""&amp;
    " """&amp;V85&amp;"\"&amp;$A85&amp;"（"&amp;$B85&amp;"）.lnk"""&amp;
    " """&amp;$C85&amp;""""&amp;
    IF($D85="-"," """""," """&amp;$D85&amp;"""")&amp;
    IF($E85="-"," """""," """&amp;$E85&amp;"""")
  ),
  ""
)</f>
        <v>#NAME?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3"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3"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3" si="16">IF(
  AND($A106&lt;&gt;"",$O106&lt;&gt;"-",$O106&lt;&gt;""),
  (
    "schtasks /create /tn """&amp;$O106&amp;""" /tr """&amp;$C106&amp;""" /sc daily /st "&amp;$P106&amp;" /rl highest"
  ),
  ""
)</f>
        <v/>
      </c>
      <c r="AH106" s="13" t="str">
        <f t="shared" ref="AH106:AH153"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1569</v>
      </c>
      <c r="B131" s="9" t="s">
        <v>1570</v>
      </c>
      <c r="C131" s="9" t="s">
        <v>1568</v>
      </c>
      <c r="D131" s="15" t="s">
        <v>1571</v>
      </c>
      <c r="E131" s="26" t="s">
        <v>1571</v>
      </c>
      <c r="F131" s="15" t="s">
        <v>0</v>
      </c>
      <c r="G131" s="15" t="s">
        <v>0</v>
      </c>
      <c r="H131" s="9" t="s">
        <v>72</v>
      </c>
      <c r="I131" s="15" t="s">
        <v>0</v>
      </c>
      <c r="J131" s="15" t="s">
        <v>1571</v>
      </c>
      <c r="K131" s="15" t="s">
        <v>1571</v>
      </c>
      <c r="L131" s="93" t="s">
        <v>1571</v>
      </c>
      <c r="M131" s="94" t="s">
        <v>1571</v>
      </c>
      <c r="N131" s="15" t="s">
        <v>0</v>
      </c>
      <c r="O131" s="26" t="s">
        <v>1571</v>
      </c>
      <c r="P131" s="157" t="s">
        <v>1571</v>
      </c>
      <c r="Q131" s="26" t="s">
        <v>1571</v>
      </c>
      <c r="R131" s="9" t="str">
        <f t="shared" si="13"/>
        <v/>
      </c>
      <c r="S131" s="9" t="str">
        <f>IF(
  OR(
    $H131="",
    $H131="-",
    COUNTIF(カテゴリ,$H131)&gt;0
  ),
  "",
  "★NG★"
)</f>
        <v/>
      </c>
      <c r="T131" s="13" t="str">
        <f ca="1">IF(
  AND($A131&lt;&gt;"",$I131="○"),
  (
    "mkdir """&amp;V131&amp;""" &amp; "
  )&amp;(
    """"&amp;shortcut設定!$F$7&amp;""""&amp;
    " """&amp;V131&amp;"\"&amp;$A131&amp;"（"&amp;$B131&amp;"）.lnk"""&amp;
    " """&amp;$C131&amp;""""&amp;
    IF($D131="-"," """""," """&amp;$D131&amp;"""")&amp;
    IF($E131="-"," """""," """&amp;$E131&amp;"""")
  ),
  ""
)</f>
        <v>mkdir "%USERPROFILE%\AppData\Roaming\Microsoft\Windows\Start Menu\Programs\171_Utility_System" &amp; "C:\codes\vbs\command\CreateShortcutFile.vbs" "%USERPROFILE%\AppData\Roaming\Microsoft\Windows\Start Menu\Programs\171_Utility_System\SoundSwitcher（サウンド切り替え）.lnk" "C:\prg_exe\SoundSwitcher\SoundSwitcher.exe" "" ""</v>
      </c>
      <c r="U131" s="9" t="str">
        <f ca="1">IFERROR(
  VLOOKUP(
    $H131,
    shortcut設定!$F:$J,
    MATCH(
      "ProgramsIndex",
      shortcut設定!$F$12:$J$12,
      0
    ),
    FALSE
  ),
  ""
)</f>
        <v>171</v>
      </c>
      <c r="V131" s="13" t="str">
        <f ca="1">IF(
  AND($A131&lt;&gt;"",$I131="○"),
  shortcut設定!$F$4&amp;"\"&amp;U131&amp;"_"&amp;H131,
  ""
)</f>
        <v>%USERPROFILE%\AppData\Roaming\Microsoft\Windows\Start Menu\Programs\171_Utility_System</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171</v>
      </c>
      <c r="AC131" s="20" t="str">
        <f>IF(AND($M131&lt;&gt;"",$M131&lt;&gt;"-")," (&amp;"&amp;$M131&amp;")","")</f>
        <v/>
      </c>
      <c r="AD131" s="13" t="str">
        <f>IF(
  AND($A131&lt;&gt;"",$L131="○"),
  shortcut設定!$F$5&amp;"\"&amp;AB131&amp;"_"&amp;A131&amp;"（"&amp;B131&amp;"）"&amp;AC131&amp;".lnk",
  ""
)</f>
        <v/>
      </c>
      <c r="AE131" s="13" t="str">
        <f>IF(
  AND($A131&lt;&gt;"",$N131="○"),
  (
    """"&amp;shortcut設定!$F$7&amp;""""&amp;
    " """&amp;$AF131&amp;""""&amp;
    " """&amp;$C131&amp;""""&amp;
    IF($D131="-"," """""," """&amp;$D131&amp;"""")&amp;
    IF($E131="-"," """""," """&amp;$E131&amp;"""")
  ),
  ""
)</f>
        <v>"C:\codes\vbs\command\CreateShortcutFile.vbs" "%USERPROFILE%\AppData\Roaming\Microsoft\Windows\Start Menu\Programs\Startup\SoundSwitcher（サウンド切り替え）.lnk" "C:\prg_exe\SoundSwitcher\SoundSwitcher.exe" "" ""</v>
      </c>
      <c r="AF131" s="9" t="str">
        <f>IF(
  AND($A131&lt;&gt;"",$N131="○"),
  shortcut設定!$F$6&amp;"\"&amp;A131&amp;"（"&amp;B131&amp;"）.lnk",
  ""
)</f>
        <v>%USERPROFILE%\AppData\Roaming\Microsoft\Windows\Start Menu\Programs\Startup\SoundSwitcher（サウンド切り替え）.lnk</v>
      </c>
      <c r="AG131" s="13" t="str">
        <f>IF(
  AND($A131&lt;&gt;"",$O131&lt;&gt;"-",$O131&lt;&gt;""),
  (
    "schtasks /create /tn """&amp;$O131&amp;""" /tr """&amp;$C131&amp;""" /sc daily /st "&amp;$P131&amp;" /rl highest"
  ),
  ""
)</f>
        <v/>
      </c>
      <c r="AH131" s="13" t="str">
        <f>IF(
  AND($A131&lt;&gt;"",$O131&lt;&gt;"-",$O131&lt;&gt;""),
  (
    "schtasks /delete /tn """&amp;$O131&amp;""""
  ),
  ""
)</f>
        <v/>
      </c>
      <c r="AI131" s="13" t="str">
        <f>IF(
  AND($A131&lt;&gt;"",$Q131&lt;&gt;"-",$Q131&lt;&gt;""),
  (
    """"&amp;shortcut設定!$F$7&amp;""""&amp;
    " """&amp;$Q131&amp;".lnk"""&amp;
    " """&amp;$C131&amp;""""&amp;
    IF($D131="-"," """""," """&amp;$D131&amp;"""")&amp;
    IF($E131="-"," """""," """&amp;$E131&amp;"""")
  ),
  ""
)</f>
        <v/>
      </c>
      <c r="AJ131" s="91" t="s">
        <v>174</v>
      </c>
    </row>
    <row r="132" spans="1:36">
      <c r="A132" s="9" t="s">
        <v>1581</v>
      </c>
      <c r="B132" s="9" t="s">
        <v>1582</v>
      </c>
      <c r="C132" s="9" t="s">
        <v>1580</v>
      </c>
      <c r="D132" s="15" t="s">
        <v>39</v>
      </c>
      <c r="E132" s="26" t="s">
        <v>39</v>
      </c>
      <c r="F132" s="15" t="s">
        <v>0</v>
      </c>
      <c r="G132" s="15" t="s">
        <v>27</v>
      </c>
      <c r="H132" s="9" t="s">
        <v>68</v>
      </c>
      <c r="I132" s="15" t="s">
        <v>0</v>
      </c>
      <c r="J132" s="15" t="s">
        <v>39</v>
      </c>
      <c r="K132" s="15" t="s">
        <v>39</v>
      </c>
      <c r="L132" s="93" t="s">
        <v>39</v>
      </c>
      <c r="M132" s="94" t="s">
        <v>39</v>
      </c>
      <c r="N132" s="15" t="s">
        <v>39</v>
      </c>
      <c r="O132" s="26" t="s">
        <v>39</v>
      </c>
      <c r="P132" s="157" t="s">
        <v>39</v>
      </c>
      <c r="Q132" s="26" t="s">
        <v>39</v>
      </c>
      <c r="R132" s="9" t="str">
        <f t="shared" si="13"/>
        <v/>
      </c>
      <c r="S132" s="9" t="str">
        <f>IF(
  OR(
    $H132="",
    $H132="-",
    COUNTIF(カテゴリ,$H132)&gt;0
  ),
  "",
  "★NG★"
)</f>
        <v/>
      </c>
      <c r="T132" s="13" t="str">
        <f ca="1">IF(
  AND($A132&lt;&gt;"",$I132="○"),
  (
    "mkdir """&amp;V132&amp;""" &amp; "
  )&amp;(
    """"&amp;shortcut設定!$F$7&amp;""""&amp;
    " """&amp;V132&amp;"\"&amp;$A132&amp;"（"&amp;$B132&amp;"）.lnk"""&amp;
    " """&amp;$C132&amp;""""&amp;
    IF($D132="-"," """""," """&amp;$D132&amp;"""")&amp;
    IF($E132="-"," """""," """&amp;$E132&amp;"""")
  ),
  ""
)</f>
        <v>mkdir "%USERPROFILE%\AppData\Roaming\Microsoft\Windows\Start Menu\Programs\172_Utility_Other" &amp; "C:\codes\vbs\command\CreateShortcutFile.vbs" "%USERPROFILE%\AppData\Roaming\Microsoft\Windows\Start Menu\Programs\172_Utility_Other\Cryptomator（ファイル暗号化）.lnk" "C:\prg_exe\Cryptomator\app\Cryptomator.exe" "" ""</v>
      </c>
      <c r="U132" s="9" t="str">
        <f ca="1">IFERROR(
  VLOOKUP(
    $H132,
    shortcut設定!$F:$J,
    MATCH(
      "ProgramsIndex",
      shortcut設定!$F$12:$J$12,
      0
    ),
    FALSE
  ),
  ""
)</f>
        <v>172</v>
      </c>
      <c r="V132" s="13" t="str">
        <f ca="1">IF(
  AND($A132&lt;&gt;"",$I132="○"),
  shortcut設定!$F$4&amp;"\"&amp;U132&amp;"_"&amp;H132,
  ""
)</f>
        <v>%USERPROFILE%\AppData\Roaming\Microsoft\Windows\Start Menu\Programs\172_Utility_Other</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172</v>
      </c>
      <c r="AC132" s="20" t="str">
        <f>IF(AND($M132&lt;&gt;"",$M132&lt;&gt;"-")," (&amp;"&amp;$M132&amp;")","")</f>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IF(
  AND($A132&lt;&gt;"",$O132&lt;&gt;"-",$O132&lt;&gt;""),
  (
    "schtasks /create /tn """&amp;$O132&amp;""" /tr """&amp;$C132&amp;""" /sc daily /st "&amp;$P132&amp;" /rl highest"
  ),
  ""
)</f>
        <v/>
      </c>
      <c r="AH132" s="13" t="str">
        <f>IF(
  AND($A132&lt;&gt;"",$O132&lt;&gt;"-",$O132&lt;&gt;""),
  (
    "schtasks /delete /tn """&amp;$O132&amp;""""
  ),
  ""
)</f>
        <v/>
      </c>
      <c r="AI132" s="13" t="str">
        <f>IF(
  AND($A132&lt;&gt;"",$Q132&lt;&gt;"-",$Q132&lt;&gt;""),
  (
    """"&amp;shortcut設定!$F$7&amp;""""&amp;
    " """&amp;$Q132&amp;".lnk"""&amp;
    " """&amp;$C132&amp;""""&amp;
    IF($D132="-"," """""," """&amp;$D132&amp;"""")&amp;
    IF($E132="-"," """""," """&amp;$E132&amp;"""")
  ),
  ""
)</f>
        <v/>
      </c>
      <c r="AJ132" s="91" t="s">
        <v>174</v>
      </c>
    </row>
    <row r="133" spans="1:36">
      <c r="A133" s="9" t="s">
        <v>647</v>
      </c>
      <c r="B133" s="9" t="s">
        <v>784</v>
      </c>
      <c r="C133" s="9" t="s">
        <v>159</v>
      </c>
      <c r="D133" s="15" t="s">
        <v>39</v>
      </c>
      <c r="E133" s="26" t="s">
        <v>39</v>
      </c>
      <c r="F133" s="15" t="s">
        <v>166</v>
      </c>
      <c r="G133" s="15" t="s">
        <v>149</v>
      </c>
      <c r="H133" s="9" t="s">
        <v>77</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Menu\Programs\123_Doc_Edit\LibreOffice（Office互換）.lnk" "C:\prg\LibreOffice\program\soffice.exe"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460</v>
      </c>
      <c r="B134" s="9" t="s">
        <v>739</v>
      </c>
      <c r="C134" s="9" t="s">
        <v>160</v>
      </c>
      <c r="D134" s="15" t="s">
        <v>39</v>
      </c>
      <c r="E134" s="26" t="s">
        <v>39</v>
      </c>
      <c r="F134" s="15" t="s">
        <v>166</v>
      </c>
      <c r="G134" s="15" t="s">
        <v>149</v>
      </c>
      <c r="H134" s="9" t="s">
        <v>78</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Menu\Programs\133_Music_Listen" &amp; "C:\codes\vbs\command\CreateShortcutFile.vbs" "%USERPROFILE%\AppData\Roaming\Microsoft\Windows\Start Menu\Programs\133_Music_Listen\iTunes（音楽再生）.lnk" "C:\prg\iTunes\iTunes.exe" "" ""</v>
      </c>
      <c r="U134" s="9" t="str">
        <f ca="1">IFERROR(
  VLOOKUP(
    $H134,
    shortcut設定!$F:$J,
    MATCH(
      "ProgramsIndex",
      shortcut設定!$F$12:$J$12,
      0
    ),
    FALSE
  ),
  ""
)</f>
        <v>133</v>
      </c>
      <c r="V134" s="13" t="str">
        <f ca="1">IF(
  AND($A134&lt;&gt;"",$I134="○"),
  shortcut設定!$F$4&amp;"\"&amp;U134&amp;"_"&amp;H134,
  ""
)</f>
        <v>%USERPROFILE%\AppData\Roaming\Microsoft\Windows\Start Menu\Programs\133_Music_Listen</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133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52</v>
      </c>
      <c r="B135" s="9" t="s">
        <v>787</v>
      </c>
      <c r="C135" s="9" t="s">
        <v>88</v>
      </c>
      <c r="D135" s="15" t="s">
        <v>39</v>
      </c>
      <c r="E135" s="26" t="s">
        <v>39</v>
      </c>
      <c r="F135" s="15" t="s">
        <v>166</v>
      </c>
      <c r="G135" s="15" t="s">
        <v>149</v>
      </c>
      <c r="H135" s="9" t="s">
        <v>68</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Menu\Programs\172_Utility_Other" &amp; "C:\codes\vbs\command\CreateShortcutFile.vbs" "%USERPROFILE%\AppData\Roaming\Microsoft\Windows\Start Menu\Programs\172_Utility_Other\Anki（暗記補助）.lnk" "C:\prg\Anki\anki.exe" "" ""</v>
      </c>
      <c r="U135" s="9" t="str">
        <f ca="1">IFERROR(
  VLOOKUP(
    $H135,
    shortcut設定!$F:$J,
    MATCH(
      "ProgramsIndex",
      shortcut設定!$F$12:$J$12,
      0
    ),
    FALSE
  ),
  ""
)</f>
        <v>172</v>
      </c>
      <c r="V135" s="13" t="str">
        <f ca="1">IF(
  AND($A135&lt;&gt;"",$I135="○"),
  shortcut設定!$F$4&amp;"\"&amp;U135&amp;"_"&amp;H135,
  ""
)</f>
        <v>%USERPROFILE%\AppData\Roaming\Microsoft\Windows\Start Menu\Programs\172_Utility_Other</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172</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9" t="s">
        <v>650</v>
      </c>
      <c r="B136" s="9" t="s">
        <v>788</v>
      </c>
      <c r="C136" s="9" t="s">
        <v>296</v>
      </c>
      <c r="D136" s="15" t="s">
        <v>39</v>
      </c>
      <c r="E136" s="26" t="s">
        <v>39</v>
      </c>
      <c r="F136" s="15" t="s">
        <v>166</v>
      </c>
      <c r="G136" s="15" t="s">
        <v>149</v>
      </c>
      <c r="H136" s="9" t="s">
        <v>77</v>
      </c>
      <c r="I136" s="15" t="s">
        <v>841</v>
      </c>
      <c r="J136" s="15" t="s">
        <v>64</v>
      </c>
      <c r="K136" s="15" t="s">
        <v>64</v>
      </c>
      <c r="L136" s="93" t="s">
        <v>64</v>
      </c>
      <c r="M136" s="94" t="s">
        <v>545</v>
      </c>
      <c r="N136" s="15" t="s">
        <v>64</v>
      </c>
      <c r="O136" s="26" t="s">
        <v>1230</v>
      </c>
      <c r="P136" s="157" t="s">
        <v>1230</v>
      </c>
      <c r="Q136" s="26" t="s">
        <v>935</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651</v>
      </c>
      <c r="B137" s="9" t="s">
        <v>789</v>
      </c>
      <c r="C137" s="9" t="s">
        <v>297</v>
      </c>
      <c r="D137" s="15" t="s">
        <v>39</v>
      </c>
      <c r="E137" s="26" t="s">
        <v>39</v>
      </c>
      <c r="F137" s="15" t="s">
        <v>166</v>
      </c>
      <c r="G137" s="15" t="s">
        <v>149</v>
      </c>
      <c r="H137" s="9" t="s">
        <v>77</v>
      </c>
      <c r="I137" s="15" t="s">
        <v>841</v>
      </c>
      <c r="J137" s="15" t="s">
        <v>64</v>
      </c>
      <c r="K137" s="15" t="s">
        <v>64</v>
      </c>
      <c r="L137" s="93" t="s">
        <v>64</v>
      </c>
      <c r="M137" s="94" t="s">
        <v>545</v>
      </c>
      <c r="N137" s="15" t="s">
        <v>64</v>
      </c>
      <c r="O137" s="26" t="s">
        <v>1230</v>
      </c>
      <c r="P137" s="157" t="s">
        <v>1230</v>
      </c>
      <c r="Q137" s="26" t="s">
        <v>935</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171" t="s">
        <v>1362</v>
      </c>
      <c r="B138" s="9" t="s">
        <v>1363</v>
      </c>
      <c r="C138" s="9" t="s">
        <v>1361</v>
      </c>
      <c r="D138" s="15" t="s">
        <v>39</v>
      </c>
      <c r="E138" s="26" t="s">
        <v>39</v>
      </c>
      <c r="F138" s="15" t="s">
        <v>27</v>
      </c>
      <c r="G138" s="15" t="s">
        <v>0</v>
      </c>
      <c r="H138" s="9" t="s">
        <v>63</v>
      </c>
      <c r="I138" s="15" t="s">
        <v>0</v>
      </c>
      <c r="J138" s="15" t="s">
        <v>934</v>
      </c>
      <c r="K138" s="15" t="s">
        <v>39</v>
      </c>
      <c r="L138" s="93" t="s">
        <v>39</v>
      </c>
      <c r="M138" s="94" t="s">
        <v>39</v>
      </c>
      <c r="N138" s="15" t="s">
        <v>39</v>
      </c>
      <c r="O138" s="26" t="s">
        <v>39</v>
      </c>
      <c r="P138" s="157" t="s">
        <v>39</v>
      </c>
      <c r="Q138" s="26" t="s">
        <v>39</v>
      </c>
      <c r="R138" s="9" t="str">
        <f t="shared" si="13"/>
        <v/>
      </c>
      <c r="S138" s="9" t="str">
        <f t="shared" si="14"/>
        <v/>
      </c>
      <c r="T138" s="13" t="str">
        <f ca="1">IF(
  AND($A138&lt;&gt;"",$I138="○"),
  (
    "mkdir """&amp;V138&amp;""" &amp; "
  )&amp;(
    """"&amp;shortcut設定!$F$7&amp;""""&amp;
    " """&amp;V138&amp;"\"&amp;$A138&amp;"（"&amp;$B138&amp;"）.lnk"""&amp;
    " """&amp;$C138&amp;""""&amp;
    IF($D138="-"," """""," """&amp;$D138&amp;"""")&amp;
    IF($E138="-"," """""," """&amp;$E138&amp;"""")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8" s="9" t="str">
        <f ca="1">IFERROR(
  VLOOKUP(
    $H138,
    shortcut設定!$F:$J,
    MATCH(
      "ProgramsIndex",
      shortcut設定!$F$12:$J$12,
      0
    ),
    FALSE
  ),
  ""
)</f>
        <v>113</v>
      </c>
      <c r="V138" s="13" t="str">
        <f ca="1">IF(
  AND($A138&lt;&gt;"",$I138="○"),
  shortcut設定!$F$4&amp;"\"&amp;U138&amp;"_"&amp;H138,
  ""
)</f>
        <v>%USERPROFILE%\AppData\Roaming\Microsoft\Windows\Start Menu\Programs\113_Common_Edit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113</v>
      </c>
      <c r="AC138" s="20" t="str">
        <f t="shared" si="15"/>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 t="shared" si="16"/>
        <v/>
      </c>
      <c r="AH138" s="13" t="str">
        <f t="shared" si="17"/>
        <v/>
      </c>
      <c r="AI138" s="13" t="str">
        <f>IF(
  AND($A138&lt;&gt;"",$Q138&lt;&gt;"-",$Q138&lt;&gt;""),
  (
    """"&amp;shortcut設定!$F$7&amp;""""&amp;
    " """&amp;$Q138&amp;".lnk"""&amp;
    " """&amp;$C138&amp;""""&amp;
    IF($D138="-"," """""," """&amp;$D138&amp;"""")&amp;
    IF($E138="-"," """""," """&amp;$E138&amp;"""")
  ),
  ""
)</f>
        <v/>
      </c>
      <c r="AJ138" s="91" t="s">
        <v>174</v>
      </c>
    </row>
    <row r="139" spans="1:36">
      <c r="A139" s="9" t="s">
        <v>1377</v>
      </c>
      <c r="B139" s="9" t="s">
        <v>1376</v>
      </c>
      <c r="C139" s="9" t="s">
        <v>1388</v>
      </c>
      <c r="D139" s="15" t="s">
        <v>1374</v>
      </c>
      <c r="E139" s="26" t="s">
        <v>1374</v>
      </c>
      <c r="F139" s="15" t="s">
        <v>27</v>
      </c>
      <c r="G139" s="15" t="s">
        <v>0</v>
      </c>
      <c r="H139" s="9" t="s">
        <v>77</v>
      </c>
      <c r="I139" s="15" t="s">
        <v>0</v>
      </c>
      <c r="J139" s="15" t="s">
        <v>1374</v>
      </c>
      <c r="K139" s="15" t="s">
        <v>1374</v>
      </c>
      <c r="L139" s="93" t="s">
        <v>1374</v>
      </c>
      <c r="M139" s="94" t="s">
        <v>1374</v>
      </c>
      <c r="N139" s="15" t="s">
        <v>1374</v>
      </c>
      <c r="O139" s="26" t="s">
        <v>1374</v>
      </c>
      <c r="P139" s="157" t="s">
        <v>1374</v>
      </c>
      <c r="Q139" s="26" t="s">
        <v>1374</v>
      </c>
      <c r="R139" s="9" t="str">
        <f t="shared" ref="R139:R202" si="22">IF(
  AND(
    $A139&lt;&gt;"",
    COUNTIF(C:C,$A139)&gt;1
  ),
  "★NG★",
  ""
)</f>
        <v/>
      </c>
      <c r="S139" s="9" t="str">
        <f t="shared" si="14"/>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Menu\Programs\123_Doc_Edit\Cursor（テキストエディタ）.lnk" "C:\prg\cursor\Cursor.exe"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 t="shared" si="15"/>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 t="shared" si="16"/>
        <v/>
      </c>
      <c r="AH139" s="13" t="str">
        <f t="shared" si="17"/>
        <v/>
      </c>
      <c r="AI139" s="13" t="str">
        <f>IF(
  AND($A139&lt;&gt;"",$Q139&lt;&gt;"-",$Q139&lt;&gt;""),
  (
    """"&amp;shortcut設定!$F$7&amp;""""&amp;
    " """&amp;$Q139&amp;".lnk"""&amp;
    " """&amp;$C139&amp;""""&amp;
    IF($D139="-"," """""," """&amp;$D139&amp;"""")&amp;
    IF($E139="-"," """""," """&amp;$E139&amp;"""")
  ),
  ""
)</f>
        <v/>
      </c>
      <c r="AJ139" s="91" t="s">
        <v>174</v>
      </c>
    </row>
    <row r="140" spans="1:36">
      <c r="A140" s="9" t="s">
        <v>1385</v>
      </c>
      <c r="B140" s="9" t="s">
        <v>1386</v>
      </c>
      <c r="C140" s="9" t="s">
        <v>1384</v>
      </c>
      <c r="D140" s="15" t="s">
        <v>1387</v>
      </c>
      <c r="E140" s="26" t="s">
        <v>1387</v>
      </c>
      <c r="F140" s="15" t="s">
        <v>0</v>
      </c>
      <c r="G140" s="15" t="s">
        <v>0</v>
      </c>
      <c r="H140" s="9" t="s">
        <v>77</v>
      </c>
      <c r="I140" s="15" t="s">
        <v>0</v>
      </c>
      <c r="J140" s="15" t="s">
        <v>1387</v>
      </c>
      <c r="K140" s="15" t="s">
        <v>1387</v>
      </c>
      <c r="L140" s="93" t="s">
        <v>1387</v>
      </c>
      <c r="M140" s="94" t="s">
        <v>1387</v>
      </c>
      <c r="N140" s="15" t="s">
        <v>1387</v>
      </c>
      <c r="O140" s="26" t="s">
        <v>1387</v>
      </c>
      <c r="P140" s="157" t="s">
        <v>1387</v>
      </c>
      <c r="Q140" s="26" t="s">
        <v>1387</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Menu\Programs\123_Doc_Edit" &amp; "C:\codes\vbs\command\CreateShortcutFile.vbs" "%USERPROFILE%\AppData\Roaming\Microsoft\Windows\Start Menu\Programs\123_Doc_Edit\Obsidian（テキストエディタ）.lnk" "C:\prg\Obsidian\Obsidian.exe" "" ""</v>
      </c>
      <c r="U140" s="9" t="str">
        <f ca="1">IFERROR(
  VLOOKUP(
    $H140,
    shortcut設定!$F:$J,
    MATCH(
      "ProgramsIndex",
      shortcut設定!$F$12:$J$12,
      0
    ),
    FALSE
  ),
  ""
)</f>
        <v>123</v>
      </c>
      <c r="V140" s="13" t="str">
        <f ca="1">IF(
  AND($A140&lt;&gt;"",$I140="○"),
  shortcut設定!$F$4&amp;"\"&amp;U140&amp;"_"&amp;H140,
  ""
)</f>
        <v>%USERPROFILE%\AppData\Roaming\Microsoft\Windows\Start Menu\Programs\123_Doc_Edit</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123</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1390</v>
      </c>
      <c r="B141" s="9" t="s">
        <v>1391</v>
      </c>
      <c r="C141" s="9" t="s">
        <v>1389</v>
      </c>
      <c r="D141" s="15" t="s">
        <v>1392</v>
      </c>
      <c r="E141" s="26" t="s">
        <v>1392</v>
      </c>
      <c r="F141" s="15" t="s">
        <v>0</v>
      </c>
      <c r="G141" s="15" t="s">
        <v>0</v>
      </c>
      <c r="H141" s="9" t="s">
        <v>63</v>
      </c>
      <c r="I141" s="15" t="s">
        <v>0</v>
      </c>
      <c r="J141" s="15" t="s">
        <v>39</v>
      </c>
      <c r="K141" s="15" t="s">
        <v>39</v>
      </c>
      <c r="L141" s="93" t="s">
        <v>39</v>
      </c>
      <c r="M141" s="94" t="s">
        <v>39</v>
      </c>
      <c r="N141" s="15" t="s">
        <v>39</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Menu\Programs\113_Common_Edit" &amp; "C:\codes\vbs\command\CreateShortcutFile.vbs" "%USERPROFILE%\AppData\Roaming\Microsoft\Windows\Start Menu\Programs\113_Common_Edit\Unity Hub（シミュレーター）.lnk" "C:\prg\Unity Hub\Unity Hub.exe" "" ""</v>
      </c>
      <c r="U141" s="9" t="str">
        <f ca="1">IFERROR(
  VLOOKUP(
    $H141,
    shortcut設定!$F:$J,
    MATCH(
      "ProgramsIndex",
      shortcut設定!$F$12:$J$12,
      0
    ),
    FALSE
  ),
  ""
)</f>
        <v>113</v>
      </c>
      <c r="V141" s="13" t="str">
        <f ca="1">IF(
  AND($A141&lt;&gt;"",$I141="○"),
  shortcut設定!$F$4&amp;"\"&amp;U141&amp;"_"&amp;H141,
  ""
)</f>
        <v>%USERPROFILE%\AppData\Roaming\Microsoft\Windows\Start Menu\Programs\113_Common_Edit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113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1434</v>
      </c>
      <c r="B142" s="9" t="s">
        <v>1435</v>
      </c>
      <c r="C142" s="9" t="s">
        <v>1433</v>
      </c>
      <c r="D142" s="15" t="s">
        <v>1436</v>
      </c>
      <c r="E142" s="26" t="s">
        <v>1436</v>
      </c>
      <c r="F142" s="15" t="s">
        <v>0</v>
      </c>
      <c r="G142" s="15" t="s">
        <v>0</v>
      </c>
      <c r="H142" s="9" t="s">
        <v>72</v>
      </c>
      <c r="I142" s="15" t="s">
        <v>0</v>
      </c>
      <c r="J142" s="15" t="s">
        <v>1436</v>
      </c>
      <c r="K142" s="15" t="s">
        <v>1436</v>
      </c>
      <c r="L142" s="93" t="s">
        <v>1436</v>
      </c>
      <c r="M142" s="94" t="s">
        <v>1436</v>
      </c>
      <c r="N142" s="15" t="s">
        <v>1436</v>
      </c>
      <c r="O142" s="26" t="s">
        <v>1436</v>
      </c>
      <c r="P142" s="157" t="s">
        <v>1436</v>
      </c>
      <c r="Q142" s="26" t="s">
        <v>1436</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2" s="9" t="str">
        <f ca="1">IFERROR(
  VLOOKUP(
    $H142,
    shortcut設定!$F:$J,
    MATCH(
      "ProgramsIndex",
      shortcut設定!$F$12:$J$12,
      0
    ),
    FALSE
  ),
  ""
)</f>
        <v>171</v>
      </c>
      <c r="V142" s="13" t="str">
        <f ca="1">IF(
  AND($A142&lt;&gt;"",$I142="○"),
  shortcut設定!$F$4&amp;"\"&amp;U142&amp;"_"&amp;H142,
  ""
)</f>
        <v>%USERPROFILE%\AppData\Roaming\Microsoft\Windows\Start Menu\Programs\171_Utility_System</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171</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1365</v>
      </c>
      <c r="B143" s="9" t="s">
        <v>740</v>
      </c>
      <c r="C143" s="9" t="s">
        <v>1364</v>
      </c>
      <c r="D143" s="15" t="s">
        <v>1366</v>
      </c>
      <c r="E143" s="26" t="s">
        <v>1366</v>
      </c>
      <c r="F143" s="15" t="s">
        <v>27</v>
      </c>
      <c r="G143" s="15" t="s">
        <v>0</v>
      </c>
      <c r="H143" s="9" t="s">
        <v>77</v>
      </c>
      <c r="I143" s="15" t="s">
        <v>149</v>
      </c>
      <c r="J143" s="15" t="s">
        <v>64</v>
      </c>
      <c r="K143" s="15" t="s">
        <v>64</v>
      </c>
      <c r="L143" s="93" t="s">
        <v>64</v>
      </c>
      <c r="M143" s="94" t="s">
        <v>39</v>
      </c>
      <c r="N143" s="15" t="s">
        <v>64</v>
      </c>
      <c r="O143" s="26" t="s">
        <v>39</v>
      </c>
      <c r="P143" s="157" t="s">
        <v>39</v>
      </c>
      <c r="Q143" s="26" t="s">
        <v>39</v>
      </c>
      <c r="R143" s="9" t="str">
        <f t="shared" si="22"/>
        <v/>
      </c>
      <c r="S143" s="9" t="str">
        <f>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IF(
  AND($A143&lt;&gt;"",$O143&lt;&gt;"-",$O143&lt;&gt;""),
  (
    "schtasks /create /tn """&amp;$O143&amp;""" /tr """&amp;$C143&amp;""" /sc daily /st "&amp;$P143&amp;" /rl highest"
  ),
  ""
)</f>
        <v/>
      </c>
      <c r="AH143" s="13" t="str">
        <f>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1452</v>
      </c>
      <c r="B144" s="9" t="s">
        <v>1453</v>
      </c>
      <c r="C144" s="9" t="s">
        <v>1451</v>
      </c>
      <c r="D144" s="15" t="s">
        <v>1454</v>
      </c>
      <c r="E144" s="26" t="s">
        <v>1454</v>
      </c>
      <c r="F144" s="15" t="s">
        <v>0</v>
      </c>
      <c r="G144" s="15" t="s">
        <v>0</v>
      </c>
      <c r="H144" s="9" t="s">
        <v>85</v>
      </c>
      <c r="I144" s="15" t="s">
        <v>0</v>
      </c>
      <c r="J144" s="15" t="s">
        <v>64</v>
      </c>
      <c r="K144" s="15" t="s">
        <v>64</v>
      </c>
      <c r="L144" s="93" t="s">
        <v>64</v>
      </c>
      <c r="M144" s="94" t="s">
        <v>39</v>
      </c>
      <c r="N144" s="15" t="s">
        <v>64</v>
      </c>
      <c r="O144" s="26" t="s">
        <v>39</v>
      </c>
      <c r="P144" s="157" t="s">
        <v>39</v>
      </c>
      <c r="Q144" s="26" t="s">
        <v>39</v>
      </c>
      <c r="R144" s="9" t="str">
        <f t="shared" si="22"/>
        <v/>
      </c>
      <c r="S144" s="9" t="str">
        <f>IF(
  OR(
    $H144="",
    $H144="-",
    COUNTIF(カテゴリ,$H144)&gt;0
  ),
  "",
  "★NG★"
)</f>
        <v/>
      </c>
      <c r="T144" s="13" t="str">
        <f ca="1">IF(
  AND($A144&lt;&gt;"",$I144="○"),
  (
    "mkdir """&amp;V144&amp;""" &amp; "
  )&amp;(
    """"&amp;shortcut設定!$F$7&amp;""""&amp;
    " """&amp;V144&amp;"\"&amp;$A144&amp;"（"&amp;$B144&amp;"）.lnk"""&amp;
    " """&amp;$C144&amp;""""&amp;
    IF($D144="-"," """""," """&amp;$D144&amp;"""")&amp;
    IF($E144="-"," """""," """&amp;$E144&amp;"""")
  ),
  ""
)</f>
        <v>mkdir "%USERPROFILE%\AppData\Roaming\Microsoft\Windows\Start Menu\Programs\162_Network_Local" &amp; "C:\codes\vbs\command\CreateShortcutFile.vbs" "%USERPROFILE%\AppData\Roaming\Microsoft\Windows\Start Menu\Programs\162_Network_Local\AnyDesk（リモート接続）.lnk" "C:\prg\AnyDesk\AnyDesk.exe" "" ""</v>
      </c>
      <c r="U144" s="9" t="str">
        <f ca="1">IFERROR(
  VLOOKUP(
    $H144,
    shortcut設定!$F:$J,
    MATCH(
      "ProgramsIndex",
      shortcut設定!$F$12:$J$12,
      0
    ),
    FALSE
  ),
  ""
)</f>
        <v>162</v>
      </c>
      <c r="V144" s="13" t="str">
        <f ca="1">IF(
  AND($A144&lt;&gt;"",$I144="○"),
  shortcut設定!$F$4&amp;"\"&amp;U144&amp;"_"&amp;H144,
  ""
)</f>
        <v>%USERPROFILE%\AppData\Roaming\Microsoft\Windows\Start Menu\Programs\162_Network_Local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162</v>
      </c>
      <c r="AC144" s="20" t="str">
        <f>IF(AND($M144&lt;&gt;"",$M144&lt;&gt;"-")," (&amp;"&amp;$M144&amp;")","")</f>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IF(
  AND($A144&lt;&gt;"",$O144&lt;&gt;"-",$O144&lt;&gt;""),
  (
    "schtasks /create /tn """&amp;$O144&amp;""" /tr """&amp;$C144&amp;""" /sc daily /st "&amp;$P144&amp;" /rl highest"
  ),
  ""
)</f>
        <v/>
      </c>
      <c r="AH144" s="13" t="str">
        <f>IF(
  AND($A144&lt;&gt;"",$O144&lt;&gt;"-",$O144&lt;&gt;""),
  (
    "schtasks /delete /tn """&amp;$O144&amp;""""
  ),
  ""
)</f>
        <v/>
      </c>
      <c r="AI144" s="13" t="str">
        <f>IF(
  AND($A144&lt;&gt;"",$Q144&lt;&gt;"-",$Q144&lt;&gt;""),
  (
    """"&amp;shortcut設定!$F$7&amp;""""&amp;
    " """&amp;$Q144&amp;".lnk"""&amp;
    " """&amp;$C144&amp;""""&amp;
    IF($D144="-"," """""," """&amp;$D144&amp;"""")&amp;
    IF($E144="-"," """""," """&amp;$E144&amp;"""")
  ),
  ""
)</f>
        <v/>
      </c>
      <c r="AJ144" s="91" t="s">
        <v>174</v>
      </c>
    </row>
    <row r="145" spans="1:36">
      <c r="A145" s="9" t="s">
        <v>1513</v>
      </c>
      <c r="B145" s="9" t="s">
        <v>1514</v>
      </c>
      <c r="C145" s="9" t="s">
        <v>1512</v>
      </c>
      <c r="D145" s="15" t="s">
        <v>39</v>
      </c>
      <c r="E145" s="26" t="s">
        <v>39</v>
      </c>
      <c r="F145" s="15" t="s">
        <v>0</v>
      </c>
      <c r="G145" s="15" t="s">
        <v>0</v>
      </c>
      <c r="H145" s="9" t="s">
        <v>85</v>
      </c>
      <c r="I145" s="15" t="s">
        <v>0</v>
      </c>
      <c r="J145" s="15" t="s">
        <v>64</v>
      </c>
      <c r="K145" s="15" t="s">
        <v>64</v>
      </c>
      <c r="L145" s="93" t="s">
        <v>64</v>
      </c>
      <c r="M145" s="94" t="s">
        <v>39</v>
      </c>
      <c r="N145" s="15" t="s">
        <v>64</v>
      </c>
      <c r="O145" s="26" t="s">
        <v>39</v>
      </c>
      <c r="P145" s="157" t="s">
        <v>39</v>
      </c>
      <c r="Q145" s="26" t="s">
        <v>39</v>
      </c>
      <c r="R145" s="9" t="str">
        <f t="shared" si="22"/>
        <v/>
      </c>
      <c r="S145" s="9" t="str">
        <f t="shared" ref="S145" si="23">IF(
  OR(
    $H145="",
    $H145="-",
    COUNTIF(カテゴリ,$H145)&gt;0
  ),
  "",
  "★NG★"
)</f>
        <v/>
      </c>
      <c r="T145" s="13" t="str">
        <f ca="1">IF(
  AND($A145&lt;&gt;"",$I145="○"),
  (
    "mkdir """&amp;V145&amp;""" &amp; "
  )&amp;(
    """"&amp;shortcut設定!$F$7&amp;""""&amp;
    " """&amp;V145&amp;"\"&amp;$A145&amp;"（"&amp;$B145&amp;"）.lnk"""&amp;
    " """&amp;$C145&amp;""""&amp;
    IF($D145="-"," """""," """&amp;$D145&amp;"""")&amp;
    IF($E145="-"," """""," """&amp;$E145&amp;"""")
  ),
  ""
)</f>
        <v>mkdir "%USERPROFILE%\AppData\Roaming\Microsoft\Windows\Start Menu\Programs\162_Network_Local" &amp; "C:\codes\vbs\command\CreateShortcutFile.vbs" "%USERPROFILE%\AppData\Roaming\Microsoft\Windows\Start Menu\Programs\162_Network_Local\TurboVNC（リモート接続）.lnk" "C:\prg\TurboVNC\vncviewerw.bat" "" ""</v>
      </c>
      <c r="U145" s="9" t="str">
        <f ca="1">IFERROR(
  VLOOKUP(
    $H145,
    shortcut設定!$F:$J,
    MATCH(
      "ProgramsIndex",
      shortcut設定!$F$12:$J$12,
      0
    ),
    FALSE
  ),
  ""
)</f>
        <v>162</v>
      </c>
      <c r="V145" s="13" t="str">
        <f ca="1">IF(
  AND($A145&lt;&gt;"",$I145="○"),
  shortcut設定!$F$4&amp;"\"&amp;U145&amp;"_"&amp;H145,
  ""
)</f>
        <v>%USERPROFILE%\AppData\Roaming\Microsoft\Windows\Start Menu\Programs\162_Network_Local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162</v>
      </c>
      <c r="AC145" s="20" t="str">
        <f t="shared" ref="AC145" si="24">IF(AND($M145&lt;&gt;"",$M145&lt;&gt;"-")," (&amp;"&amp;$M145&amp;")","")</f>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ref="AG145" si="25">IF(
  AND($A145&lt;&gt;"",$O145&lt;&gt;"-",$O145&lt;&gt;""),
  (
    "schtasks /create /tn """&amp;$O145&amp;""" /tr """&amp;$C145&amp;""" /sc daily /st "&amp;$P145&amp;" /rl highest"
  ),
  ""
)</f>
        <v/>
      </c>
      <c r="AH145" s="13" t="str">
        <f t="shared" ref="AH145" si="26">IF(
  AND($A145&lt;&gt;"",$O145&lt;&gt;"-",$O145&lt;&gt;""),
  (
    "schtasks /delete /tn """&amp;$O145&amp;""""
  ),
  ""
)</f>
        <v/>
      </c>
      <c r="AI145" s="13" t="str">
        <f>IF(
  AND($A145&lt;&gt;"",$Q145&lt;&gt;"-",$Q145&lt;&gt;""),
  (
    """"&amp;shortcut設定!$F$7&amp;""""&amp;
    " """&amp;$Q145&amp;".lnk"""&amp;
    " """&amp;$C145&amp;""""&amp;
    IF($D145="-"," """""," """&amp;$D145&amp;"""")&amp;
    IF($E145="-"," """""," """&amp;$E145&amp;"""")
  ),
  ""
)</f>
        <v/>
      </c>
      <c r="AJ145" s="91" t="s">
        <v>174</v>
      </c>
    </row>
    <row r="146" spans="1:36">
      <c r="A146" s="9" t="s">
        <v>652</v>
      </c>
      <c r="B146" s="9" t="s">
        <v>714</v>
      </c>
      <c r="C146" s="9" t="s">
        <v>87</v>
      </c>
      <c r="D146" s="15" t="s">
        <v>39</v>
      </c>
      <c r="E146" s="26" t="s">
        <v>39</v>
      </c>
      <c r="F146" s="15" t="s">
        <v>149</v>
      </c>
      <c r="G146" s="15" t="s">
        <v>149</v>
      </c>
      <c r="H146" s="9" t="s">
        <v>69</v>
      </c>
      <c r="I146" s="15" t="s">
        <v>841</v>
      </c>
      <c r="J146" s="15" t="s">
        <v>64</v>
      </c>
      <c r="K146" s="15" t="s">
        <v>64</v>
      </c>
      <c r="L146" s="93" t="s">
        <v>64</v>
      </c>
      <c r="M146" s="94" t="s">
        <v>545</v>
      </c>
      <c r="N146" s="15" t="s">
        <v>841</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6" s="9" t="str">
        <f ca="1">IFERROR(
  VLOOKUP(
    $H146,
    shortcut設定!$F:$J,
    MATCH(
      "ProgramsIndex",
      shortcut設定!$F$12:$J$12,
      0
    ),
    FALSE
  ),
  ""
)</f>
        <v>161</v>
      </c>
      <c r="V146" s="13" t="str">
        <f ca="1">IF(
  AND($A146&lt;&gt;"",$I146="○"),
  shortcut設定!$F$4&amp;"\"&amp;U146&amp;"_"&amp;H146,
  ""
)</f>
        <v>%USERPROFILE%\AppData\Roaming\Microsoft\Windows\Start Menu\Programs\161_Network_Global</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161</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"C:\codes\vbs\command\CreateShortcutFile.vbs" "%USERPROFILE%\AppData\Roaming\Microsoft\Windows\Start Menu\Programs\Startup\MicrosoftEdge（ブラウザ）.lnk" "C:\Program Files (x86)\Microsoft\Edge\Application\msedge.exe" "" ""</v>
      </c>
      <c r="AF146" s="9" t="str">
        <f>IF(
  AND($A146&lt;&gt;"",$N146="○"),
  shortcut設定!$F$6&amp;"\"&amp;A146&amp;"（"&amp;B146&amp;"）.lnk",
  ""
)</f>
        <v>%USERPROFILE%\AppData\Roaming\Microsoft\Windows\Start Menu\Programs\Startup\MicrosoftEdge（ブラウザ）.lnk</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653</v>
      </c>
      <c r="B147" s="9" t="s">
        <v>790</v>
      </c>
      <c r="C147" s="77" t="s">
        <v>89</v>
      </c>
      <c r="D147" s="15" t="s">
        <v>861</v>
      </c>
      <c r="E147" s="26" t="s">
        <v>39</v>
      </c>
      <c r="F147" s="15" t="s">
        <v>149</v>
      </c>
      <c r="G147" s="15" t="s">
        <v>149</v>
      </c>
      <c r="H147" s="9" t="s">
        <v>77</v>
      </c>
      <c r="I147" s="15" t="s">
        <v>841</v>
      </c>
      <c r="J147" s="15" t="s">
        <v>64</v>
      </c>
      <c r="K147" s="15" t="s">
        <v>64</v>
      </c>
      <c r="L147" s="93" t="s">
        <v>0</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 ca="1">IF(
  AND($A147&lt;&gt;"",$L147&lt;&gt;"-",$L147&lt;&gt;""),
  (
    """"&amp;shortcut設定!$F$7&amp;""""&amp;
    " """&amp;$AD147&amp;""""&amp;
    " """&amp;$C147&amp;""""&amp;
    IF($D147="-"," """""," """&amp;$D147&amp;"""")&amp;
    IF($E147="-"," """""," """&amp;$E147&amp;"""")
  ),
  ""
)</f>
        <v>"C:\codes\vbs\command\CreateShortcutFile.vbs" "%USERPROFILE%\AppData\Roaming\Microsoft\Windows\SendTo\123_MicrosoftExcel（ドキュメント編集）.lnk" "C:\Program Files (x86)\Microsoft Office\root\Office16\EXCEL.EXE" "/x" ""</v>
      </c>
      <c r="AB147" s="9" t="str">
        <f ca="1">IFERROR(
  VLOOKUP(
    $H147,
    shortcut設定!$F:$J,
    MATCH(
      "ProgramsIndex",
      shortcut設定!$F$12:$J$12,
      0
    ),
    FALSE
  ),
  ""
)</f>
        <v>123</v>
      </c>
      <c r="AC147" s="20" t="str">
        <f t="shared" si="15"/>
        <v/>
      </c>
      <c r="AD147" s="13" t="str">
        <f ca="1">IF(
  AND($A147&lt;&gt;"",$L147="○"),
  shortcut設定!$F$5&amp;"\"&amp;AB147&amp;"_"&amp;A147&amp;"（"&amp;B147&amp;"）"&amp;AC147&amp;".lnk",
  ""
)</f>
        <v>%USERPROFILE%\AppData\Roaming\Microsoft\Windows\SendTo\123_MicrosoftExcel（ドキュメント編集）.lnk</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654</v>
      </c>
      <c r="B148" s="9" t="s">
        <v>790</v>
      </c>
      <c r="C148" s="9" t="s">
        <v>90</v>
      </c>
      <c r="D148" s="15" t="s">
        <v>39</v>
      </c>
      <c r="E148" s="26" t="s">
        <v>39</v>
      </c>
      <c r="F148" s="15" t="s">
        <v>149</v>
      </c>
      <c r="G148" s="15" t="s">
        <v>149</v>
      </c>
      <c r="H148" s="9" t="s">
        <v>77</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8" s="9" t="str">
        <f ca="1">IFERROR(
  VLOOKUP(
    $H148,
    shortcut設定!$F:$J,
    MATCH(
      "ProgramsIndex",
      shortcut設定!$F$12:$J$12,
      0
    ),
    FALSE
  ),
  ""
)</f>
        <v>123</v>
      </c>
      <c r="V148" s="13" t="str">
        <f ca="1">IF(
  AND($A148&lt;&gt;"",$I148="○"),
  shortcut設定!$F$4&amp;"\"&amp;U148&amp;"_"&amp;H148,
  ""
)</f>
        <v>%USERPROFILE%\AppData\Roaming\Microsoft\Windows\Start Menu\Programs\123_Doc_Edit</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123</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655</v>
      </c>
      <c r="B149" s="9" t="s">
        <v>790</v>
      </c>
      <c r="C149" s="9" t="s">
        <v>91</v>
      </c>
      <c r="D149" s="15" t="s">
        <v>39</v>
      </c>
      <c r="E149" s="26" t="s">
        <v>39</v>
      </c>
      <c r="F149" s="15" t="s">
        <v>149</v>
      </c>
      <c r="G149" s="15" t="s">
        <v>149</v>
      </c>
      <c r="H149" s="9" t="s">
        <v>77</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9" s="9" t="str">
        <f ca="1">IFERROR(
  VLOOKUP(
    $H149,
    shortcut設定!$F:$J,
    MATCH(
      "ProgramsIndex",
      shortcut設定!$F$12:$J$12,
      0
    ),
    FALSE
  ),
  ""
)</f>
        <v>123</v>
      </c>
      <c r="V149" s="13" t="str">
        <f ca="1">IF(
  AND($A149&lt;&gt;"",$I149="○"),
  shortcut設定!$F$4&amp;"\"&amp;U149&amp;"_"&amp;H149,
  ""
)</f>
        <v>%USERPROFILE%\AppData\Roaming\Microsoft\Windows\Start Menu\Programs\123_Doc_Edit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123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656</v>
      </c>
      <c r="B150" s="9" t="s">
        <v>791</v>
      </c>
      <c r="C150" s="9" t="s">
        <v>92</v>
      </c>
      <c r="D150" s="15" t="s">
        <v>39</v>
      </c>
      <c r="E150" s="26" t="s">
        <v>39</v>
      </c>
      <c r="F150" s="15" t="s">
        <v>149</v>
      </c>
      <c r="G150" s="15" t="s">
        <v>149</v>
      </c>
      <c r="H150" s="9" t="s">
        <v>69</v>
      </c>
      <c r="I150" s="15" t="s">
        <v>841</v>
      </c>
      <c r="J150" s="15" t="s">
        <v>64</v>
      </c>
      <c r="K150" s="15" t="s">
        <v>64</v>
      </c>
      <c r="L150" s="93" t="s">
        <v>64</v>
      </c>
      <c r="M150" s="94" t="s">
        <v>545</v>
      </c>
      <c r="N150" s="15" t="s">
        <v>64</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657</v>
      </c>
      <c r="B151" s="9" t="s">
        <v>792</v>
      </c>
      <c r="C151" s="9" t="s">
        <v>851</v>
      </c>
      <c r="D151" s="15" t="s">
        <v>39</v>
      </c>
      <c r="E151" s="26" t="s">
        <v>39</v>
      </c>
      <c r="F151" s="15" t="s">
        <v>166</v>
      </c>
      <c r="G151" s="15" t="s">
        <v>149</v>
      </c>
      <c r="H151" s="9" t="s">
        <v>79</v>
      </c>
      <c r="I151" s="15" t="s">
        <v>841</v>
      </c>
      <c r="J151" s="15" t="s">
        <v>64</v>
      </c>
      <c r="K151" s="15" t="s">
        <v>64</v>
      </c>
      <c r="L151" s="93" t="s">
        <v>64</v>
      </c>
      <c r="M151" s="94" t="s">
        <v>545</v>
      </c>
      <c r="N151" s="15" t="s">
        <v>64</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51" s="9" t="str">
        <f ca="1">IFERROR(
  VLOOKUP(
    $H151,
    shortcut設定!$F:$J,
    MATCH(
      "ProgramsIndex",
      shortcut設定!$F$12:$J$12,
      0
    ),
    FALSE
  ),
  ""
)</f>
        <v>153</v>
      </c>
      <c r="V151" s="13" t="str">
        <f ca="1">IF(
  AND($A151&lt;&gt;"",$I151="○"),
  shortcut設定!$F$4&amp;"\"&amp;U151&amp;"_"&amp;H151,
  ""
)</f>
        <v>%USERPROFILE%\AppData\Roaming\Microsoft\Windows\Start Menu\Programs\153_Picture_Edit</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153</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849</v>
      </c>
      <c r="B152" s="9" t="s">
        <v>850</v>
      </c>
      <c r="C152" s="9" t="s">
        <v>852</v>
      </c>
      <c r="D152" s="15" t="s">
        <v>39</v>
      </c>
      <c r="E152" s="26" t="s">
        <v>39</v>
      </c>
      <c r="F152" s="15" t="s">
        <v>27</v>
      </c>
      <c r="G152" s="15" t="s">
        <v>0</v>
      </c>
      <c r="H152" s="9" t="s">
        <v>65</v>
      </c>
      <c r="I152" s="15" t="s">
        <v>0</v>
      </c>
      <c r="J152" s="15" t="s">
        <v>549</v>
      </c>
      <c r="K152" s="15" t="s">
        <v>39</v>
      </c>
      <c r="L152" s="93" t="s">
        <v>549</v>
      </c>
      <c r="M152" s="94" t="s">
        <v>549</v>
      </c>
      <c r="N152" s="15" t="s">
        <v>549</v>
      </c>
      <c r="O152" s="26" t="s">
        <v>1230</v>
      </c>
      <c r="P152" s="157" t="s">
        <v>1230</v>
      </c>
      <c r="Q152" s="26" t="s">
        <v>935</v>
      </c>
      <c r="R152" s="9" t="str">
        <f t="shared" si="22"/>
        <v/>
      </c>
      <c r="S152" s="9" t="str">
        <f t="shared" si="14"/>
        <v/>
      </c>
      <c r="T152" s="13" t="str">
        <f ca="1">IF(
  AND($A152&lt;&gt;"",$I152="○"),
  (
    "mkdir """&amp;V152&amp;""" &amp; "
  )&amp;(
    """"&amp;shortcut設定!$F$7&amp;""""&amp;
    " """&amp;V152&amp;"\"&amp;$A152&amp;"（"&amp;$B152&amp;"）.lnk"""&amp;
    " """&amp;$C152&amp;""""&amp;
    IF($D152="-"," """""," """&amp;$D152&amp;"""")&amp;
    IF($E152="-"," """""," """&amp;$E152&amp;"""")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2" s="9" t="str">
        <f ca="1">IFERROR(
  VLOOKUP(
    $H152,
    shortcut設定!$F:$J,
    MATCH(
      "ProgramsIndex",
      shortcut設定!$F$12:$J$12,
      0
    ),
    FALSE
  ),
  ""
)</f>
        <v>122</v>
      </c>
      <c r="V152" s="13" t="str">
        <f ca="1">IF(
  AND($A152&lt;&gt;"",$I152="○"),
  shortcut設定!$F$4&amp;"\"&amp;U152&amp;"_"&amp;H152,
  ""
)</f>
        <v>%USERPROFILE%\AppData\Roaming\Microsoft\Windows\Start Menu\Programs\122_Doc_View</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122</v>
      </c>
      <c r="AC152" s="20" t="str">
        <f t="shared" si="15"/>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16"/>
        <v/>
      </c>
      <c r="AH152" s="13" t="str">
        <f t="shared" si="17"/>
        <v/>
      </c>
      <c r="AI152" s="13" t="str">
        <f>IF(
  AND($A152&lt;&gt;"",$Q152&lt;&gt;"-",$Q152&lt;&gt;""),
  (
    """"&amp;shortcut設定!$F$7&amp;""""&amp;
    " """&amp;$Q152&amp;".lnk"""&amp;
    " """&amp;$C152&amp;""""&amp;
    IF($D152="-"," """""," """&amp;$D152&amp;"""")&amp;
    IF($E152="-"," """""," """&amp;$E152&amp;"""")
  ),
  ""
)</f>
        <v/>
      </c>
      <c r="AJ152" s="91" t="s">
        <v>174</v>
      </c>
    </row>
    <row r="153" spans="1:36">
      <c r="A153" s="9" t="s">
        <v>854</v>
      </c>
      <c r="B153" s="9" t="s">
        <v>856</v>
      </c>
      <c r="C153" s="9" t="s">
        <v>853</v>
      </c>
      <c r="D153" s="15" t="s">
        <v>39</v>
      </c>
      <c r="E153" s="26" t="s">
        <v>39</v>
      </c>
      <c r="F153" s="15" t="s">
        <v>27</v>
      </c>
      <c r="G153" s="15" t="s">
        <v>0</v>
      </c>
      <c r="H153" s="9" t="s">
        <v>69</v>
      </c>
      <c r="I153" s="15" t="s">
        <v>0</v>
      </c>
      <c r="J153" s="15" t="s">
        <v>549</v>
      </c>
      <c r="K153" s="15" t="s">
        <v>39</v>
      </c>
      <c r="L153" s="93" t="s">
        <v>549</v>
      </c>
      <c r="M153" s="94" t="s">
        <v>549</v>
      </c>
      <c r="N153" s="15" t="s">
        <v>549</v>
      </c>
      <c r="O153" s="26" t="s">
        <v>1230</v>
      </c>
      <c r="P153" s="157" t="s">
        <v>1230</v>
      </c>
      <c r="Q153" s="26" t="s">
        <v>935</v>
      </c>
      <c r="R153" s="9" t="str">
        <f t="shared" si="22"/>
        <v/>
      </c>
      <c r="S153" s="9" t="str">
        <f t="shared" si="14"/>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si="15"/>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si="16"/>
        <v/>
      </c>
      <c r="AH153" s="13" t="str">
        <f t="shared" si="17"/>
        <v/>
      </c>
      <c r="AI153" s="13" t="str">
        <f>IF(
  AND($A153&lt;&gt;"",$Q153&lt;&gt;"-",$Q153&lt;&gt;""),
  (
    """"&amp;shortcut設定!$F$7&amp;""""&amp;
    " """&amp;$Q153&amp;".lnk"""&amp;
    " """&amp;$C153&amp;""""&amp;
    IF($D153="-"," """""," """&amp;$D153&amp;"""")&amp;
    IF($E153="-"," """""," """&amp;$E153&amp;"""")
  ),
  ""
)</f>
        <v/>
      </c>
      <c r="AJ153" s="91" t="s">
        <v>174</v>
      </c>
    </row>
    <row r="154" spans="1:36">
      <c r="A154" s="9" t="s">
        <v>1428</v>
      </c>
      <c r="B154" s="9" t="s">
        <v>1429</v>
      </c>
      <c r="C154" s="9" t="s">
        <v>1431</v>
      </c>
      <c r="D154" s="15" t="s">
        <v>1430</v>
      </c>
      <c r="E154" s="26" t="s">
        <v>1430</v>
      </c>
      <c r="F154" s="15" t="s">
        <v>0</v>
      </c>
      <c r="G154" s="15" t="s">
        <v>0</v>
      </c>
      <c r="H154" s="9" t="s">
        <v>1432</v>
      </c>
      <c r="I154" s="15" t="s">
        <v>0</v>
      </c>
      <c r="J154" s="15" t="s">
        <v>1430</v>
      </c>
      <c r="K154" s="15" t="s">
        <v>1430</v>
      </c>
      <c r="L154" s="93" t="s">
        <v>1430</v>
      </c>
      <c r="M154" s="94" t="s">
        <v>1430</v>
      </c>
      <c r="N154" s="15" t="s">
        <v>1430</v>
      </c>
      <c r="O154" s="26" t="s">
        <v>1430</v>
      </c>
      <c r="P154" s="157" t="s">
        <v>1430</v>
      </c>
      <c r="Q154" s="26" t="s">
        <v>1430</v>
      </c>
      <c r="R154" s="9" t="str">
        <f t="shared" si="22"/>
        <v/>
      </c>
      <c r="S154" s="9" t="str">
        <f>IF(
  OR(
    $H154="",
    $H154="-",
    COUNTIF(カテゴリ,$H154)&gt;0
  ),
  "",
  "★NG★"
)</f>
        <v/>
      </c>
      <c r="T154" s="13" t="str">
        <f ca="1">IF(
  AND($A154&lt;&gt;"",$I154="○"),
  (
    "mkdir """&amp;V154&amp;""" &amp; "
  )&amp;(
    """"&amp;shortcut設定!$F$7&amp;""""&amp;
    " """&amp;V154&amp;"\"&amp;$A154&amp;"（"&amp;$B154&amp;"）.lnk"""&amp;
    " """&amp;$C154&amp;""""&amp;
    IF($D154="-"," """""," """&amp;$D154&amp;"""")&amp;
    IF($E154="-"," """""," """&amp;$E154&amp;"""")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4" s="9" t="str">
        <f ca="1">IFERROR(
  VLOOKUP(
    $H154,
    shortcut設定!$F:$J,
    MATCH(
      "ProgramsIndex",
      shortcut設定!$F$12:$J$12,
      0
    ),
    FALSE
  ),
  ""
)</f>
        <v>132</v>
      </c>
      <c r="V154" s="13" t="str">
        <f ca="1">IF(
  AND($A154&lt;&gt;"",$I154="○"),
  shortcut設定!$F$4&amp;"\"&amp;U154&amp;"_"&amp;H154,
  ""
)</f>
        <v>%USERPROFILE%\AppData\Roaming\Microsoft\Windows\Start Menu\Programs\132_Music_Record</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132</v>
      </c>
      <c r="AC154" s="20" t="str">
        <f>IF(AND($M154&lt;&gt;"",$M154&lt;&gt;"-")," (&amp;"&amp;$M154&amp;")","")</f>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IF(
  AND($A154&lt;&gt;"",$O154&lt;&gt;"-",$O154&lt;&gt;""),
  (
    "schtasks /create /tn """&amp;$O154&amp;""" /tr """&amp;$C154&amp;""" /sc daily /st "&amp;$P154&amp;" /rl highest"
  ),
  ""
)</f>
        <v/>
      </c>
      <c r="AH154" s="13" t="str">
        <f>IF(
  AND($A154&lt;&gt;"",$O154&lt;&gt;"-",$O154&lt;&gt;""),
  (
    "schtasks /delete /tn """&amp;$O154&amp;""""
  ),
  ""
)</f>
        <v/>
      </c>
      <c r="AI154" s="13" t="str">
        <f>IF(
  AND($A154&lt;&gt;"",$Q154&lt;&gt;"-",$Q154&lt;&gt;""),
  (
    """"&amp;shortcut設定!$F$7&amp;""""&amp;
    " """&amp;$Q154&amp;".lnk"""&amp;
    " """&amp;$C154&amp;""""&amp;
    IF($D154="-"," """""," """&amp;$D154&amp;"""")&amp;
    IF($E154="-"," """""," """&amp;$E154&amp;"""")
  ),
  ""
)</f>
        <v/>
      </c>
      <c r="AJ154" s="91" t="s">
        <v>174</v>
      </c>
    </row>
    <row r="155" spans="1:36">
      <c r="A155" s="9" t="s">
        <v>855</v>
      </c>
      <c r="B155" s="9" t="s">
        <v>856</v>
      </c>
      <c r="C155" s="9" t="s">
        <v>1447</v>
      </c>
      <c r="D155" s="15" t="s">
        <v>39</v>
      </c>
      <c r="E155" s="26" t="s">
        <v>39</v>
      </c>
      <c r="F155" s="15" t="s">
        <v>0</v>
      </c>
      <c r="G155" s="15" t="s">
        <v>27</v>
      </c>
      <c r="H155" s="9" t="s">
        <v>69</v>
      </c>
      <c r="I155" s="15" t="s">
        <v>0</v>
      </c>
      <c r="J155" s="15" t="s">
        <v>549</v>
      </c>
      <c r="K155" s="15" t="s">
        <v>39</v>
      </c>
      <c r="L155" s="93" t="s">
        <v>549</v>
      </c>
      <c r="M155" s="94" t="s">
        <v>549</v>
      </c>
      <c r="N155" s="15" t="s">
        <v>549</v>
      </c>
      <c r="O155" s="26" t="s">
        <v>1230</v>
      </c>
      <c r="P155" s="157" t="s">
        <v>1230</v>
      </c>
      <c r="Q155" s="26" t="s">
        <v>935</v>
      </c>
      <c r="R155" s="9" t="str">
        <f t="shared" si="22"/>
        <v/>
      </c>
      <c r="S155" s="9" t="str">
        <f t="shared" ref="S155:S187" si="27">IF(
  OR(
    $H155="",
    $H155="-",
    COUNTIF(カテゴリ,$H155)&gt;0
  ),
  "",
  "★NG★"
)</f>
        <v/>
      </c>
      <c r="T155" s="13" t="str">
        <f ca="1">IF(
  AND($A155&lt;&gt;"",$I155="○"),
  (
    "mkdir """&amp;V155&amp;""" &amp; "
  )&amp;(
    """"&amp;shortcut設定!$F$7&amp;""""&amp;
    " """&amp;V155&amp;"\"&amp;$A155&amp;"（"&amp;$B155&amp;"）.lnk"""&amp;
    " """&amp;$C155&amp;""""&amp;
    IF($D155="-"," """""," """&amp;$D155&amp;"""")&amp;
    IF($E155="-"," """""," """&amp;$E155&amp;"""")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5" s="9" t="str">
        <f ca="1">IFERROR(
  VLOOKUP(
    $H155,
    shortcut設定!$F:$J,
    MATCH(
      "ProgramsIndex",
      shortcut設定!$F$12:$J$12,
      0
    ),
    FALSE
  ),
  ""
)</f>
        <v>161</v>
      </c>
      <c r="V155" s="13" t="str">
        <f ca="1">IF(
  AND($A155&lt;&gt;"",$I155="○"),
  shortcut設定!$F$4&amp;"\"&amp;U155&amp;"_"&amp;H155,
  ""
)</f>
        <v>%USERPROFILE%\AppData\Roaming\Microsoft\Windows\Start Menu\Programs\161_Network_Global</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161</v>
      </c>
      <c r="AC155" s="20" t="str">
        <f t="shared" ref="AC155:AC187" si="28">IF(AND($M155&lt;&gt;"",$M155&lt;&gt;"-")," (&amp;"&amp;$M155&amp;")","")</f>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ref="AG155:AG187" si="29">IF(
  AND($A155&lt;&gt;"",$O155&lt;&gt;"-",$O155&lt;&gt;""),
  (
    "schtasks /create /tn """&amp;$O155&amp;""" /tr """&amp;$C155&amp;""" /sc daily /st "&amp;$P155&amp;" /rl highest"
  ),
  ""
)</f>
        <v/>
      </c>
      <c r="AH155" s="13" t="str">
        <f t="shared" ref="AH155:AH187" si="30">IF(
  AND($A155&lt;&gt;"",$O155&lt;&gt;"-",$O155&lt;&gt;""),
  (
    "schtasks /delete /tn """&amp;$O155&amp;""""
  ),
  ""
)</f>
        <v/>
      </c>
      <c r="AI155" s="13" t="str">
        <f>IF(
  AND($A155&lt;&gt;"",$Q155&lt;&gt;"-",$Q155&lt;&gt;""),
  (
    """"&amp;shortcut設定!$F$7&amp;""""&amp;
    " """&amp;$Q155&amp;".lnk"""&amp;
    " """&amp;$C155&amp;""""&amp;
    IF($D155="-"," """""," """&amp;$D155&amp;"""")&amp;
    IF($E155="-"," """""," """&amp;$E155&amp;"""")
  ),
  ""
)</f>
        <v/>
      </c>
      <c r="AJ155" s="91" t="s">
        <v>174</v>
      </c>
    </row>
    <row r="156" spans="1:36">
      <c r="A156" s="9" t="s">
        <v>1124</v>
      </c>
      <c r="B156" s="9" t="s">
        <v>1126</v>
      </c>
      <c r="C156" s="9" t="s">
        <v>1123</v>
      </c>
      <c r="D156" s="15" t="s">
        <v>39</v>
      </c>
      <c r="E156" s="26" t="s">
        <v>1155</v>
      </c>
      <c r="F156" s="15" t="s">
        <v>0</v>
      </c>
      <c r="G156" s="15" t="s">
        <v>0</v>
      </c>
      <c r="H156" s="9" t="s">
        <v>68</v>
      </c>
      <c r="I156" s="15" t="s">
        <v>0</v>
      </c>
      <c r="J156" s="15" t="s">
        <v>1125</v>
      </c>
      <c r="K156" s="15" t="s">
        <v>39</v>
      </c>
      <c r="L156" s="93" t="s">
        <v>39</v>
      </c>
      <c r="M156" s="94" t="s">
        <v>39</v>
      </c>
      <c r="N156" s="15" t="s">
        <v>39</v>
      </c>
      <c r="O156" s="26" t="s">
        <v>1230</v>
      </c>
      <c r="P156" s="157" t="s">
        <v>1230</v>
      </c>
      <c r="Q156" s="26" t="s">
        <v>39</v>
      </c>
      <c r="R156" s="9" t="str">
        <f t="shared" si="22"/>
        <v/>
      </c>
      <c r="S156" s="9" t="str">
        <f t="shared" si="27"/>
        <v/>
      </c>
      <c r="T156" s="13" t="str">
        <f ca="1">IF(
  AND($A156&lt;&gt;"",$I156="○"),
  (
    "mkdir """&amp;V156&amp;""" &amp; "
  )&amp;(
    """"&amp;shortcut設定!$F$7&amp;""""&amp;
    " """&amp;V156&amp;"\"&amp;$A156&amp;"（"&amp;$B156&amp;"）.lnk"""&amp;
    " """&amp;$C156&amp;""""&amp;
    IF($D156="-"," """""," """&amp;$D156&amp;"""")&amp;
    IF($E156="-"," """""," """&amp;$E156&amp;"""")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6" s="9" t="str">
        <f ca="1">IFERROR(
  VLOOKUP(
    $H156,
    shortcut設定!$F:$J,
    MATCH(
      "ProgramsIndex",
      shortcut設定!$F$12:$J$12,
      0
    ),
    FALSE
  ),
  ""
)</f>
        <v>172</v>
      </c>
      <c r="V156" s="13" t="str">
        <f ca="1">IF(
  AND($A156&lt;&gt;"",$I156="○"),
  shortcut設定!$F$4&amp;"\"&amp;U156&amp;"_"&amp;H156,
  ""
)</f>
        <v>%USERPROFILE%\AppData\Roaming\Microsoft\Windows\Start Menu\Programs\172_Utility_Other</v>
      </c>
      <c r="W156" s="13" t="str">
        <f>IF(
  AND($A156&lt;&gt;"",$J156&lt;&gt;"-",$J156&lt;&gt;""),
  (
    "mkdir """&amp;shortcut設定!$F$4&amp;"\"&amp;shortcut設定!$F$8&amp;""" &amp; "
  )&amp;(
    """"&amp;shortcut設定!$F$7&amp;""""&amp;
    " """&amp;$X156&amp;""""&amp;
    " """&amp;$C156&amp;""""&amp;
    IF($D156="-"," """""," """&amp;$D156&amp;"""")&amp;
    IF($E156="-"," """""," """&amp;$E156&amp;"""")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6" s="14" t="str">
        <f>IF(
  AND($A156&lt;&gt;"",$J156&lt;&gt;"-",$J156&lt;&gt;""),
  shortcut設定!$F$4&amp;"\"&amp;shortcut設定!$F$8&amp;"\"&amp;$J156&amp;"（"&amp;$B156&amp;"）.lnk",
  ""
)</f>
        <v>%USERPROFILE%\AppData\Roaming\Microsoft\Windows\Start Menu\Programs\$QuickAccess\cmd（コマンドプロンプト起動）.lnk</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172</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
      </c>
      <c r="AF156" s="9" t="str">
        <f>IF(
  AND($A156&lt;&gt;"",$N156="○"),
  shortcut設定!$F$6&amp;"\"&amp;A156&amp;"（"&amp;B156&amp;"）.lnk",
  ""
)</f>
        <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1124</v>
      </c>
      <c r="B157" s="9" t="s">
        <v>1157</v>
      </c>
      <c r="C157" s="9" t="s">
        <v>1156</v>
      </c>
      <c r="D157" s="15" t="s">
        <v>1158</v>
      </c>
      <c r="E157" s="26" t="s">
        <v>39</v>
      </c>
      <c r="F157" s="15" t="s">
        <v>0</v>
      </c>
      <c r="G157" s="15" t="s">
        <v>0</v>
      </c>
      <c r="H157" s="9" t="s">
        <v>68</v>
      </c>
      <c r="I157" s="15" t="s">
        <v>0</v>
      </c>
      <c r="J157" s="15" t="s">
        <v>1125</v>
      </c>
      <c r="K157" s="15" t="s">
        <v>39</v>
      </c>
      <c r="L157" s="93" t="s">
        <v>39</v>
      </c>
      <c r="M157" s="94" t="s">
        <v>39</v>
      </c>
      <c r="N157" s="15" t="s">
        <v>39</v>
      </c>
      <c r="O157" s="26" t="s">
        <v>1230</v>
      </c>
      <c r="P157" s="157" t="s">
        <v>1230</v>
      </c>
      <c r="Q157" s="26" t="s">
        <v>39</v>
      </c>
      <c r="R157" s="9" t="str">
        <f t="shared" si="22"/>
        <v/>
      </c>
      <c r="S157" s="9" t="str">
        <f t="shared" si="27"/>
        <v/>
      </c>
      <c r="T157" s="13" t="str">
        <f ca="1">IF(
  AND($A157&lt;&gt;"",$I157="○"),
  (
    "mkdir """&amp;V157&amp;""" &amp; "
  )&amp;(
    """"&amp;shortcut設定!$F$7&amp;""""&amp;
    " """&amp;V157&amp;"\"&amp;$A157&amp;"（"&amp;$B157&amp;"）.lnk"""&amp;
    " """&amp;$C157&amp;""""&amp;
    IF($D157="-"," """""," """&amp;$D157&amp;"""")&amp;
    IF($E157="-"," """""," """&amp;$E157&amp;"""")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7" s="9" t="str">
        <f ca="1">IFERROR(
  VLOOKUP(
    $H157,
    shortcut設定!$F:$J,
    MATCH(
      "ProgramsIndex",
      shortcut設定!$F$12:$J$12,
      0
    ),
    FALSE
  ),
  ""
)</f>
        <v>172</v>
      </c>
      <c r="V157" s="13" t="str">
        <f ca="1">IF(
  AND($A157&lt;&gt;"",$I157="○"),
  shortcut設定!$F$4&amp;"\"&amp;U157&amp;"_"&amp;H157,
  ""
)</f>
        <v>%USERPROFILE%\AppData\Roaming\Microsoft\Windows\Start Menu\Programs\172_Utility_Other</v>
      </c>
      <c r="W157" s="13" t="str">
        <f>IF(
  AND($A157&lt;&gt;"",$J157&lt;&gt;"-",$J157&lt;&gt;""),
  (
    "mkdir """&amp;shortcut設定!$F$4&amp;"\"&amp;shortcut設定!$F$8&amp;""" &amp; "
  )&amp;(
    """"&amp;shortcut設定!$F$7&amp;""""&amp;
    " """&amp;$X157&amp;""""&amp;
    " """&amp;$C157&amp;""""&amp;
    IF($D157="-"," """""," """&amp;$D157&amp;"""")&amp;
    IF($E157="-"," """""," """&amp;$E157&amp;"""")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7" s="14" t="str">
        <f>IF(
  AND($A157&lt;&gt;"",$J157&lt;&gt;"-",$J157&lt;&gt;""),
  shortcut設定!$F$4&amp;"\"&amp;shortcut設定!$F$8&amp;"\"&amp;$J157&amp;"（"&amp;$B157&amp;"）.lnk",
  ""
)</f>
        <v>%USERPROFILE%\AppData\Roaming\Microsoft\Windows\Start Menu\Programs\$QuickAccess\cmd（コマンドプロンプト起動_管理者権限）.lnk</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172</v>
      </c>
      <c r="AC157" s="20" t="str">
        <f t="shared" si="28"/>
        <v/>
      </c>
      <c r="AD157" s="13" t="str">
        <f>IF(
  AND($A157&lt;&gt;"",$L157="○"),
  shortcut設定!$F$5&amp;"\"&amp;AB157&amp;"_"&amp;A157&amp;"（"&amp;B157&amp;"）"&amp;AC157&amp;".lnk",
  ""
)</f>
        <v/>
      </c>
      <c r="AE157" s="13" t="str">
        <f>IF(
  AND($A157&lt;&gt;"",$N157="○"),
  (
    """"&amp;shortcut設定!$F$7&amp;""""&amp;
    " """&amp;$AF157&amp;""""&amp;
    " """&amp;$C157&amp;""""&amp;
    IF($D157="-"," """""," """&amp;$D157&amp;"""")&amp;
    IF($E157="-"," """""," """&amp;$E157&amp;"""")
  ),
  ""
)</f>
        <v/>
      </c>
      <c r="AF157" s="9" t="str">
        <f>IF(
  AND($A157&lt;&gt;"",$N157="○"),
  shortcut設定!$F$6&amp;"\"&amp;A157&amp;"（"&amp;B157&amp;"）.lnk",
  ""
)</f>
        <v/>
      </c>
      <c r="AG157" s="13" t="str">
        <f t="shared" si="29"/>
        <v/>
      </c>
      <c r="AH157" s="13" t="str">
        <f t="shared" si="30"/>
        <v/>
      </c>
      <c r="AI157" s="13" t="str">
        <f>IF(
  AND($A157&lt;&gt;"",$Q157&lt;&gt;"-",$Q157&lt;&gt;""),
  (
    """"&amp;shortcut設定!$F$7&amp;""""&amp;
    " """&amp;$Q157&amp;".lnk"""&amp;
    " """&amp;$C157&amp;""""&amp;
    IF($D157="-"," """""," """&amp;$D157&amp;"""")&amp;
    IF($E157="-"," """""," """&amp;$E157&amp;"""")
  ),
  ""
)</f>
        <v/>
      </c>
      <c r="AJ157" s="91" t="s">
        <v>174</v>
      </c>
    </row>
    <row r="158" spans="1:36">
      <c r="A158" s="9" t="s">
        <v>1501</v>
      </c>
      <c r="B158" s="9" t="s">
        <v>793</v>
      </c>
      <c r="C158" s="9" t="s">
        <v>1500</v>
      </c>
      <c r="D158" s="15" t="s">
        <v>39</v>
      </c>
      <c r="E158" s="26" t="s">
        <v>39</v>
      </c>
      <c r="F158" s="15" t="s">
        <v>0</v>
      </c>
      <c r="G158" s="15" t="s">
        <v>0</v>
      </c>
      <c r="H158" s="9" t="s">
        <v>521</v>
      </c>
      <c r="I158" s="15" t="s">
        <v>64</v>
      </c>
      <c r="J158" s="15" t="s">
        <v>64</v>
      </c>
      <c r="K158" s="15" t="s">
        <v>64</v>
      </c>
      <c r="L158" s="93" t="s">
        <v>64</v>
      </c>
      <c r="M158" s="94" t="s">
        <v>39</v>
      </c>
      <c r="N158" s="15" t="s">
        <v>149</v>
      </c>
      <c r="O158" s="26" t="s">
        <v>39</v>
      </c>
      <c r="P158" s="157" t="s">
        <v>39</v>
      </c>
      <c r="Q158" s="26" t="s">
        <v>39</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IF(
  AND($A158&lt;&gt;"",$L158&lt;&gt;"-",$L158&lt;&gt;""),
  (
    """"&amp;shortcut設定!$F$7&amp;""""&amp;
    " """&amp;$AD158&amp;""""&amp;
    " """&amp;$C158&amp;""""&amp;
    IF($D158="-"," """""," """&amp;$D158&amp;"""")&amp;
    IF($E158="-"," """""," """&amp;$E158&amp;"""")
  ),
  ""
)</f>
        <v/>
      </c>
      <c r="AB158" s="9" t="str">
        <f ca="1">IFERROR(
  VLOOKUP(
    $H158,
    shortcut設定!$F:$J,
    MATCH(
      "ProgramsIndex",
      shortcut設定!$F$12:$J$12,
      0
    ),
    FALSE
  ),
  ""
)</f>
        <v>200</v>
      </c>
      <c r="AC158" s="20" t="str">
        <f t="shared" si="28"/>
        <v/>
      </c>
      <c r="AD158" s="13" t="str">
        <f>IF(
  AND($A158&lt;&gt;"",$L158="○"),
  shortcut設定!$F$5&amp;"\"&amp;AB158&amp;"_"&amp;A158&amp;"（"&amp;B158&amp;"）"&amp;AC158&amp;".lnk",
  ""
)</f>
        <v/>
      </c>
      <c r="AE158" s="13" t="str">
        <f>IF(
  AND($A158&lt;&gt;"",$N158="○"),
  (
    """"&amp;shortcut設定!$F$7&amp;""""&amp;
    " """&amp;$AF158&amp;""""&amp;
    " """&amp;$C158&amp;""""&amp;
    IF($D158="-"," """""," """&amp;$D158&amp;"""")&amp;
    IF($E158="-"," """""," """&amp;$E158&amp;"""")
  ),
  ""
)</f>
        <v>"C:\codes\vbs\command\CreateShortcutFile.vbs" "%USERPROFILE%\AppData\Roaming\Microsoft\Windows\Start Menu\Programs\Startup\UserDefHotKey2.bat（ホットキー）.lnk" "C:\codes\ahk\UserDefHotKey2.bat" "" ""</v>
      </c>
      <c r="AF158" s="9" t="str">
        <f>IF(
  AND($A158&lt;&gt;"",$N158="○"),
  shortcut設定!$F$6&amp;"\"&amp;A158&amp;"（"&amp;B158&amp;"）.lnk",
  ""
)</f>
        <v>%USERPROFILE%\AppData\Roaming\Microsoft\Windows\Start Menu\Programs\Startup\UserDefHotKey2.bat（ホットキー）.lnk</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1496</v>
      </c>
      <c r="B159" s="9" t="s">
        <v>1497</v>
      </c>
      <c r="C159" s="9" t="s">
        <v>1495</v>
      </c>
      <c r="D159" s="15" t="s">
        <v>1498</v>
      </c>
      <c r="E159" s="26" t="s">
        <v>1498</v>
      </c>
      <c r="F159" s="15" t="s">
        <v>0</v>
      </c>
      <c r="G159" s="15" t="s">
        <v>0</v>
      </c>
      <c r="H159" s="9" t="s">
        <v>521</v>
      </c>
      <c r="I159" s="15" t="s">
        <v>1498</v>
      </c>
      <c r="J159" s="15" t="s">
        <v>1498</v>
      </c>
      <c r="K159" s="15" t="s">
        <v>1498</v>
      </c>
      <c r="L159" s="93" t="s">
        <v>1498</v>
      </c>
      <c r="M159" s="94" t="s">
        <v>1498</v>
      </c>
      <c r="N159" s="15" t="s">
        <v>1499</v>
      </c>
      <c r="O159" s="26" t="s">
        <v>1498</v>
      </c>
      <c r="P159" s="157" t="s">
        <v>1498</v>
      </c>
      <c r="Q159" s="26" t="s">
        <v>1498</v>
      </c>
      <c r="R159" s="9" t="str">
        <f t="shared" si="22"/>
        <v/>
      </c>
      <c r="S159" s="9" t="str">
        <f>IF(
  OR(
    $H159="",
    $H159="-",
    COUNTIF(カテゴリ,$H159)&gt;0
  ),
  "",
  "★NG★"
)</f>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IF(AND($M159&lt;&gt;"",$M159&lt;&gt;"-")," (&amp;"&amp;$M159&amp;")","")</f>
        <v/>
      </c>
      <c r="AD159" s="13" t="str">
        <f>IF(
  AND($A159&lt;&gt;"",$L159="○"),
  shortcut設定!$F$5&amp;"\"&amp;AB159&amp;"_"&amp;A159&amp;"（"&amp;B159&amp;"）"&amp;AC159&amp;".lnk",
  ""
)</f>
        <v/>
      </c>
      <c r="AE159" s="13" t="str">
        <f>IF(
  AND($A159&lt;&gt;"",$N159="○"),
  (
    """"&amp;shortcut設定!$F$7&amp;""""&amp;
    " """&amp;$AF159&amp;""""&amp;
    " """&amp;$C159&amp;""""&amp;
    IF($D159="-"," """""," """&amp;$D159&amp;"""")&amp;
    IF($E159="-"," """""," """&amp;$E159&amp;"""")
  ),
  ""
)</f>
        <v>"C:\codes\vbs\command\CreateShortcutFile.vbs" "%USERPROFILE%\AppData\Roaming\Microsoft\Windows\Start Menu\Programs\Startup\DesktopClock.ahk（デスクトップ時計）.lnk" "C:\codes\ahk\DesktopClock.ahk" "" ""</v>
      </c>
      <c r="AF159" s="9" t="str">
        <f>IF(
  AND($A159&lt;&gt;"",$N159="○"),
  shortcut設定!$F$6&amp;"\"&amp;A159&amp;"（"&amp;B159&amp;"）.lnk",
  ""
)</f>
        <v>%USERPROFILE%\AppData\Roaming\Microsoft\Windows\Start Menu\Programs\Startup\DesktopClock.ahk（デスクトップ時計）.lnk</v>
      </c>
      <c r="AG159" s="13" t="str">
        <f>IF(
  AND($A159&lt;&gt;"",$O159&lt;&gt;"-",$O159&lt;&gt;""),
  (
    "schtasks /create /tn """&amp;$O159&amp;""" /tr """&amp;$C159&amp;""" /sc daily /st "&amp;$P159&amp;" /rl highest"
  ),
  ""
)</f>
        <v/>
      </c>
      <c r="AH159" s="13" t="str">
        <f>IF(
  AND($A159&lt;&gt;"",$O159&lt;&gt;"-",$O159&lt;&gt;""),
  (
    "schtasks /delete /tn """&amp;$O159&amp;""""
  ),
  ""
)</f>
        <v/>
      </c>
      <c r="AI159" s="13" t="str">
        <f>IF(
  AND($A159&lt;&gt;"",$Q159&lt;&gt;"-",$Q159&lt;&gt;""),
  (
    """"&amp;shortcut設定!$F$7&amp;""""&amp;
    " """&amp;$Q159&amp;".lnk"""&amp;
    " """&amp;$C159&amp;""""&amp;
    IF($D159="-"," """""," """&amp;$D159&amp;"""")&amp;
    IF($E159="-"," """""," """&amp;$E159&amp;"""")
  ),
  ""
)</f>
        <v/>
      </c>
      <c r="AJ159" s="91" t="s">
        <v>174</v>
      </c>
    </row>
    <row r="160" spans="1:36">
      <c r="A160" s="9" t="s">
        <v>658</v>
      </c>
      <c r="B160" s="9" t="s">
        <v>794</v>
      </c>
      <c r="C160" s="9" t="s">
        <v>542</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"%USERPROFILE%\AppData\Roaming\Microsoft\Windows\SendTo\200_AddString2FileFolder.vbs（ファイルフォルダ接尾辞付与）.lnk" "C:\codes\vbs\tools\win\file_ope\AddString2FileFolder.vbs"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%USERPROFILE%\AppData\Roaming\Microsoft\Windows\SendTo\200_AddString2FileFolder.vbs（ファイルフォルダ接尾辞付与）.lnk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659</v>
      </c>
      <c r="B161" s="9" t="s">
        <v>795</v>
      </c>
      <c r="C161" s="9" t="s">
        <v>94</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"%USERPROFILE%\AppData\Roaming\Microsoft\Windows\SendTo\200_BackUpFile.vbs（ファイルバックアップ）.lnk" "C:\codes\vbs\tools\win\file_ope\BackUpFile.vbs"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%USERPROFILE%\AppData\Roaming\Microsoft\Windows\SendTo\200_BackUpFile.vbs（ファイルバックアップ）.lnk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660</v>
      </c>
      <c r="B162" s="9" t="s">
        <v>796</v>
      </c>
      <c r="C162" s="9" t="s">
        <v>95</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"%USERPROFILE%\AppData\Roaming\Microsoft\Windows\SendTo\200_BackUpMemoFiles.vbs（ファイル一括バックアップ）.lnk" "C:\codes\vbs\tools\win\file_ope\BackUpMemoFiles.vbs"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%USERPROFILE%\AppData\Roaming\Microsoft\Windows\SendTo\200_BackUpMemoFiles.vbs（ファイル一括バックアップ）.lnk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661</v>
      </c>
      <c r="B163" s="9" t="s">
        <v>797</v>
      </c>
      <c r="C163" s="9" t="s">
        <v>96</v>
      </c>
      <c r="D163" s="15" t="s">
        <v>39</v>
      </c>
      <c r="E163" s="26" t="s">
        <v>39</v>
      </c>
      <c r="F163" s="15" t="s">
        <v>0</v>
      </c>
      <c r="G163" s="15" t="s">
        <v>0</v>
      </c>
      <c r="H163" s="9" t="s">
        <v>521</v>
      </c>
      <c r="I163" s="15" t="s">
        <v>64</v>
      </c>
      <c r="J163" s="15" t="s">
        <v>64</v>
      </c>
      <c r="K163" s="15" t="s">
        <v>64</v>
      </c>
      <c r="L163" s="93" t="s">
        <v>841</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 ca="1">IF(
  AND($A163&lt;&gt;"",$L163&lt;&gt;"-",$L163&lt;&gt;""),
  (
    """"&amp;shortcut設定!$F$7&amp;""""&amp;
    " """&amp;$AD163&amp;""""&amp;
    " """&amp;$C163&amp;""""&amp;
    IF($D163="-"," """""," """&amp;$D163&amp;"""")&amp;
    IF($E163="-"," """""," """&amp;$E163&amp;"""")
  ),
  ""
)</f>
        <v>"C:\codes\vbs\command\CreateShortcutFile.vbs" "%USERPROFILE%\AppData\Roaming\Microsoft\Windows\SendTo\200_CopyRefFile.vbs（参照ファイル複製）.lnk" "C:\codes\vbs\tools\win\file_ope\CopyRefFile.vbs" "" ""</v>
      </c>
      <c r="AB163" s="9" t="str">
        <f ca="1">IFERROR(
  VLOOKUP(
    $H163,
    shortcut設定!$F:$J,
    MATCH(
      "ProgramsIndex",
      shortcut設定!$F$12:$J$12,
      0
    ),
    FALSE
  ),
  ""
)</f>
        <v>200</v>
      </c>
      <c r="AC163" s="20" t="str">
        <f t="shared" si="28"/>
        <v/>
      </c>
      <c r="AD163" s="13" t="str">
        <f ca="1">IF(
  AND($A163&lt;&gt;"",$L163="○"),
  shortcut設定!$F$5&amp;"\"&amp;AB163&amp;"_"&amp;A163&amp;"（"&amp;B163&amp;"）"&amp;AC163&amp;".lnk",
  ""
)</f>
        <v>%USERPROFILE%\AppData\Roaming\Microsoft\Windows\SendTo\200_CopyRefFile.vbs（参照ファイル複製）.lnk</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662</v>
      </c>
      <c r="B164" s="9" t="s">
        <v>798</v>
      </c>
      <c r="C164" s="9" t="s">
        <v>97</v>
      </c>
      <c r="D164" s="15" t="s">
        <v>39</v>
      </c>
      <c r="E164" s="26" t="s">
        <v>39</v>
      </c>
      <c r="F164" s="15" t="s">
        <v>0</v>
      </c>
      <c r="G164" s="15" t="s">
        <v>0</v>
      </c>
      <c r="H164" s="9" t="s">
        <v>521</v>
      </c>
      <c r="I164" s="15" t="s">
        <v>64</v>
      </c>
      <c r="J164" s="15" t="s">
        <v>64</v>
      </c>
      <c r="K164" s="15" t="s">
        <v>64</v>
      </c>
      <c r="L164" s="93" t="s">
        <v>841</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 ca="1">IF(
  AND($A164&lt;&gt;"",$L164&lt;&gt;"-",$L164&lt;&gt;""),
  (
    """"&amp;shortcut設定!$F$7&amp;""""&amp;
    " """&amp;$AD164&amp;""""&amp;
    " """&amp;$C164&amp;""""&amp;
    IF($D164="-"," """""," """&amp;$D164&amp;"""")&amp;
    IF($E164="-"," """""," """&amp;$E164&amp;"""")
  ),
  ""
)</f>
        <v>"C:\codes\vbs\command\CreateShortcutFile.vbs" "%USERPROFILE%\AppData\Roaming\Microsoft\Windows\SendTo\200_CopyRefFileFromWeb.vbs（参照ファイル複製fromWeb）.lnk" "C:\codes\vbs\tools\win\file_ope\CopyRefFileFromWeb.vbs" "" ""</v>
      </c>
      <c r="AB164" s="9" t="str">
        <f ca="1">IFERROR(
  VLOOKUP(
    $H164,
    shortcut設定!$F:$J,
    MATCH(
      "ProgramsIndex",
      shortcut設定!$F$12:$J$12,
      0
    ),
    FALSE
  ),
  ""
)</f>
        <v>200</v>
      </c>
      <c r="AC164" s="20" t="str">
        <f t="shared" si="28"/>
        <v/>
      </c>
      <c r="AD164" s="13" t="str">
        <f ca="1">IF(
  AND($A164&lt;&gt;"",$L164="○"),
  shortcut設定!$F$5&amp;"\"&amp;AB164&amp;"_"&amp;A164&amp;"（"&amp;B164&amp;"）"&amp;AC164&amp;".lnk",
  ""
)</f>
        <v>%USERPROFILE%\AppData\Roaming\Microsoft\Windows\SendTo\200_CopyRefFileFromWeb.vbs（参照ファイル複製fromWeb）.lnk</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663</v>
      </c>
      <c r="B165" s="9" t="s">
        <v>799</v>
      </c>
      <c r="C165" s="9" t="s">
        <v>99</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664</v>
      </c>
      <c r="B166" s="9" t="s">
        <v>800</v>
      </c>
      <c r="C166" s="9" t="s">
        <v>100</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665</v>
      </c>
      <c r="B167" s="9" t="s">
        <v>801</v>
      </c>
      <c r="C167" s="9" t="s">
        <v>101</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666</v>
      </c>
      <c r="B168" s="9" t="s">
        <v>802</v>
      </c>
      <c r="C168" s="9" t="s">
        <v>107</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667</v>
      </c>
      <c r="B169" s="9" t="s">
        <v>803</v>
      </c>
      <c r="C169" s="9" t="s">
        <v>108</v>
      </c>
      <c r="D169" s="15" t="s">
        <v>39</v>
      </c>
      <c r="E169" s="26" t="s">
        <v>39</v>
      </c>
      <c r="F169" s="15" t="s">
        <v>0</v>
      </c>
      <c r="G169" s="15" t="s">
        <v>0</v>
      </c>
      <c r="H169" s="9" t="s">
        <v>521</v>
      </c>
      <c r="I169" s="15" t="s">
        <v>64</v>
      </c>
      <c r="J169" s="15" t="s">
        <v>64</v>
      </c>
      <c r="K169" s="15" t="s">
        <v>64</v>
      </c>
      <c r="L169" s="93" t="s">
        <v>64</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IF(
  AND($A169&lt;&gt;"",$L169&lt;&gt;"-",$L169&lt;&gt;""),
  (
    """"&amp;shortcut設定!$F$7&amp;""""&amp;
    " """&amp;$AD169&amp;""""&amp;
    " """&amp;$C169&amp;""""&amp;
    IF($D169="-"," """""," """&amp;$D169&amp;"""")&amp;
    IF($E169="-"," """""," """&amp;$E169&amp;"""")
  ),
  ""
)</f>
        <v/>
      </c>
      <c r="AB169" s="9" t="str">
        <f ca="1">IFERROR(
  VLOOKUP(
    $H169,
    shortcut設定!$F:$J,
    MATCH(
      "ProgramsIndex",
      shortcut設定!$F$12:$J$12,
      0
    ),
    FALSE
  ),
  ""
)</f>
        <v>200</v>
      </c>
      <c r="AC169" s="20" t="str">
        <f t="shared" si="28"/>
        <v/>
      </c>
      <c r="AD169" s="13" t="str">
        <f>IF(
  AND($A169&lt;&gt;"",$L169="○"),
  shortcut設定!$F$5&amp;"\"&amp;AB169&amp;"_"&amp;A169&amp;"（"&amp;B169&amp;"）"&amp;AC169&amp;".lnk",
  ""
)</f>
        <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668</v>
      </c>
      <c r="B170" s="9" t="s">
        <v>804</v>
      </c>
      <c r="C170" s="9" t="s">
        <v>109</v>
      </c>
      <c r="D170" s="15" t="s">
        <v>39</v>
      </c>
      <c r="E170" s="26" t="s">
        <v>39</v>
      </c>
      <c r="F170" s="15" t="s">
        <v>0</v>
      </c>
      <c r="G170" s="15" t="s">
        <v>0</v>
      </c>
      <c r="H170" s="9" t="s">
        <v>521</v>
      </c>
      <c r="I170" s="15" t="s">
        <v>64</v>
      </c>
      <c r="J170" s="15" t="s">
        <v>64</v>
      </c>
      <c r="K170" s="15" t="s">
        <v>64</v>
      </c>
      <c r="L170" s="93" t="s">
        <v>64</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8"/>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669</v>
      </c>
      <c r="B171" s="9" t="s">
        <v>805</v>
      </c>
      <c r="C171" s="9" t="s">
        <v>29</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"%USERPROFILE%\AppData\Roaming\Microsoft\Windows\SendTo\200_CreateRenameBat.vbs（リネーム用バッチ作成）.lnk" "C:\codes\vbs\tools\win\file_ope\CreateRenameBat.vbs"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%USERPROFILE%\AppData\Roaming\Microsoft\Windows\SendTo\200_CreateRenameBat.vbs（リネーム用バッチ作成）.lnk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9" t="s">
        <v>670</v>
      </c>
      <c r="B172" s="9" t="s">
        <v>806</v>
      </c>
      <c r="C172" s="9" t="s">
        <v>30</v>
      </c>
      <c r="D172" s="15" t="s">
        <v>39</v>
      </c>
      <c r="E172" s="26" t="s">
        <v>39</v>
      </c>
      <c r="F172" s="15" t="s">
        <v>0</v>
      </c>
      <c r="G172" s="15" t="s">
        <v>0</v>
      </c>
      <c r="H172" s="9" t="s">
        <v>521</v>
      </c>
      <c r="I172" s="15" t="s">
        <v>64</v>
      </c>
      <c r="J172" s="15" t="s">
        <v>64</v>
      </c>
      <c r="K172" s="15" t="s">
        <v>64</v>
      </c>
      <c r="L172" s="93" t="s">
        <v>841</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 ca="1">IF(
  AND($A172&lt;&gt;"",$L172&lt;&gt;"-",$L172&lt;&gt;""),
  (
    """"&amp;shortcut設定!$F$7&amp;""""&amp;
    " """&amp;$AD172&amp;""""&amp;
    " """&amp;$C172&amp;""""&amp;
    IF($D172="-"," """""," """&amp;$D172&amp;"""")&amp;
    IF($E172="-"," """""," """&amp;$E172&amp;"""")
  ),
  ""
)</f>
        <v>"C:\codes\vbs\command\CreateShortcutFile.vbs" "%USERPROFILE%\AppData\Roaming\Microsoft\Windows\SendTo\200_CreateSymbolicLink.vbs（シンボリックリンク作成）.lnk" "C:\codes\vbs\tools\win\file_ope\CreateSymbolicLink.vbs" "" ""</v>
      </c>
      <c r="AB172" s="9" t="str">
        <f ca="1">IFERROR(
  VLOOKUP(
    $H172,
    shortcut設定!$F:$J,
    MATCH(
      "ProgramsIndex",
      shortcut設定!$F$12:$J$12,
      0
    ),
    FALSE
  ),
  ""
)</f>
        <v>200</v>
      </c>
      <c r="AC172" s="20" t="str">
        <f t="shared" si="28"/>
        <v/>
      </c>
      <c r="AD172" s="13" t="str">
        <f ca="1">IF(
  AND($A172&lt;&gt;"",$L172="○"),
  shortcut設定!$F$5&amp;"\"&amp;AB172&amp;"_"&amp;A172&amp;"（"&amp;B172&amp;"）"&amp;AC172&amp;".lnk",
  ""
)</f>
        <v>%USERPROFILE%\AppData\Roaming\Microsoft\Windows\SendTo\200_CreateSymbolicLink.vbs（シンボリックリンク作成）.lnk</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671</v>
      </c>
      <c r="B173" s="9" t="s">
        <v>807</v>
      </c>
      <c r="C173" s="9" t="s">
        <v>102</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"%USERPROFILE%\AppData\Roaming\Microsoft\Windows\SendTo\200_ExtractIfdef.vbs（C言語ifdef削除）.lnk" "C:\codes\vbs\tools\win\file_ope\ExtractIfdef.vbs"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%USERPROFILE%\AppData\Roaming\Microsoft\Windows\SendTo\200_ExtractIfdef.vbs（C言語ifdef削除）.lnk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77" t="s">
        <v>672</v>
      </c>
      <c r="B174" s="77" t="s">
        <v>808</v>
      </c>
      <c r="C174" s="9" t="s">
        <v>103</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673</v>
      </c>
      <c r="B175" s="9" t="s">
        <v>809</v>
      </c>
      <c r="C175" s="9" t="s">
        <v>98</v>
      </c>
      <c r="D175" s="15" t="s">
        <v>39</v>
      </c>
      <c r="E175" s="26" t="s">
        <v>39</v>
      </c>
      <c r="F175" s="15" t="s">
        <v>0</v>
      </c>
      <c r="G175" s="15" t="s">
        <v>0</v>
      </c>
      <c r="H175" s="9" t="s">
        <v>521</v>
      </c>
      <c r="I175" s="15" t="s">
        <v>64</v>
      </c>
      <c r="J175" s="15" t="s">
        <v>64</v>
      </c>
      <c r="K175" s="15" t="s">
        <v>64</v>
      </c>
      <c r="L175" s="93" t="s">
        <v>841</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 ca="1">IF(
  AND($A175&lt;&gt;"",$L175&lt;&gt;"-",$L175&lt;&gt;""),
  (
    """"&amp;shortcut設定!$F$7&amp;""""&amp;
    " """&amp;$AD175&amp;""""&amp;
    " """&amp;$C175&amp;""""&amp;
    IF($D175="-"," """""," """&amp;$D175&amp;"""")&amp;
    IF($E175="-"," """""," """&amp;$E175&amp;"""")
  ),
  ""
)</f>
        <v>"C:\codes\vbs\command\CreateShortcutFile.vbs" "%USERPROFILE%\AppData\Roaming\Microsoft\Windows\SendTo\200_CopyToDir.vbs（フォルダファイルコピー）.lnk" "C:\codes\vbs\tools\win\file_ope\CopyToDir.vbs" "" ""</v>
      </c>
      <c r="AB175" s="9" t="str">
        <f ca="1">IFERROR(
  VLOOKUP(
    $H175,
    shortcut設定!$F:$J,
    MATCH(
      "ProgramsIndex",
      shortcut設定!$F$12:$J$12,
      0
    ),
    FALSE
  ),
  ""
)</f>
        <v>200</v>
      </c>
      <c r="AC175" s="20" t="str">
        <f t="shared" si="28"/>
        <v/>
      </c>
      <c r="AD175" s="13" t="str">
        <f ca="1">IF(
  AND($A175&lt;&gt;"",$L175="○"),
  shortcut設定!$F$5&amp;"\"&amp;AB175&amp;"_"&amp;A175&amp;"（"&amp;B175&amp;"）"&amp;AC175&amp;".lnk",
  ""
)</f>
        <v>%USERPROFILE%\AppData\Roaming\Microsoft\Windows\SendTo\200_CopyToDir.vbs（フォルダファイルコピー）.lnk</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674</v>
      </c>
      <c r="B176" s="9" t="s">
        <v>810</v>
      </c>
      <c r="C176" s="9" t="s">
        <v>104</v>
      </c>
      <c r="D176" s="15" t="s">
        <v>39</v>
      </c>
      <c r="E176" s="26" t="s">
        <v>39</v>
      </c>
      <c r="F176" s="15" t="s">
        <v>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675</v>
      </c>
      <c r="B177" s="9" t="s">
        <v>811</v>
      </c>
      <c r="C177" s="9" t="s">
        <v>105</v>
      </c>
      <c r="D177" s="15" t="s">
        <v>39</v>
      </c>
      <c r="E177" s="26" t="s">
        <v>39</v>
      </c>
      <c r="F177" s="15" t="s">
        <v>540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676</v>
      </c>
      <c r="B178" s="9" t="s">
        <v>812</v>
      </c>
      <c r="C178" s="9" t="s">
        <v>106</v>
      </c>
      <c r="D178" s="15" t="s">
        <v>39</v>
      </c>
      <c r="E178" s="26" t="s">
        <v>39</v>
      </c>
      <c r="F178" s="15" t="s">
        <v>540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677</v>
      </c>
      <c r="B179" s="9" t="s">
        <v>813</v>
      </c>
      <c r="C179" s="9" t="s">
        <v>110</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678</v>
      </c>
      <c r="B180" s="9" t="s">
        <v>814</v>
      </c>
      <c r="C180" s="9" t="s">
        <v>112</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679</v>
      </c>
      <c r="B181" s="9" t="s">
        <v>815</v>
      </c>
      <c r="C181" s="9" t="s">
        <v>111</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1476</v>
      </c>
      <c r="B182" s="9" t="s">
        <v>816</v>
      </c>
      <c r="C182" s="9" t="s">
        <v>1475</v>
      </c>
      <c r="D182" s="15" t="s">
        <v>39</v>
      </c>
      <c r="E182" s="26" t="s">
        <v>39</v>
      </c>
      <c r="F182" s="15" t="s">
        <v>0</v>
      </c>
      <c r="G182" s="15" t="s">
        <v>0</v>
      </c>
      <c r="H182" s="9" t="s">
        <v>521</v>
      </c>
      <c r="I182" s="15" t="s">
        <v>64</v>
      </c>
      <c r="J182" s="15" t="s">
        <v>64</v>
      </c>
      <c r="K182" s="15" t="s">
        <v>64</v>
      </c>
      <c r="L182" s="93" t="s">
        <v>64</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si="28"/>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680</v>
      </c>
      <c r="B183" s="9" t="s">
        <v>817</v>
      </c>
      <c r="C183" s="9" t="s">
        <v>113</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681</v>
      </c>
      <c r="B184" s="9" t="s">
        <v>818</v>
      </c>
      <c r="C184" s="9" t="s">
        <v>114</v>
      </c>
      <c r="D184" s="15" t="s">
        <v>39</v>
      </c>
      <c r="E184" s="26" t="s">
        <v>39</v>
      </c>
      <c r="F184" s="15" t="s">
        <v>0</v>
      </c>
      <c r="G184" s="15" t="s">
        <v>0</v>
      </c>
      <c r="H184" s="9" t="s">
        <v>521</v>
      </c>
      <c r="I184" s="15" t="s">
        <v>64</v>
      </c>
      <c r="J184" s="15" t="s">
        <v>64</v>
      </c>
      <c r="K184" s="15" t="s">
        <v>64</v>
      </c>
      <c r="L184" s="93" t="s">
        <v>841</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"%USERPROFILE%\AppData\Roaming\Microsoft\Windows\SendTo\200_OutputFileInfo.vbs（ファイル情報出力）.lnk" "C:\codes\vbs\tools\win\file_info\OutputFileInfo.vbs"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%USERPROFILE%\AppData\Roaming\Microsoft\Windows\SendTo\200_OutputFileInfo.vbs（ファイル情報出力）.lnk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682</v>
      </c>
      <c r="B185" s="9" t="s">
        <v>819</v>
      </c>
      <c r="C185" s="9" t="s">
        <v>115</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683</v>
      </c>
      <c r="B186" s="9" t="s">
        <v>820</v>
      </c>
      <c r="C186" s="9" t="s">
        <v>116</v>
      </c>
      <c r="D186" s="15" t="s">
        <v>39</v>
      </c>
      <c r="E186" s="26" t="s">
        <v>39</v>
      </c>
      <c r="F186" s="15" t="s">
        <v>0</v>
      </c>
      <c r="G186" s="15" t="s">
        <v>0</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si="28"/>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174</v>
      </c>
    </row>
    <row r="187" spans="1:36">
      <c r="A187" s="9" t="s">
        <v>684</v>
      </c>
      <c r="B187" s="9" t="s">
        <v>821</v>
      </c>
      <c r="C187" s="9" t="s">
        <v>117</v>
      </c>
      <c r="D187" s="15" t="s">
        <v>39</v>
      </c>
      <c r="E187" s="26" t="s">
        <v>39</v>
      </c>
      <c r="F187" s="15" t="s">
        <v>0</v>
      </c>
      <c r="G187" s="15" t="s">
        <v>0</v>
      </c>
      <c r="H187" s="9" t="s">
        <v>521</v>
      </c>
      <c r="I187" s="15" t="s">
        <v>64</v>
      </c>
      <c r="J187" s="15" t="s">
        <v>64</v>
      </c>
      <c r="K187" s="15" t="s">
        <v>64</v>
      </c>
      <c r="L187" s="93" t="s">
        <v>64</v>
      </c>
      <c r="M187" s="94" t="s">
        <v>545</v>
      </c>
      <c r="N187" s="15" t="s">
        <v>64</v>
      </c>
      <c r="O187" s="26" t="s">
        <v>1230</v>
      </c>
      <c r="P187" s="157" t="s">
        <v>1230</v>
      </c>
      <c r="Q187" s="26" t="s">
        <v>935</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IF(
  AND($A187&lt;&gt;"",$L187&lt;&gt;"-",$L187&lt;&gt;""),
  (
    """"&amp;shortcut設定!$F$7&amp;""""&amp;
    " """&amp;$AD187&amp;""""&amp;
    " """&amp;$C187&amp;""""&amp;
    IF($D187="-"," """""," """&amp;$D187&amp;"""")&amp;
    IF($E187="-"," """""," """&amp;$E187&amp;"""")
  ),
  ""
)</f>
        <v/>
      </c>
      <c r="AB187" s="9" t="str">
        <f ca="1">IFERROR(
  VLOOKUP(
    $H187,
    shortcut設定!$F:$J,
    MATCH(
      "ProgramsIndex",
      shortcut設定!$F$12:$J$12,
      0
    ),
    FALSE
  ),
  ""
)</f>
        <v>200</v>
      </c>
      <c r="AC187" s="20" t="str">
        <f t="shared" si="28"/>
        <v/>
      </c>
      <c r="AD187" s="13" t="str">
        <f>IF(
  AND($A187&lt;&gt;"",$L187="○"),
  shortcut設定!$F$5&amp;"\"&amp;AB187&amp;"_"&amp;A187&amp;"（"&amp;B187&amp;"）"&amp;AC187&amp;".lnk",
  ""
)</f>
        <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174</v>
      </c>
    </row>
    <row r="188" spans="1:36">
      <c r="A188" s="9" t="s">
        <v>685</v>
      </c>
      <c r="B188" s="9" t="s">
        <v>822</v>
      </c>
      <c r="C188" s="9" t="s">
        <v>118</v>
      </c>
      <c r="D188" s="15" t="s">
        <v>39</v>
      </c>
      <c r="E188" s="26" t="s">
        <v>39</v>
      </c>
      <c r="F188" s="15" t="s">
        <v>0</v>
      </c>
      <c r="G188" s="15" t="s">
        <v>27</v>
      </c>
      <c r="H188" s="9" t="s">
        <v>521</v>
      </c>
      <c r="I188" s="15" t="s">
        <v>64</v>
      </c>
      <c r="J188" s="15" t="s">
        <v>64</v>
      </c>
      <c r="K188" s="15" t="s">
        <v>64</v>
      </c>
      <c r="L188" s="93" t="s">
        <v>64</v>
      </c>
      <c r="M188" s="94" t="s">
        <v>545</v>
      </c>
      <c r="N188" s="15" t="s">
        <v>64</v>
      </c>
      <c r="O188" s="26" t="s">
        <v>1230</v>
      </c>
      <c r="P188" s="157" t="s">
        <v>1230</v>
      </c>
      <c r="Q188" s="26" t="s">
        <v>935</v>
      </c>
      <c r="R188" s="9" t="str">
        <f t="shared" si="22"/>
        <v/>
      </c>
      <c r="S188" s="9" t="str">
        <f t="shared" ref="S188:S226" si="31">IF(
  OR(
    $H188="",
    $H188="-",
    COUNTIF(カテゴリ,$H188)&gt;0
  ),
  "",
  "★NG★"
)</f>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IF(
  AND($A188&lt;&gt;"",$L188&lt;&gt;"-",$L188&lt;&gt;""),
  (
    """"&amp;shortcut設定!$F$7&amp;""""&amp;
    " """&amp;$AD188&amp;""""&amp;
    " """&amp;$C188&amp;""""&amp;
    IF($D188="-"," """""," """&amp;$D188&amp;"""")&amp;
    IF($E188="-"," """""," """&amp;$E188&amp;"""")
  ),
  ""
)</f>
        <v/>
      </c>
      <c r="AB188" s="9" t="str">
        <f ca="1">IFERROR(
  VLOOKUP(
    $H188,
    shortcut設定!$F:$J,
    MATCH(
      "ProgramsIndex",
      shortcut設定!$F$12:$J$12,
      0
    ),
    FALSE
  ),
  ""
)</f>
        <v>200</v>
      </c>
      <c r="AC188" s="20" t="str">
        <f t="shared" ref="AC188:AC226" si="32">IF(AND($M188&lt;&gt;"",$M188&lt;&gt;"-")," (&amp;"&amp;$M188&amp;")","")</f>
        <v/>
      </c>
      <c r="AD188" s="13" t="str">
        <f>IF(
  AND($A188&lt;&gt;"",$L188="○"),
  shortcut設定!$F$5&amp;"\"&amp;AB188&amp;"_"&amp;A188&amp;"（"&amp;B188&amp;"）"&amp;AC188&amp;".lnk",
  ""
)</f>
        <v/>
      </c>
      <c r="AE188" s="13" t="str">
        <f>IF(
  AND($A188&lt;&gt;"",$N188="○"),
  (
    """"&amp;shortcut設定!$F$7&amp;""""&amp;
    " """&amp;$AF188&amp;""""&amp;
    " """&amp;$C188&amp;""""&amp;
    IF($D188="-"," """""," """&amp;$D188&amp;"""")&amp;
    IF($E188="-"," """""," """&amp;$E188&amp;"""")
  ),
  ""
)</f>
        <v/>
      </c>
      <c r="AF188" s="9" t="str">
        <f>IF(
  AND($A188&lt;&gt;"",$N188="○"),
  shortcut設定!$F$6&amp;"\"&amp;A188&amp;"（"&amp;B188&amp;"）.lnk",
  ""
)</f>
        <v/>
      </c>
      <c r="AG188" s="13" t="str">
        <f t="shared" ref="AG188:AG226" si="33">IF(
  AND($A188&lt;&gt;"",$O188&lt;&gt;"-",$O188&lt;&gt;""),
  (
    "schtasks /create /tn """&amp;$O188&amp;""" /tr """&amp;$C188&amp;""" /sc daily /st "&amp;$P188&amp;" /rl highest"
  ),
  ""
)</f>
        <v/>
      </c>
      <c r="AH188" s="13" t="str">
        <f t="shared" ref="AH188:AH226" si="34">IF(
  AND($A188&lt;&gt;"",$O188&lt;&gt;"-",$O188&lt;&gt;""),
  (
    "schtasks /delete /tn """&amp;$O188&amp;""""
  ),
  ""
)</f>
        <v/>
      </c>
      <c r="AI188" s="13" t="str">
        <f>IF(
  AND($A188&lt;&gt;"",$Q188&lt;&gt;"-",$Q188&lt;&gt;""),
  (
    """"&amp;shortcut設定!$F$7&amp;""""&amp;
    " """&amp;$Q188&amp;".lnk"""&amp;
    " """&amp;$C188&amp;""""&amp;
    IF($D188="-"," """""," """&amp;$D188&amp;"""")&amp;
    IF($E188="-"," """""," """&amp;$E188&amp;"""")
  ),
  ""
)</f>
        <v/>
      </c>
      <c r="AJ188" s="91" t="s">
        <v>174</v>
      </c>
    </row>
    <row r="189" spans="1:36">
      <c r="A189" s="9" t="s">
        <v>686</v>
      </c>
      <c r="B189" s="9" t="s">
        <v>823</v>
      </c>
      <c r="C189" s="9" t="s">
        <v>119</v>
      </c>
      <c r="D189" s="15" t="s">
        <v>39</v>
      </c>
      <c r="E189" s="26" t="s">
        <v>39</v>
      </c>
      <c r="F189" s="15" t="s">
        <v>0</v>
      </c>
      <c r="G189" s="15" t="s">
        <v>0</v>
      </c>
      <c r="H189" s="9" t="s">
        <v>521</v>
      </c>
      <c r="I189" s="15" t="s">
        <v>64</v>
      </c>
      <c r="J189" s="15" t="s">
        <v>64</v>
      </c>
      <c r="K189" s="15" t="s">
        <v>64</v>
      </c>
      <c r="L189" s="93" t="s">
        <v>841</v>
      </c>
      <c r="M189" s="94" t="s">
        <v>546</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 ca="1">IF(
  AND($A189&lt;&gt;"",$L189&lt;&gt;"-",$L189&lt;&gt;""),
  (
    """"&amp;shortcut設定!$F$7&amp;""""&amp;
    " """&amp;$AD189&amp;""""&amp;
    " """&amp;$C189&amp;""""&amp;
    IF($D189="-"," """""," """&amp;$D189&amp;"""")&amp;
    IF($E189="-"," """""," """&amp;$E189&amp;"""")
  ),
  ""
)</f>
        <v>"C:\codes\vbs\command\CreateShortcutFile.vbs" "%USERPROFILE%\AppData\Roaming\Microsoft\Windows\SendTo\200_CompareWithWinmerge.vbs（ファイル比較＠Winmerge） (&amp;D).lnk" "C:\codes\vbs\tools\wimmerge\CompareWithWinmerge.vbs" "" ""</v>
      </c>
      <c r="AB189" s="9" t="str">
        <f ca="1">IFERROR(
  VLOOKUP(
    $H189,
    shortcut設定!$F:$J,
    MATCH(
      "ProgramsIndex",
      shortcut設定!$F$12:$J$12,
      0
    ),
    FALSE
  ),
  ""
)</f>
        <v>200</v>
      </c>
      <c r="AC189" s="20" t="str">
        <f t="shared" si="32"/>
        <v xml:space="preserve"> (&amp;D)</v>
      </c>
      <c r="AD189" s="13" t="str">
        <f ca="1">IF(
  AND($A189&lt;&gt;"",$L189="○"),
  shortcut設定!$F$5&amp;"\"&amp;AB189&amp;"_"&amp;A189&amp;"（"&amp;B189&amp;"）"&amp;AC189&amp;".lnk",
  ""
)</f>
        <v>%USERPROFILE%\AppData\Roaming\Microsoft\Windows\SendTo\200_CompareWithWinmerge.vbs（ファイル比較＠Winmerge） (&amp;D).lnk</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687</v>
      </c>
      <c r="B190" s="9" t="s">
        <v>824</v>
      </c>
      <c r="C190" s="9" t="s">
        <v>120</v>
      </c>
      <c r="D190" s="15" t="s">
        <v>39</v>
      </c>
      <c r="E190" s="26" t="s">
        <v>39</v>
      </c>
      <c r="F190" s="15" t="s">
        <v>0</v>
      </c>
      <c r="G190" s="15" t="s">
        <v>0</v>
      </c>
      <c r="H190" s="9" t="s">
        <v>521</v>
      </c>
      <c r="I190" s="15" t="s">
        <v>64</v>
      </c>
      <c r="J190" s="15" t="s">
        <v>64</v>
      </c>
      <c r="K190" s="15" t="s">
        <v>64</v>
      </c>
      <c r="L190" s="93" t="s">
        <v>841</v>
      </c>
      <c r="M190" s="94" t="s">
        <v>545</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"%USERPROFILE%\AppData\Roaming\Microsoft\Windows\SendTo\200_OpenAllFilesWithVim.vbs（全ファイル開く＠Vim）.lnk" "C:\codes\vbs\tools\vim\OpenAllFilesWithVim.vbs" "" ""</v>
      </c>
      <c r="AB190" s="9" t="str">
        <f ca="1">IFERROR(
  VLOOKUP(
    $H190,
    shortcut設定!$F:$J,
    MATCH(
      "ProgramsIndex",
      shortcut設定!$F$12:$J$12,
      0
    ),
    FALSE
  ),
  ""
)</f>
        <v>200</v>
      </c>
      <c r="AC190" s="20" t="str">
        <f t="shared" si="32"/>
        <v/>
      </c>
      <c r="AD190" s="13" t="str">
        <f ca="1">IF(
  AND($A190&lt;&gt;"",$L190="○"),
  shortcut設定!$F$5&amp;"\"&amp;AB190&amp;"_"&amp;A190&amp;"（"&amp;B190&amp;"）"&amp;AC190&amp;".lnk",
  ""
)</f>
        <v>%USERPROFILE%\AppData\Roaming\Microsoft\Windows\SendTo\200_OpenAllFilesWithVim.vbs（全ファイル開く＠Vim）.lnk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688</v>
      </c>
      <c r="B191" s="9" t="s">
        <v>825</v>
      </c>
      <c r="C191" s="9" t="s">
        <v>121</v>
      </c>
      <c r="D191" s="15" t="s">
        <v>39</v>
      </c>
      <c r="E191" s="26" t="s">
        <v>39</v>
      </c>
      <c r="F191" s="15" t="s">
        <v>0</v>
      </c>
      <c r="G191" s="15" t="s">
        <v>0</v>
      </c>
      <c r="H191" s="9" t="s">
        <v>521</v>
      </c>
      <c r="I191" s="15" t="s">
        <v>64</v>
      </c>
      <c r="J191" s="15" t="s">
        <v>64</v>
      </c>
      <c r="K191" s="15" t="s">
        <v>64</v>
      </c>
      <c r="L191" s="93" t="s">
        <v>64</v>
      </c>
      <c r="M191" s="94" t="s">
        <v>545</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32"/>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689</v>
      </c>
      <c r="B192" s="9" t="s">
        <v>826</v>
      </c>
      <c r="C192" s="9" t="s">
        <v>122</v>
      </c>
      <c r="D192" s="15" t="s">
        <v>39</v>
      </c>
      <c r="E192" s="26" t="s">
        <v>39</v>
      </c>
      <c r="F192" s="15" t="s">
        <v>0</v>
      </c>
      <c r="G192" s="15" t="s">
        <v>0</v>
      </c>
      <c r="H192" s="9" t="s">
        <v>521</v>
      </c>
      <c r="I192" s="15" t="s">
        <v>64</v>
      </c>
      <c r="J192" s="15" t="s">
        <v>64</v>
      </c>
      <c r="K192" s="15" t="s">
        <v>64</v>
      </c>
      <c r="L192" s="93" t="s">
        <v>841</v>
      </c>
      <c r="M192" s="94" t="s">
        <v>547</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"%USERPROFILE%\AppData\Roaming\Microsoft\Windows\SendTo\200_UnzipFile.vbs（Zip解凍） (&amp;U).lnk" "C:\codes\vbs\tools\7zip\UnzipFile.vbs" "" ""</v>
      </c>
      <c r="AB192" s="9" t="str">
        <f ca="1">IFERROR(
  VLOOKUP(
    $H192,
    shortcut設定!$F:$J,
    MATCH(
      "ProgramsIndex",
      shortcut設定!$F$12:$J$12,
      0
    ),
    FALSE
  ),
  ""
)</f>
        <v>200</v>
      </c>
      <c r="AC192" s="20" t="str">
        <f t="shared" si="32"/>
        <v xml:space="preserve"> (&amp;U)</v>
      </c>
      <c r="AD192" s="13" t="str">
        <f ca="1">IF(
  AND($A192&lt;&gt;"",$L192="○"),
  shortcut設定!$F$5&amp;"\"&amp;AB192&amp;"_"&amp;A192&amp;"（"&amp;B192&amp;"）"&amp;AC192&amp;".lnk",
  ""
)</f>
        <v>%USERPROFILE%\AppData\Roaming\Microsoft\Windows\SendTo\200_UnzipFile.vbs（Zip解凍） (&amp;U).lnk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690</v>
      </c>
      <c r="B193" s="9" t="s">
        <v>827</v>
      </c>
      <c r="C193" s="9" t="s">
        <v>123</v>
      </c>
      <c r="D193" s="15" t="s">
        <v>39</v>
      </c>
      <c r="E193" s="26" t="s">
        <v>39</v>
      </c>
      <c r="F193" s="15" t="s">
        <v>0</v>
      </c>
      <c r="G193" s="15" t="s">
        <v>0</v>
      </c>
      <c r="H193" s="9" t="s">
        <v>521</v>
      </c>
      <c r="I193" s="15" t="s">
        <v>64</v>
      </c>
      <c r="J193" s="15" t="s">
        <v>64</v>
      </c>
      <c r="K193" s="15" t="s">
        <v>64</v>
      </c>
      <c r="L193" s="93" t="s">
        <v>841</v>
      </c>
      <c r="M193" s="94" t="s">
        <v>548</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 ca="1">IF(
  AND($A193&lt;&gt;"",$L193&lt;&gt;"-",$L193&lt;&gt;""),
  (
    """"&amp;shortcut設定!$F$7&amp;""""&amp;
    " """&amp;$AD193&amp;""""&amp;
    " """&amp;$C193&amp;""""&amp;
    IF($D193="-"," """""," """&amp;$D193&amp;"""")&amp;
    IF($E193="-"," """""," """&amp;$E193&amp;"""")
  ),
  ""
)</f>
        <v>"C:\codes\vbs\command\CreateShortcutFile.vbs" "%USERPROFILE%\AppData\Roaming\Microsoft\Windows\SendTo\200_ZipFile.vbs（Zip圧縮） (&amp;Z).lnk" "C:\codes\vbs\tools\7zip\ZipFile.vbs" "" ""</v>
      </c>
      <c r="AB193" s="9" t="str">
        <f ca="1">IFERROR(
  VLOOKUP(
    $H193,
    shortcut設定!$F:$J,
    MATCH(
      "ProgramsIndex",
      shortcut設定!$F$12:$J$12,
      0
    ),
    FALSE
  ),
  ""
)</f>
        <v>200</v>
      </c>
      <c r="AC193" s="20" t="str">
        <f t="shared" si="32"/>
        <v xml:space="preserve"> (&amp;Z)</v>
      </c>
      <c r="AD193" s="13" t="str">
        <f ca="1">IF(
  AND($A193&lt;&gt;"",$L193="○"),
  shortcut設定!$F$5&amp;"\"&amp;AB193&amp;"_"&amp;A193&amp;"（"&amp;B193&amp;"）"&amp;AC193&amp;".lnk",
  ""
)</f>
        <v>%USERPROFILE%\AppData\Roaming\Microsoft\Windows\SendTo\200_ZipFile.vbs（Zip圧縮） (&amp;Z).lnk</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691</v>
      </c>
      <c r="B194" s="9" t="s">
        <v>828</v>
      </c>
      <c r="C194" s="9" t="s">
        <v>124</v>
      </c>
      <c r="D194" s="15" t="s">
        <v>39</v>
      </c>
      <c r="E194" s="26" t="s">
        <v>39</v>
      </c>
      <c r="F194" s="15" t="s">
        <v>0</v>
      </c>
      <c r="G194" s="15" t="s">
        <v>0</v>
      </c>
      <c r="H194" s="9" t="s">
        <v>521</v>
      </c>
      <c r="I194" s="15" t="s">
        <v>64</v>
      </c>
      <c r="J194" s="15" t="s">
        <v>64</v>
      </c>
      <c r="K194" s="15" t="s">
        <v>64</v>
      </c>
      <c r="L194" s="93" t="s">
        <v>841</v>
      </c>
      <c r="M194" s="94" t="s">
        <v>545</v>
      </c>
      <c r="N194" s="15" t="s">
        <v>64</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 ca="1">IF(
  AND($A194&lt;&gt;"",$L194&lt;&gt;"-",$L194&lt;&gt;""),
  (
    """"&amp;shortcut設定!$F$7&amp;""""&amp;
    " """&amp;$AD194&amp;""""&amp;
    " """&amp;$C194&amp;""""&amp;
    IF($D194="-"," """""," """&amp;$D194&amp;"""")&amp;
    IF($E194="-"," """""," """&amp;$E194&amp;"""")
  ),
  ""
)</f>
        <v>"C:\codes\vbs\command\CreateShortcutFile.vbs" "%USERPROFILE%\AppData\Roaming\Microsoft\Windows\SendTo\200_ZipPasswordFile.vbs（Zipパスワード圧縮）.lnk" "C:\codes\vbs\tools\7zip\ZipPasswordFile.vbs" "" ""</v>
      </c>
      <c r="AB194" s="9" t="str">
        <f ca="1">IFERROR(
  VLOOKUP(
    $H194,
    shortcut設定!$F:$J,
    MATCH(
      "ProgramsIndex",
      shortcut設定!$F$12:$J$12,
      0
    ),
    FALSE
  ),
  ""
)</f>
        <v>200</v>
      </c>
      <c r="AC194" s="20" t="str">
        <f t="shared" si="32"/>
        <v/>
      </c>
      <c r="AD194" s="13" t="str">
        <f ca="1">IF(
  AND($A194&lt;&gt;"",$L194="○"),
  shortcut設定!$F$5&amp;"\"&amp;AB194&amp;"_"&amp;A194&amp;"（"&amp;B194&amp;"）"&amp;AC194&amp;".lnk",
  ""
)</f>
        <v>%USERPROFILE%\AppData\Roaming\Microsoft\Windows\SendTo\200_ZipPasswordFile.vbs（Zipパスワード圧縮）.lnk</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692</v>
      </c>
      <c r="B195" s="9" t="s">
        <v>829</v>
      </c>
      <c r="C195" s="9" t="s">
        <v>541</v>
      </c>
      <c r="D195" s="15" t="s">
        <v>39</v>
      </c>
      <c r="E195" s="26" t="s">
        <v>39</v>
      </c>
      <c r="F195" s="15" t="s">
        <v>0</v>
      </c>
      <c r="G195" s="15" t="s">
        <v>0</v>
      </c>
      <c r="H195" s="9" t="s">
        <v>521</v>
      </c>
      <c r="I195" s="15" t="s">
        <v>64</v>
      </c>
      <c r="J195" s="15" t="s">
        <v>64</v>
      </c>
      <c r="K195" s="15" t="s">
        <v>64</v>
      </c>
      <c r="L195" s="93" t="s">
        <v>64</v>
      </c>
      <c r="M195" s="94" t="s">
        <v>545</v>
      </c>
      <c r="N195" s="15" t="s">
        <v>64</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
      </c>
      <c r="X195" s="14" t="str">
        <f>IF(
  AND($A195&lt;&gt;"",$J195&lt;&gt;"-",$J195&lt;&gt;""),
  shortcut設定!$F$4&amp;"\"&amp;shortcut設定!$F$8&amp;"\"&amp;$J195&amp;"（"&amp;$B195&amp;"）.lnk",
  ""
)</f>
        <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693</v>
      </c>
      <c r="B196" s="9" t="s">
        <v>830</v>
      </c>
      <c r="C196" s="9" t="s">
        <v>527</v>
      </c>
      <c r="D196" s="15" t="s">
        <v>39</v>
      </c>
      <c r="E196" s="26" t="s">
        <v>39</v>
      </c>
      <c r="F196" s="15" t="s">
        <v>27</v>
      </c>
      <c r="G196" s="15" t="s">
        <v>0</v>
      </c>
      <c r="H196" s="9" t="s">
        <v>521</v>
      </c>
      <c r="I196" s="15" t="s">
        <v>64</v>
      </c>
      <c r="J196" s="15" t="s">
        <v>64</v>
      </c>
      <c r="K196" s="15" t="s">
        <v>64</v>
      </c>
      <c r="L196" s="93" t="s">
        <v>64</v>
      </c>
      <c r="M196" s="94" t="s">
        <v>545</v>
      </c>
      <c r="N196" s="15" t="s">
        <v>39</v>
      </c>
      <c r="O196" s="26" t="s">
        <v>1230</v>
      </c>
      <c r="P196" s="157" t="s">
        <v>1230</v>
      </c>
      <c r="Q196" s="26" t="s">
        <v>935</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
      </c>
      <c r="X196" s="14" t="str">
        <f>IF(
  AND($A196&lt;&gt;"",$J196&lt;&gt;"-",$J196&lt;&gt;""),
  shortcut設定!$F$4&amp;"\"&amp;shortcut設定!$F$8&amp;"\"&amp;$J196&amp;"（"&amp;$B196&amp;"）.lnk",
  ""
)</f>
        <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694</v>
      </c>
      <c r="B197" s="9" t="s">
        <v>831</v>
      </c>
      <c r="C197" s="9" t="s">
        <v>528</v>
      </c>
      <c r="D197" s="15" t="s">
        <v>39</v>
      </c>
      <c r="E197" s="26" t="s">
        <v>39</v>
      </c>
      <c r="F197" s="15" t="s">
        <v>0</v>
      </c>
      <c r="G197" s="15" t="s">
        <v>0</v>
      </c>
      <c r="H197" s="9" t="s">
        <v>521</v>
      </c>
      <c r="I197" s="15" t="s">
        <v>64</v>
      </c>
      <c r="J197" s="15" t="s">
        <v>842</v>
      </c>
      <c r="K197" s="15" t="s">
        <v>64</v>
      </c>
      <c r="L197" s="93" t="s">
        <v>64</v>
      </c>
      <c r="M197" s="94" t="s">
        <v>545</v>
      </c>
      <c r="N197" s="15" t="s">
        <v>64</v>
      </c>
      <c r="O197" s="26" t="s">
        <v>1230</v>
      </c>
      <c r="P197" s="157" t="s">
        <v>1230</v>
      </c>
      <c r="Q197" s="26" t="s">
        <v>935</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7" s="14" t="str">
        <f>IF(
  AND($A197&lt;&gt;"",$J197&lt;&gt;"-",$J197&lt;&gt;""),
  shortcut設定!$F$4&amp;"\"&amp;shortcut設定!$F$8&amp;"\"&amp;$J197&amp;"（"&amp;$B197&amp;"）.lnk",
  ""
)</f>
        <v>%USERPROFILE%\AppData\Roaming\Microsoft\Windows\Start Menu\Programs\$QuickAccess\ttw（SSH接続toWSL2＠Teraterm）.lnk</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1460</v>
      </c>
      <c r="B198" s="9" t="s">
        <v>1461</v>
      </c>
      <c r="C198" s="9" t="s">
        <v>1459</v>
      </c>
      <c r="D198" s="15" t="s">
        <v>39</v>
      </c>
      <c r="E198" s="26" t="s">
        <v>39</v>
      </c>
      <c r="F198" s="15" t="s">
        <v>0</v>
      </c>
      <c r="G198" s="15" t="s">
        <v>0</v>
      </c>
      <c r="H198" s="9" t="s">
        <v>521</v>
      </c>
      <c r="I198" s="15" t="s">
        <v>64</v>
      </c>
      <c r="J198" s="15" t="s">
        <v>1462</v>
      </c>
      <c r="K198" s="15" t="s">
        <v>64</v>
      </c>
      <c r="L198" s="93" t="s">
        <v>64</v>
      </c>
      <c r="M198" s="94" t="s">
        <v>39</v>
      </c>
      <c r="N198" s="15" t="s">
        <v>64</v>
      </c>
      <c r="O198" s="26" t="s">
        <v>39</v>
      </c>
      <c r="P198" s="157" t="s">
        <v>39</v>
      </c>
      <c r="Q198" s="26" t="s">
        <v>39</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8" s="14" t="str">
        <f>IF(
  AND($A198&lt;&gt;"",$J198&lt;&gt;"-",$J198&lt;&gt;""),
  shortcut設定!$F$4&amp;"\"&amp;shortcut設定!$F$8&amp;"\"&amp;$J198&amp;"（"&amp;$B198&amp;"）.lnk",
  ""
)</f>
        <v>%USERPROFILE%\AppData\Roaming\Microsoft\Windows\Start Menu\Programs\$QuickAccess\wtw（SSH接続toWSL2＠WezTerm）.lnk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695</v>
      </c>
      <c r="B199" s="9" t="s">
        <v>831</v>
      </c>
      <c r="C199" s="9" t="s">
        <v>125</v>
      </c>
      <c r="D199" s="15" t="s">
        <v>39</v>
      </c>
      <c r="E199" s="26" t="s">
        <v>39</v>
      </c>
      <c r="F199" s="15" t="s">
        <v>0</v>
      </c>
      <c r="G199" s="15" t="s">
        <v>0</v>
      </c>
      <c r="H199" s="9" t="s">
        <v>521</v>
      </c>
      <c r="I199" s="15" t="s">
        <v>64</v>
      </c>
      <c r="J199" s="15" t="s">
        <v>64</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696</v>
      </c>
      <c r="B200" s="9" t="s">
        <v>832</v>
      </c>
      <c r="C200" s="9" t="s">
        <v>126</v>
      </c>
      <c r="D200" s="15" t="s">
        <v>39</v>
      </c>
      <c r="E200" s="26" t="s">
        <v>39</v>
      </c>
      <c r="F200" s="15" t="s">
        <v>27</v>
      </c>
      <c r="G200" s="15" t="s">
        <v>0</v>
      </c>
      <c r="H200" s="9" t="s">
        <v>521</v>
      </c>
      <c r="I200" s="15" t="s">
        <v>64</v>
      </c>
      <c r="J200" s="15" t="s">
        <v>843</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Menu\Programs\$QuickAccess\ttr（SSH接続toMyRaspberryPi＠Teraterm）.lnk" "C:\codes\ttl\login_raspberrypi.ttl" "" ""</v>
      </c>
      <c r="X200" s="14" t="str">
        <f>IF(
  AND($A200&lt;&gt;"",$J200&lt;&gt;"-",$J200&lt;&gt;""),
  shortcut設定!$F$4&amp;"\"&amp;shortcut設定!$F$8&amp;"\"&amp;$J200&amp;"（"&amp;$B200&amp;"）.lnk",
  ""
)</f>
        <v>%USERPROFILE%\AppData\Roaming\Microsoft\Windows\Start Menu\Programs\$QuickAccess\ttr（SSH接続toMyRaspberryPi＠Teraterm）.lnk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697</v>
      </c>
      <c r="B201" s="9" t="s">
        <v>833</v>
      </c>
      <c r="C201" s="9" t="s">
        <v>529</v>
      </c>
      <c r="D201" s="15" t="s">
        <v>39</v>
      </c>
      <c r="E201" s="26" t="s">
        <v>39</v>
      </c>
      <c r="F201" s="15" t="s">
        <v>27</v>
      </c>
      <c r="G201" s="15" t="s">
        <v>0</v>
      </c>
      <c r="H201" s="9" t="s">
        <v>521</v>
      </c>
      <c r="I201" s="15" t="s">
        <v>64</v>
      </c>
      <c r="J201" s="15" t="s">
        <v>844</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Menu\Programs\$QuickAccess\ttm（SSH接続toMyMac＠Teraterm）.lnk" "C:\codes\ttl\login_mac.ttl" "" ""</v>
      </c>
      <c r="X201" s="14" t="str">
        <f>IF(
  AND($A201&lt;&gt;"",$J201&lt;&gt;"-",$J201&lt;&gt;""),
  shortcut設定!$F$4&amp;"\"&amp;shortcut設定!$F$8&amp;"\"&amp;$J201&amp;"（"&amp;$B201&amp;"）.lnk",
  ""
)</f>
        <v>%USERPROFILE%\AppData\Roaming\Microsoft\Windows\Start Menu\Programs\$QuickAccess\ttm（SSH接続toMyMac＠Teraterm）.lnk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698</v>
      </c>
      <c r="B202" s="9" t="s">
        <v>834</v>
      </c>
      <c r="C202" s="9" t="s">
        <v>530</v>
      </c>
      <c r="D202" s="15" t="s">
        <v>39</v>
      </c>
      <c r="E202" s="26" t="s">
        <v>39</v>
      </c>
      <c r="F202" s="15" t="s">
        <v>27</v>
      </c>
      <c r="G202" s="15" t="s">
        <v>0</v>
      </c>
      <c r="H202" s="9" t="s">
        <v>521</v>
      </c>
      <c r="I202" s="15" t="s">
        <v>64</v>
      </c>
      <c r="J202" s="15" t="s">
        <v>845</v>
      </c>
      <c r="K202" s="15" t="s">
        <v>64</v>
      </c>
      <c r="L202" s="93" t="s">
        <v>64</v>
      </c>
      <c r="M202" s="94" t="s">
        <v>545</v>
      </c>
      <c r="N202" s="15" t="s">
        <v>64</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2" s="14" t="str">
        <f>IF(
  AND($A202&lt;&gt;"",$J202&lt;&gt;"-",$J202&lt;&gt;""),
  shortcut設定!$F$4&amp;"\"&amp;shortcut設定!$F$8&amp;"\"&amp;$J202&amp;"（"&amp;$B202&amp;"）.lnk",
  ""
)</f>
        <v>%USERPROFILE%\AppData\Roaming\Microsoft\Windows\Start Menu\Programs\$QuickAccess\wsr（SFTP接続toMyRaspberryPi＠WinSCP）.lnk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699</v>
      </c>
      <c r="B203" s="9" t="s">
        <v>835</v>
      </c>
      <c r="C203" s="9" t="s">
        <v>531</v>
      </c>
      <c r="D203" s="15" t="s">
        <v>39</v>
      </c>
      <c r="E203" s="26" t="s">
        <v>39</v>
      </c>
      <c r="F203" s="15" t="s">
        <v>0</v>
      </c>
      <c r="G203" s="15" t="s">
        <v>27</v>
      </c>
      <c r="H203" s="9" t="s">
        <v>521</v>
      </c>
      <c r="I203" s="15" t="s">
        <v>64</v>
      </c>
      <c r="J203" s="15" t="s">
        <v>64</v>
      </c>
      <c r="K203" s="15" t="s">
        <v>64</v>
      </c>
      <c r="L203" s="93" t="s">
        <v>64</v>
      </c>
      <c r="M203" s="94" t="s">
        <v>545</v>
      </c>
      <c r="N203" s="15" t="s">
        <v>64</v>
      </c>
      <c r="O203" s="26" t="s">
        <v>1230</v>
      </c>
      <c r="P203" s="157" t="s">
        <v>1230</v>
      </c>
      <c r="Q203" s="26" t="s">
        <v>935</v>
      </c>
      <c r="R203" s="9" t="str">
        <f t="shared" ref="R203:R226" si="35">IF(
  AND(
    $A203&lt;&gt;"",
    COUNTIF(C:C,$A203)&gt;1
  ),
  "★NG★",
  ""
)</f>
        <v/>
      </c>
      <c r="S203" s="9" t="str">
        <f t="shared" si="31"/>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
      </c>
      <c r="X203" s="14" t="str">
        <f>IF(
  AND($A203&lt;&gt;"",$J203&lt;&gt;"-",$J203&lt;&gt;""),
  shortcut設定!$F$4&amp;"\"&amp;shortcut設定!$F$8&amp;"\"&amp;$J203&amp;"（"&amp;$B203&amp;"）.lnk",
  ""
)</f>
        <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 t="shared" si="32"/>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 t="shared" si="33"/>
        <v/>
      </c>
      <c r="AH203" s="13" t="str">
        <f t="shared" si="34"/>
        <v/>
      </c>
      <c r="AI203" s="13" t="str">
        <f>IF(
  AND($A203&lt;&gt;"",$Q203&lt;&gt;"-",$Q203&lt;&gt;""),
  (
    """"&amp;shortcut設定!$F$7&amp;""""&amp;
    " """&amp;$Q203&amp;".lnk"""&amp;
    " """&amp;$C203&amp;""""&amp;
    IF($D203="-"," """""," """&amp;$D203&amp;"""")&amp;
    IF($E203="-"," """""," """&amp;$E203&amp;"""")
  ),
  ""
)</f>
        <v/>
      </c>
      <c r="AJ203" s="91" t="s">
        <v>174</v>
      </c>
    </row>
    <row r="204" spans="1:36">
      <c r="A204" s="9" t="s">
        <v>700</v>
      </c>
      <c r="B204" s="9" t="s">
        <v>836</v>
      </c>
      <c r="C204" s="9" t="s">
        <v>532</v>
      </c>
      <c r="D204" s="15" t="s">
        <v>39</v>
      </c>
      <c r="E204" s="26" t="s">
        <v>39</v>
      </c>
      <c r="F204" s="15" t="s">
        <v>0</v>
      </c>
      <c r="G204" s="15" t="s">
        <v>0</v>
      </c>
      <c r="H204" s="9" t="s">
        <v>521</v>
      </c>
      <c r="I204" s="15" t="s">
        <v>64</v>
      </c>
      <c r="J204" s="15" t="s">
        <v>64</v>
      </c>
      <c r="K204" s="15" t="s">
        <v>64</v>
      </c>
      <c r="L204" s="93" t="s">
        <v>64</v>
      </c>
      <c r="M204" s="94" t="s">
        <v>545</v>
      </c>
      <c r="N204" s="15" t="s">
        <v>841</v>
      </c>
      <c r="O204" s="26" t="s">
        <v>1230</v>
      </c>
      <c r="P204" s="157" t="s">
        <v>1230</v>
      </c>
      <c r="Q204" s="26" t="s">
        <v>935</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"C:\codes\vbs\command\CreateShortcutFile.vbs" "%USERPROFILE%\AppData\Roaming\Microsoft\Windows\Start Menu\Programs\Startup\XF_BackupIniToTabbak.bat（X-Finder.iniタブバックアップ）.lnk" "C:\prg_exe\X-Finder\BackupIniToTabbak.bat" "" ""</v>
      </c>
      <c r="AF204" s="9" t="str">
        <f>IF(
  AND($A204&lt;&gt;"",$N204="○"),
  shortcut設定!$F$6&amp;"\"&amp;A204&amp;"（"&amp;B204&amp;"）.lnk",
  ""
)</f>
        <v>%USERPROFILE%\AppData\Roaming\Microsoft\Windows\Start Menu\Programs\Startup\XF_BackupIniToTabbak.bat（X-Finder.iniタブバックアップ）.lnk</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1506</v>
      </c>
      <c r="B205" s="9" t="s">
        <v>1507</v>
      </c>
      <c r="C205" s="9" t="s">
        <v>1517</v>
      </c>
      <c r="D205" s="15" t="s">
        <v>39</v>
      </c>
      <c r="E205" s="26" t="s">
        <v>39</v>
      </c>
      <c r="F205" s="15" t="s">
        <v>0</v>
      </c>
      <c r="G205" s="15" t="s">
        <v>27</v>
      </c>
      <c r="H205" s="9" t="s">
        <v>521</v>
      </c>
      <c r="I205" s="15" t="s">
        <v>39</v>
      </c>
      <c r="J205" s="15" t="s">
        <v>1508</v>
      </c>
      <c r="K205" s="15" t="s">
        <v>39</v>
      </c>
      <c r="L205" s="93" t="s">
        <v>39</v>
      </c>
      <c r="M205" s="94" t="s">
        <v>39</v>
      </c>
      <c r="N205" s="15" t="s">
        <v>39</v>
      </c>
      <c r="O205" s="26" t="s">
        <v>39</v>
      </c>
      <c r="P205" s="157" t="s">
        <v>39</v>
      </c>
      <c r="Q205" s="26" t="s">
        <v>39</v>
      </c>
      <c r="R205" s="9" t="str">
        <f t="shared" si="35"/>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Menu\Programs\$QuickAccess\rdpc31（RDP接続toPC31）.lnk" "C:\root\ConnectPC31withRdp.rdp" "" ""</v>
      </c>
      <c r="X205" s="14" t="str">
        <f>IF(
  AND($A205&lt;&gt;"",$J205&lt;&gt;"-",$J205&lt;&gt;""),
  shortcut設定!$F$4&amp;"\"&amp;shortcut設定!$F$8&amp;"\"&amp;$J205&amp;"（"&amp;$B205&amp;"）.lnk",
  ""
)</f>
        <v>%USERPROFILE%\AppData\Roaming\Microsoft\Windows\Start Menu\Programs\$QuickAccess\rdpc31（RDP接続toPC31）.lnk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174</v>
      </c>
    </row>
    <row r="206" spans="1:36">
      <c r="A206" s="9" t="s">
        <v>701</v>
      </c>
      <c r="B206" s="9" t="s">
        <v>795</v>
      </c>
      <c r="C206" s="9" t="s">
        <v>533</v>
      </c>
      <c r="D206" s="15" t="s">
        <v>39</v>
      </c>
      <c r="E206" s="26" t="s">
        <v>39</v>
      </c>
      <c r="F206" s="15" t="s">
        <v>0</v>
      </c>
      <c r="G206" s="15" t="s">
        <v>27</v>
      </c>
      <c r="H206" s="9" t="s">
        <v>521</v>
      </c>
      <c r="I206" s="15" t="s">
        <v>64</v>
      </c>
      <c r="J206" s="15" t="s">
        <v>64</v>
      </c>
      <c r="K206" s="15" t="s">
        <v>64</v>
      </c>
      <c r="L206" s="93" t="s">
        <v>64</v>
      </c>
      <c r="M206" s="94" t="s">
        <v>545</v>
      </c>
      <c r="N206" s="15" t="s">
        <v>539</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702</v>
      </c>
      <c r="B207" s="9" t="s">
        <v>837</v>
      </c>
      <c r="C207" s="9" t="s">
        <v>1562</v>
      </c>
      <c r="D207" s="15" t="s">
        <v>39</v>
      </c>
      <c r="E207" s="26" t="s">
        <v>1563</v>
      </c>
      <c r="F207" s="15" t="s">
        <v>0</v>
      </c>
      <c r="G207" s="15" t="s">
        <v>27</v>
      </c>
      <c r="H207" s="9" t="s">
        <v>521</v>
      </c>
      <c r="I207" s="15" t="s">
        <v>64</v>
      </c>
      <c r="J207" s="15" t="s">
        <v>64</v>
      </c>
      <c r="K207" s="15" t="s">
        <v>64</v>
      </c>
      <c r="L207" s="93" t="s">
        <v>64</v>
      </c>
      <c r="M207" s="94" t="s">
        <v>545</v>
      </c>
      <c r="N207" s="15" t="s">
        <v>841</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
      </c>
      <c r="X207" s="14" t="str">
        <f>IF(
  AND($A207&lt;&gt;"",$J207&lt;&gt;"-",$J207&lt;&gt;""),
  shortcut設定!$F$4&amp;"\"&amp;shortcut設定!$F$8&amp;"\"&amp;$J207&amp;"（"&amp;$B207&amp;"）.lnk",
  ""
)</f>
        <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"C:\codes\vbs\command\CreateShortcutFile.vbs" "%USERPROFILE%\AppData\Roaming\Microsoft\Windows\Start Menu\Programs\Startup\ScheduledBackup.bat（定期ファイルバックアップ）.lnk" "C:\root\30_tool\ScheduledBackup.bat" "" "C:\root\30_tool"</v>
      </c>
      <c r="AF207" s="9" t="str">
        <f>IF(
  AND($A207&lt;&gt;"",$N207="○"),
  shortcut設定!$F$6&amp;"\"&amp;A207&amp;"（"&amp;B207&amp;"）.lnk",
  ""
)</f>
        <v>%USERPROFILE%\AppData\Roaming\Microsoft\Windows\Start Menu\Programs\Startup\ScheduledBackup.bat（定期ファイルバックアップ）.lnk</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703</v>
      </c>
      <c r="B208" s="9" t="s">
        <v>838</v>
      </c>
      <c r="C208" s="9" t="s">
        <v>534</v>
      </c>
      <c r="D208" s="15" t="s">
        <v>39</v>
      </c>
      <c r="E208" s="26" t="s">
        <v>39</v>
      </c>
      <c r="F208" s="15" t="s">
        <v>0</v>
      </c>
      <c r="G208" s="15" t="s">
        <v>27</v>
      </c>
      <c r="H208" s="9" t="s">
        <v>521</v>
      </c>
      <c r="I208" s="15" t="s">
        <v>64</v>
      </c>
      <c r="J208" s="15" t="s">
        <v>1448</v>
      </c>
      <c r="K208" s="15" t="s">
        <v>64</v>
      </c>
      <c r="L208" s="93" t="s">
        <v>64</v>
      </c>
      <c r="M208" s="94" t="s">
        <v>545</v>
      </c>
      <c r="N208" s="15" t="s">
        <v>64</v>
      </c>
      <c r="O208" s="26" t="s">
        <v>1230</v>
      </c>
      <c r="P208" s="157" t="s">
        <v>1230</v>
      </c>
      <c r="Q208" s="26" t="s">
        <v>935</v>
      </c>
      <c r="R208" s="9" t="str">
        <f t="shared" si="35"/>
        <v/>
      </c>
      <c r="S208" s="9" t="str">
        <f t="shared" si="31"/>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8" s="14" t="str">
        <f>IF(
  AND($A208&lt;&gt;"",$J208&lt;&gt;"-",$J208&lt;&gt;""),
  shortcut設定!$F$4&amp;"\"&amp;shortcut設定!$F$8&amp;"\"&amp;$J208&amp;"（"&amp;$B208&amp;"）.lnk",
  ""
)</f>
        <v>%USERPROFILE%\AppData\Roaming\Microsoft\Windows\Start Menu\Programs\$QuickAccess\tva1（VNC接続toRobocipA1＠TurboVNC）.lnk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 t="shared" si="32"/>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 t="shared" si="33"/>
        <v/>
      </c>
      <c r="AH208" s="13" t="str">
        <f t="shared" si="34"/>
        <v/>
      </c>
      <c r="AI208" s="13" t="str">
        <f>IF(
  AND($A208&lt;&gt;"",$Q208&lt;&gt;"-",$Q208&lt;&gt;""),
  (
    """"&amp;shortcut設定!$F$7&amp;""""&amp;
    " """&amp;$Q208&amp;".lnk"""&amp;
    " """&amp;$C208&amp;""""&amp;
    IF($D208="-"," """""," """&amp;$D208&amp;"""")&amp;
    IF($E208="-"," """""," """&amp;$E208&amp;"""")
  ),
  ""
)</f>
        <v/>
      </c>
      <c r="AJ208" s="91" t="s">
        <v>174</v>
      </c>
    </row>
    <row r="209" spans="1:36">
      <c r="A209" s="9" t="s">
        <v>704</v>
      </c>
      <c r="B209" s="9" t="s">
        <v>839</v>
      </c>
      <c r="C209" s="9" t="s">
        <v>535</v>
      </c>
      <c r="D209" s="15" t="s">
        <v>39</v>
      </c>
      <c r="E209" s="26" t="s">
        <v>39</v>
      </c>
      <c r="F209" s="15" t="s">
        <v>0</v>
      </c>
      <c r="G209" s="15" t="s">
        <v>27</v>
      </c>
      <c r="H209" s="9" t="s">
        <v>521</v>
      </c>
      <c r="I209" s="15" t="s">
        <v>64</v>
      </c>
      <c r="J209" s="15" t="s">
        <v>1449</v>
      </c>
      <c r="K209" s="15" t="s">
        <v>64</v>
      </c>
      <c r="L209" s="93" t="s">
        <v>64</v>
      </c>
      <c r="M209" s="94" t="s">
        <v>545</v>
      </c>
      <c r="N209" s="15" t="s">
        <v>64</v>
      </c>
      <c r="O209" s="26" t="s">
        <v>1230</v>
      </c>
      <c r="P209" s="157" t="s">
        <v>1230</v>
      </c>
      <c r="Q209" s="26" t="s">
        <v>935</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9" s="14" t="str">
        <f>IF(
  AND($A209&lt;&gt;"",$J209&lt;&gt;"-",$J209&lt;&gt;""),
  shortcut設定!$F$4&amp;"\"&amp;shortcut設定!$F$8&amp;"\"&amp;$J209&amp;"（"&amp;$B209&amp;"）.lnk",
  ""
)</f>
        <v>%USERPROFILE%\AppData\Roaming\Microsoft\Windows\Start Menu\Programs\$QuickAccess\tta1（SSH接続toRobocipA1＠Teraterm）.lnk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1456</v>
      </c>
      <c r="B210" s="9" t="s">
        <v>1457</v>
      </c>
      <c r="C210" s="9" t="s">
        <v>1455</v>
      </c>
      <c r="D210" s="15" t="s">
        <v>39</v>
      </c>
      <c r="E210" s="26" t="s">
        <v>39</v>
      </c>
      <c r="F210" s="15" t="s">
        <v>0</v>
      </c>
      <c r="G210" s="15" t="s">
        <v>27</v>
      </c>
      <c r="H210" s="9" t="s">
        <v>521</v>
      </c>
      <c r="I210" s="15" t="s">
        <v>64</v>
      </c>
      <c r="J210" s="15" t="s">
        <v>1458</v>
      </c>
      <c r="K210" s="15" t="s">
        <v>64</v>
      </c>
      <c r="L210" s="93" t="s">
        <v>64</v>
      </c>
      <c r="M210" s="94" t="s">
        <v>39</v>
      </c>
      <c r="N210" s="15" t="s">
        <v>64</v>
      </c>
      <c r="O210" s="26" t="s">
        <v>39</v>
      </c>
      <c r="P210" s="157" t="s">
        <v>39</v>
      </c>
      <c r="Q210" s="26" t="s">
        <v>39</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10" s="14" t="str">
        <f>IF(
  AND($A210&lt;&gt;"",$J210&lt;&gt;"-",$J210&lt;&gt;""),
  shortcut設定!$F$4&amp;"\"&amp;shortcut設定!$F$8&amp;"\"&amp;$J210&amp;"（"&amp;$B210&amp;"）.lnk",
  ""
)</f>
        <v>%USERPROFILE%\AppData\Roaming\Microsoft\Windows\Start Menu\Programs\$QuickAccess\wta1（SSH接続toRobocipA1＠WezTerm）.lnk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705</v>
      </c>
      <c r="B211" s="9" t="s">
        <v>840</v>
      </c>
      <c r="C211" s="9" t="s">
        <v>1358</v>
      </c>
      <c r="D211" s="15" t="s">
        <v>39</v>
      </c>
      <c r="E211" s="26" t="s">
        <v>39</v>
      </c>
      <c r="F211" s="15" t="s">
        <v>0</v>
      </c>
      <c r="G211" s="15" t="s">
        <v>27</v>
      </c>
      <c r="H211" s="9" t="s">
        <v>521</v>
      </c>
      <c r="I211" s="15" t="s">
        <v>64</v>
      </c>
      <c r="J211" s="15" t="s">
        <v>1450</v>
      </c>
      <c r="K211" s="15" t="s">
        <v>64</v>
      </c>
      <c r="L211" s="93" t="s">
        <v>64</v>
      </c>
      <c r="M211" s="94" t="s">
        <v>545</v>
      </c>
      <c r="N211" s="15" t="s">
        <v>64</v>
      </c>
      <c r="O211" s="26" t="s">
        <v>1230</v>
      </c>
      <c r="P211" s="157" t="s">
        <v>1230</v>
      </c>
      <c r="Q211" s="26" t="s">
        <v>935</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11" s="14" t="str">
        <f>IF(
  AND($A211&lt;&gt;"",$J211&lt;&gt;"-",$J211&lt;&gt;""),
  shortcut設定!$F$4&amp;"\"&amp;shortcut設定!$F$8&amp;"\"&amp;$J211&amp;"（"&amp;$B211&amp;"）.lnk",
  ""
)</f>
        <v>%USERPROFILE%\AppData\Roaming\Microsoft\Windows\Start Menu\Programs\$QuickAccess\wsa1（SFTP接続toRobocipA1＠WinSCP）.lnk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32"/>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1444</v>
      </c>
      <c r="B212" s="9" t="s">
        <v>1445</v>
      </c>
      <c r="C212" s="9" t="s">
        <v>1443</v>
      </c>
      <c r="D212" s="15" t="s">
        <v>1446</v>
      </c>
      <c r="E212" s="26" t="s">
        <v>1446</v>
      </c>
      <c r="F212" s="15" t="s">
        <v>0</v>
      </c>
      <c r="G212" s="15" t="s">
        <v>27</v>
      </c>
      <c r="H212" s="9" t="s">
        <v>521</v>
      </c>
      <c r="I212" s="15" t="s">
        <v>1446</v>
      </c>
      <c r="J212" s="15" t="s">
        <v>1463</v>
      </c>
      <c r="K212" s="15" t="s">
        <v>1446</v>
      </c>
      <c r="L212" s="93" t="s">
        <v>1446</v>
      </c>
      <c r="M212" s="94" t="s">
        <v>1446</v>
      </c>
      <c r="N212" s="15" t="s">
        <v>1446</v>
      </c>
      <c r="O212" s="26" t="s">
        <v>1446</v>
      </c>
      <c r="P212" s="157" t="s">
        <v>1446</v>
      </c>
      <c r="Q212" s="26" t="s">
        <v>1446</v>
      </c>
      <c r="R212" s="9" t="str">
        <f t="shared" si="35"/>
        <v/>
      </c>
      <c r="S212" s="9" t="str">
        <f>IF(
  OR(
    $H212="",
    $H212="-",
    COUNTIF(カテゴリ,$H212)&gt;0
  ),
  "",
  "★NG★"
)</f>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2" s="14" t="str">
        <f>IF(
  AND($A212&lt;&gt;"",$J212&lt;&gt;"-",$J212&lt;&gt;""),
  shortcut設定!$F$4&amp;"\"&amp;shortcut設定!$F$8&amp;"\"&amp;$J212&amp;"（"&amp;$B212&amp;"）.lnk",
  ""
)</f>
        <v>%USERPROFILE%\AppData\Roaming\Microsoft\Windows\Start Menu\Programs\$QuickAccess\rdc3（RDP接続toRobocipC3）.lnk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IF(AND($M212&lt;&gt;"",$M212&lt;&gt;"-")," (&amp;"&amp;$M212&amp;")","")</f>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IF(
  AND($A212&lt;&gt;"",$O212&lt;&gt;"-",$O212&lt;&gt;""),
  (
    "schtasks /create /tn """&amp;$O212&amp;""" /tr """&amp;$C212&amp;""" /sc daily /st "&amp;$P212&amp;" /rl highest"
  ),
  ""
)</f>
        <v/>
      </c>
      <c r="AH212" s="13" t="str">
        <f>IF(
  AND($A212&lt;&gt;"",$O212&lt;&gt;"-",$O212&lt;&gt;""),
  (
    "schtasks /delete /tn """&amp;$O212&amp;""""
  ),
  ""
)</f>
        <v/>
      </c>
      <c r="AI212" s="13" t="str">
        <f>IF(
  AND($A212&lt;&gt;"",$Q212&lt;&gt;"-",$Q212&lt;&gt;""),
  (
    """"&amp;shortcut設定!$F$7&amp;""""&amp;
    " """&amp;$Q212&amp;".lnk"""&amp;
    " """&amp;$C212&amp;""""&amp;
    IF($D212="-"," """""," """&amp;$D212&amp;"""")&amp;
    IF($E212="-"," """""," """&amp;$E212&amp;"""")
  ),
  ""
)</f>
        <v/>
      </c>
      <c r="AJ212" s="91" t="s">
        <v>174</v>
      </c>
    </row>
    <row r="213" spans="1:36">
      <c r="A213" s="9" t="s">
        <v>1535</v>
      </c>
      <c r="B213" s="9" t="s">
        <v>1486</v>
      </c>
      <c r="C213" s="9" t="s">
        <v>1536</v>
      </c>
      <c r="D213" s="15" t="s">
        <v>39</v>
      </c>
      <c r="E213" s="26" t="s">
        <v>39</v>
      </c>
      <c r="F213" s="15" t="s">
        <v>0</v>
      </c>
      <c r="G213" s="15" t="s">
        <v>27</v>
      </c>
      <c r="H213" s="9" t="s">
        <v>521</v>
      </c>
      <c r="I213" s="15" t="s">
        <v>39</v>
      </c>
      <c r="J213" s="15" t="s">
        <v>39</v>
      </c>
      <c r="K213" s="15" t="s">
        <v>39</v>
      </c>
      <c r="L213" s="93" t="s">
        <v>149</v>
      </c>
      <c r="M213" s="94" t="s">
        <v>1359</v>
      </c>
      <c r="N213" s="15" t="s">
        <v>934</v>
      </c>
      <c r="O213" s="26" t="s">
        <v>934</v>
      </c>
      <c r="P213" s="157" t="s">
        <v>934</v>
      </c>
      <c r="Q213" s="26" t="s">
        <v>934</v>
      </c>
      <c r="R213" s="9" t="str">
        <f t="shared" si="35"/>
        <v/>
      </c>
      <c r="S213" s="9" t="str">
        <f t="shared" si="31"/>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 ca="1">IF(
  AND($A213&lt;&gt;"",$L213&lt;&gt;"-",$L213&lt;&gt;""),
  (
    """"&amp;shortcut設定!$F$7&amp;""""&amp;
    " """&amp;$AD213&amp;""""&amp;
    " """&amp;$C213&amp;""""&amp;
    IF($D213="-"," """""," """&amp;$D213&amp;"""")&amp;
    IF($E213="-"," """""," """&amp;$E213&amp;"""")
  ),
  ""
)</f>
        <v>"C:\codes\vbs\command\CreateShortcutFile.vbs" "%USERPROFILE%\AppData\Roaming\Microsoft\Windows\SendTo\200_ScpUploadToRemoteRobocipA1.bat（SCP送信toリモート(RobocipA1)） (&amp;R).lnk" "C:\root\30_tool\ScpUploadToRemoteRobocipA1.bat" "" ""</v>
      </c>
      <c r="AB213" s="9" t="str">
        <f ca="1">IFERROR(
  VLOOKUP(
    $H213,
    shortcut設定!$F:$J,
    MATCH(
      "ProgramsIndex",
      shortcut設定!$F$12:$J$12,
      0
    ),
    FALSE
  ),
  ""
)</f>
        <v>200</v>
      </c>
      <c r="AC213" s="20" t="str">
        <f t="shared" si="32"/>
        <v xml:space="preserve"> (&amp;R)</v>
      </c>
      <c r="AD213" s="13" t="str">
        <f ca="1">IF(
  AND($A213&lt;&gt;"",$L213="○"),
  shortcut設定!$F$5&amp;"\"&amp;AB213&amp;"_"&amp;A213&amp;"（"&amp;B213&amp;"）"&amp;AC213&amp;".lnk",
  ""
)</f>
        <v>%USERPROFILE%\AppData\Roaming\Microsoft\Windows\SendTo\200_ScpUploadToRemoteRobocipA1.bat（SCP送信toリモート(RobocipA1)） (&amp;R).lnk</v>
      </c>
      <c r="AE213" s="13" t="str">
        <f>IF(
  AND($A213&lt;&gt;"",$N213="○"),
  (
    """"&amp;shortcut設定!$F$7&amp;""""&amp;
    " """&amp;$AF213&amp;""""&amp;
    " """&amp;$C213&amp;""""&amp;
    IF($D213="-"," """""," """&amp;$D213&amp;"""")&amp;
    IF($E213="-"," """""," """&amp;$E213&amp;"""")
  ),
  ""
)</f>
        <v/>
      </c>
      <c r="AF213" s="9" t="str">
        <f>IF(
  AND($A213&lt;&gt;"",$N213="○"),
  shortcut設定!$F$6&amp;"\"&amp;A213&amp;"（"&amp;B213&amp;"）.lnk",
  ""
)</f>
        <v/>
      </c>
      <c r="AG213" s="13" t="str">
        <f t="shared" si="33"/>
        <v/>
      </c>
      <c r="AH213" s="13" t="str">
        <f t="shared" si="34"/>
        <v/>
      </c>
      <c r="AI213" s="13" t="str">
        <f>IF(
  AND($A213&lt;&gt;"",$Q213&lt;&gt;"-",$Q213&lt;&gt;""),
  (
    """"&amp;shortcut設定!$F$7&amp;""""&amp;
    " """&amp;$Q213&amp;".lnk"""&amp;
    " """&amp;$C213&amp;""""&amp;
    IF($D213="-"," """""," """&amp;$D213&amp;"""")&amp;
    IF($E213="-"," """""," """&amp;$E213&amp;"""")
  ),
  ""
)</f>
        <v/>
      </c>
      <c r="AJ213" s="91" t="s">
        <v>174</v>
      </c>
    </row>
    <row r="214" spans="1:36">
      <c r="A214" s="9" t="s">
        <v>1537</v>
      </c>
      <c r="B214" s="9" t="s">
        <v>1485</v>
      </c>
      <c r="C214" s="9" t="s">
        <v>1538</v>
      </c>
      <c r="D214" s="15" t="s">
        <v>39</v>
      </c>
      <c r="E214" s="26" t="s">
        <v>39</v>
      </c>
      <c r="F214" s="15" t="s">
        <v>0</v>
      </c>
      <c r="G214" s="15" t="s">
        <v>27</v>
      </c>
      <c r="H214" s="9" t="s">
        <v>521</v>
      </c>
      <c r="I214" s="15" t="s">
        <v>39</v>
      </c>
      <c r="J214" s="15" t="s">
        <v>1484</v>
      </c>
      <c r="K214" s="15" t="s">
        <v>39</v>
      </c>
      <c r="L214" s="93" t="s">
        <v>64</v>
      </c>
      <c r="M214" s="94" t="s">
        <v>39</v>
      </c>
      <c r="N214" s="15" t="s">
        <v>934</v>
      </c>
      <c r="O214" s="26" t="s">
        <v>934</v>
      </c>
      <c r="P214" s="157" t="s">
        <v>934</v>
      </c>
      <c r="Q214" s="26" t="s">
        <v>934</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4" s="14" t="str">
        <f>IF(
  AND($A214&lt;&gt;"",$J214&lt;&gt;"-",$J214&lt;&gt;""),
  shortcut設定!$F$4&amp;"\"&amp;shortcut設定!$F$8&amp;"\"&amp;$J214&amp;"（"&amp;$B214&amp;"）.lnk",
  ""
)</f>
        <v>%USERPROFILE%\AppData\Roaming\Microsoft\Windows\Start Menu\Programs\$QuickAccess\ffra1（SCP受信fromリモート(RobocipA1)）.lnk</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1482</v>
      </c>
      <c r="B215" s="9" t="s">
        <v>1487</v>
      </c>
      <c r="C215" s="9" t="s">
        <v>1481</v>
      </c>
      <c r="D215" s="15" t="s">
        <v>1427</v>
      </c>
      <c r="E215" s="26" t="s">
        <v>1427</v>
      </c>
      <c r="F215" s="15" t="s">
        <v>0</v>
      </c>
      <c r="G215" s="15" t="s">
        <v>27</v>
      </c>
      <c r="H215" s="9" t="s">
        <v>521</v>
      </c>
      <c r="I215" s="15" t="s">
        <v>934</v>
      </c>
      <c r="J215" s="15" t="s">
        <v>1483</v>
      </c>
      <c r="K215" s="15" t="s">
        <v>1427</v>
      </c>
      <c r="L215" s="93" t="s">
        <v>1427</v>
      </c>
      <c r="M215" s="94" t="s">
        <v>1427</v>
      </c>
      <c r="N215" s="15" t="s">
        <v>1427</v>
      </c>
      <c r="O215" s="26" t="s">
        <v>1427</v>
      </c>
      <c r="P215" s="157" t="s">
        <v>1427</v>
      </c>
      <c r="Q215" s="26" t="s">
        <v>1427</v>
      </c>
      <c r="R215" s="9" t="str">
        <f t="shared" si="35"/>
        <v/>
      </c>
      <c r="S215" s="9" t="str">
        <f>IF(
  OR(
    $H215="",
    $H215="-",
    COUNTIF(カテゴリ,$H215)&gt;0
  ),
  "",
  "★NG★"
)</f>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5" s="14" t="str">
        <f>IF(
  AND($A215&lt;&gt;"",$J215&lt;&gt;"-",$J215&lt;&gt;""),
  shortcut設定!$F$4&amp;"\"&amp;shortcut設定!$F$8&amp;"\"&amp;$J215&amp;"（"&amp;$B215&amp;"）.lnk",
  ""
)</f>
        <v>%USERPROFILE%\AppData\Roaming\Microsoft\Windows\Start Menu\Programs\$QuickAccess\ddfa1（ドットファイル同期(RobocipA1)）.lnk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IF(AND($M215&lt;&gt;"",$M215&lt;&gt;"-")," (&amp;"&amp;$M215&amp;")","")</f>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IF(
  AND($A215&lt;&gt;"",$O215&lt;&gt;"-",$O215&lt;&gt;""),
  (
    "schtasks /create /tn """&amp;$O215&amp;""" /tr """&amp;$C215&amp;""" /sc daily /st "&amp;$P215&amp;" /rl highest"
  ),
  ""
)</f>
        <v/>
      </c>
      <c r="AH215" s="13" t="str">
        <f>IF(
  AND($A215&lt;&gt;"",$O215&lt;&gt;"-",$O215&lt;&gt;""),
  (
    "schtasks /delete /tn """&amp;$O215&amp;""""
  ),
  ""
)</f>
        <v/>
      </c>
      <c r="AI215" s="13" t="str">
        <f>IF(
  AND($A215&lt;&gt;"",$Q215&lt;&gt;"-",$Q215&lt;&gt;""),
  (
    """"&amp;shortcut設定!$F$7&amp;""""&amp;
    " """&amp;$Q215&amp;".lnk"""&amp;
    " """&amp;$C215&amp;""""&amp;
    IF($D215="-"," """""," """&amp;$D215&amp;"""")&amp;
    IF($E215="-"," """""," """&amp;$E215&amp;"""")
  ),
  ""
)</f>
        <v/>
      </c>
      <c r="AJ215" s="91" t="s">
        <v>174</v>
      </c>
    </row>
    <row r="216" spans="1:36">
      <c r="A216" s="9" t="s">
        <v>1045</v>
      </c>
      <c r="B216" s="9" t="s">
        <v>1008</v>
      </c>
      <c r="C216" s="9" t="s">
        <v>1044</v>
      </c>
      <c r="D216" s="15" t="s">
        <v>934</v>
      </c>
      <c r="E216" s="26" t="s">
        <v>39</v>
      </c>
      <c r="F216" s="15" t="s">
        <v>27</v>
      </c>
      <c r="G216" s="15" t="s">
        <v>0</v>
      </c>
      <c r="H216" s="9" t="s">
        <v>521</v>
      </c>
      <c r="I216" s="15" t="s">
        <v>934</v>
      </c>
      <c r="J216" s="15" t="s">
        <v>1009</v>
      </c>
      <c r="K216" s="15" t="s">
        <v>1009</v>
      </c>
      <c r="L216" s="93" t="s">
        <v>1009</v>
      </c>
      <c r="M216" s="94" t="s">
        <v>1009</v>
      </c>
      <c r="N216" s="15" t="s">
        <v>0</v>
      </c>
      <c r="O216" s="26" t="s">
        <v>1230</v>
      </c>
      <c r="P216" s="157" t="s">
        <v>1230</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Menu\Programs\Startup\CreateProgramList.bat（インストールプログラム一覧作成）.lnk" "C:\codes\bat\tools\other\CreateProgramList.bat" "" ""</v>
      </c>
      <c r="AF216" s="9" t="str">
        <f>IF(
  AND($A216&lt;&gt;"",$N216="○"),
  shortcut設定!$F$6&amp;"\"&amp;A216&amp;"（"&amp;B216&amp;"）.lnk",
  ""
)</f>
        <v>%USERPROFILE%\AppData\Roaming\Microsoft\Windows\Start Menu\Programs\Startup\CreateProgramList.bat（インストールプログラム一覧作成）.lnk</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1207</v>
      </c>
      <c r="B217" s="9" t="s">
        <v>1212</v>
      </c>
      <c r="C217" s="9" t="s">
        <v>1205</v>
      </c>
      <c r="D217" s="15" t="s">
        <v>934</v>
      </c>
      <c r="E217" s="26" t="s">
        <v>39</v>
      </c>
      <c r="F217" s="15" t="s">
        <v>27</v>
      </c>
      <c r="G217" s="15" t="s">
        <v>0</v>
      </c>
      <c r="H217" s="9" t="s">
        <v>521</v>
      </c>
      <c r="I217" s="15" t="s">
        <v>0</v>
      </c>
      <c r="J217" s="15" t="s">
        <v>1383</v>
      </c>
      <c r="K217" s="15" t="s">
        <v>39</v>
      </c>
      <c r="L217" s="93" t="s">
        <v>39</v>
      </c>
      <c r="M217" s="94" t="s">
        <v>39</v>
      </c>
      <c r="N217" s="15" t="s">
        <v>934</v>
      </c>
      <c r="O217" s="26" t="s">
        <v>1230</v>
      </c>
      <c r="P217" s="157" t="s">
        <v>1230</v>
      </c>
      <c r="Q217" s="26" t="s">
        <v>39</v>
      </c>
      <c r="R217" s="9" t="str">
        <f t="shared" si="35"/>
        <v/>
      </c>
      <c r="S217" s="9" t="str">
        <f t="shared" si="31"/>
        <v/>
      </c>
      <c r="T217" s="13" t="str">
        <f ca="1">IF(
  AND($A217&lt;&gt;"",$I217="○"),
  (
    "mkdir """&amp;V217&amp;""" &amp; "
  )&amp;(
    """"&amp;shortcut設定!$F$7&amp;""""&amp;
    " """&amp;V217&amp;"\"&amp;$A217&amp;"（"&amp;$B217&amp;"）.lnk"""&amp;
    " """&amp;$C217&amp;""""&amp;
    IF($D217="-"," """""," """&amp;$D217&amp;"""")&amp;
    IF($E217="-"," """""," """&amp;$E217&amp;"""")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7" s="9" t="str">
        <f ca="1">IFERROR(
  VLOOKUP(
    $H217,
    shortcut設定!$F:$J,
    MATCH(
      "ProgramsIndex",
      shortcut設定!$F$12:$J$12,
      0
    ),
    FALSE
  ),
  ""
)</f>
        <v>200</v>
      </c>
      <c r="V217" s="13" t="str">
        <f ca="1">IF(
  AND($A217&lt;&gt;"",$I217="○"),
  shortcut設定!$F$4&amp;"\"&amp;U217&amp;"_"&amp;H217,
  ""
)</f>
        <v>%USERPROFILE%\AppData\Roaming\Microsoft\Windows\Start Menu\Programs\200_Codes</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Menu\Programs\$QuickAccess\bua（HDDバックアップ（全て））.lnk" "C:\codes\bat\tools\other\BackupAll.bat" "" ""</v>
      </c>
      <c r="X217" s="14" t="str">
        <f>IF(
  AND($A217&lt;&gt;"",$J217&lt;&gt;"-",$J217&lt;&gt;""),
  shortcut設定!$F$4&amp;"\"&amp;shortcut設定!$F$8&amp;"\"&amp;$J217&amp;"（"&amp;$B217&amp;"）.lnk",
  ""
)</f>
        <v>%USERPROFILE%\AppData\Roaming\Microsoft\Windows\Start Menu\Programs\$QuickAccess\bua（HDDバックアップ（全て））.lnk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1208</v>
      </c>
      <c r="B218" s="9" t="s">
        <v>1213</v>
      </c>
      <c r="C218" s="9" t="s">
        <v>1043</v>
      </c>
      <c r="D218" s="15" t="s">
        <v>934</v>
      </c>
      <c r="E218" s="26" t="s">
        <v>39</v>
      </c>
      <c r="F218" s="15" t="s">
        <v>27</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1209</v>
      </c>
      <c r="B219" s="9" t="s">
        <v>1214</v>
      </c>
      <c r="C219" s="9" t="s">
        <v>1048</v>
      </c>
      <c r="D219" s="15" t="s">
        <v>934</v>
      </c>
      <c r="E219" s="26" t="s">
        <v>39</v>
      </c>
      <c r="F219" s="15" t="s">
        <v>27</v>
      </c>
      <c r="G219" s="15" t="s">
        <v>0</v>
      </c>
      <c r="H219" s="9" t="s">
        <v>521</v>
      </c>
      <c r="I219" s="15" t="s">
        <v>1217</v>
      </c>
      <c r="J219" s="15" t="s">
        <v>934</v>
      </c>
      <c r="K219" s="15" t="s">
        <v>39</v>
      </c>
      <c r="L219" s="93" t="s">
        <v>39</v>
      </c>
      <c r="M219" s="94" t="s">
        <v>39</v>
      </c>
      <c r="N219" s="15" t="s">
        <v>934</v>
      </c>
      <c r="O219" s="26" t="s">
        <v>1230</v>
      </c>
      <c r="P219" s="157" t="s">
        <v>1230</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174</v>
      </c>
    </row>
    <row r="220" spans="1:36">
      <c r="A220" s="9" t="s">
        <v>1210</v>
      </c>
      <c r="B220" s="9" t="s">
        <v>1215</v>
      </c>
      <c r="C220" s="9" t="s">
        <v>1049</v>
      </c>
      <c r="D220" s="15" t="s">
        <v>934</v>
      </c>
      <c r="E220" s="26" t="s">
        <v>39</v>
      </c>
      <c r="F220" s="15" t="s">
        <v>0</v>
      </c>
      <c r="G220" s="15" t="s">
        <v>0</v>
      </c>
      <c r="H220" s="9" t="s">
        <v>521</v>
      </c>
      <c r="I220" s="15" t="s">
        <v>1217</v>
      </c>
      <c r="J220" s="15" t="s">
        <v>934</v>
      </c>
      <c r="K220" s="15" t="s">
        <v>39</v>
      </c>
      <c r="L220" s="93" t="s">
        <v>39</v>
      </c>
      <c r="M220" s="94" t="s">
        <v>39</v>
      </c>
      <c r="N220" s="15" t="s">
        <v>934</v>
      </c>
      <c r="O220" s="26" t="s">
        <v>1230</v>
      </c>
      <c r="P220" s="157" t="s">
        <v>1230</v>
      </c>
      <c r="Q220" s="26" t="s">
        <v>39</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1211</v>
      </c>
      <c r="B221" s="9" t="s">
        <v>1216</v>
      </c>
      <c r="C221" s="9" t="s">
        <v>1206</v>
      </c>
      <c r="D221" s="15" t="s">
        <v>934</v>
      </c>
      <c r="E221" s="26" t="s">
        <v>39</v>
      </c>
      <c r="F221" s="15" t="s">
        <v>0</v>
      </c>
      <c r="G221" s="15" t="s">
        <v>27</v>
      </c>
      <c r="H221" s="9" t="s">
        <v>521</v>
      </c>
      <c r="I221" s="15" t="s">
        <v>1217</v>
      </c>
      <c r="J221" s="15" t="s">
        <v>934</v>
      </c>
      <c r="K221" s="15" t="s">
        <v>39</v>
      </c>
      <c r="L221" s="93" t="s">
        <v>39</v>
      </c>
      <c r="M221" s="94" t="s">
        <v>39</v>
      </c>
      <c r="N221" s="15" t="s">
        <v>934</v>
      </c>
      <c r="O221" s="26" t="s">
        <v>1231</v>
      </c>
      <c r="P221" s="157" t="s">
        <v>1234</v>
      </c>
      <c r="Q221" s="26" t="s">
        <v>39</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 t="shared" si="33"/>
        <v>schtasks /create /tn "_scheduled_backup_root" /tr "C:\codes\bat\tools\other\BackupRoot.bat" /sc daily /st 17:56 /rl highest</v>
      </c>
      <c r="AH221" s="13" t="str">
        <f t="shared" si="34"/>
        <v>schtasks /delete /tn "_scheduled_backup_root"</v>
      </c>
      <c r="AI221" s="13" t="str">
        <f>IF(
  AND($A221&lt;&gt;"",$Q221&lt;&gt;"-",$Q221&lt;&gt;""),
  (
    """"&amp;shortcut設定!$F$7&amp;""""&amp;
    " """&amp;$Q221&amp;".lnk"""&amp;
    " """&amp;$C221&amp;""""&amp;
    IF($D221="-"," """""," """&amp;$D221&amp;"""")&amp;
    IF($E221="-"," """""," """&amp;$E221&amp;"""")
  ),
  ""
)</f>
        <v/>
      </c>
      <c r="AJ221" s="91" t="s">
        <v>174</v>
      </c>
    </row>
    <row r="222" spans="1:36">
      <c r="A222" s="9" t="s">
        <v>1250</v>
      </c>
      <c r="B222" s="9" t="s">
        <v>1251</v>
      </c>
      <c r="C222" s="9" t="s">
        <v>1249</v>
      </c>
      <c r="D222" s="15" t="s">
        <v>1252</v>
      </c>
      <c r="E222" s="26" t="s">
        <v>1252</v>
      </c>
      <c r="F222" s="15" t="s">
        <v>27</v>
      </c>
      <c r="G222" s="15" t="s">
        <v>0</v>
      </c>
      <c r="H222" s="9" t="s">
        <v>521</v>
      </c>
      <c r="I222" s="15" t="s">
        <v>1252</v>
      </c>
      <c r="J222" s="15" t="s">
        <v>1252</v>
      </c>
      <c r="K222" s="15" t="s">
        <v>1252</v>
      </c>
      <c r="L222" s="93" t="s">
        <v>1252</v>
      </c>
      <c r="M222" s="94" t="s">
        <v>1252</v>
      </c>
      <c r="N222" s="15" t="s">
        <v>0</v>
      </c>
      <c r="O222" s="26" t="s">
        <v>1252</v>
      </c>
      <c r="P222" s="157" t="s">
        <v>1252</v>
      </c>
      <c r="Q222" s="26" t="s">
        <v>1252</v>
      </c>
      <c r="R222" s="9" t="str">
        <f t="shared" si="35"/>
        <v/>
      </c>
      <c r="S222" s="9" t="str">
        <f t="shared" si="31"/>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"C:\codes\vbs\command\CreateShortcutFile.vbs" "%USERPROFILE%\AppData\Roaming\Microsoft\Windows\Start Menu\Programs\Startup\BackupOtherPrgSettings.bat（各種プログラム設定バックアップ）.lnk" "C:\codes\bat\tools\other\BackupOtherPrgSettings.bat" "" ""</v>
      </c>
      <c r="AF222" s="9" t="str">
        <f>IF(
  AND($A222&lt;&gt;"",$N222="○"),
  shortcut設定!$F$6&amp;"\"&amp;A222&amp;"（"&amp;B222&amp;"）.lnk",
  ""
)</f>
        <v>%USERPROFILE%\AppData\Roaming\Microsoft\Windows\Start Menu\Programs\Startup\BackupOtherPrgSettings.bat（各種プログラム設定バックアップ）.lnk</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t="s">
        <v>1417</v>
      </c>
      <c r="B223" s="9" t="s">
        <v>1418</v>
      </c>
      <c r="C223" s="9" t="s">
        <v>1416</v>
      </c>
      <c r="D223" s="15" t="s">
        <v>1419</v>
      </c>
      <c r="E223" s="26" t="s">
        <v>1419</v>
      </c>
      <c r="F223" s="15" t="s">
        <v>0</v>
      </c>
      <c r="G223" s="15" t="s">
        <v>0</v>
      </c>
      <c r="H223" s="9" t="s">
        <v>521</v>
      </c>
      <c r="I223" s="15" t="s">
        <v>1419</v>
      </c>
      <c r="J223" s="15" t="s">
        <v>1420</v>
      </c>
      <c r="K223" s="15" t="s">
        <v>1419</v>
      </c>
      <c r="L223" s="93" t="s">
        <v>1419</v>
      </c>
      <c r="M223" s="94" t="s">
        <v>1419</v>
      </c>
      <c r="N223" s="15" t="s">
        <v>1419</v>
      </c>
      <c r="O223" s="26" t="s">
        <v>1419</v>
      </c>
      <c r="P223" s="157" t="s">
        <v>1419</v>
      </c>
      <c r="Q223" s="26" t="s">
        <v>1419</v>
      </c>
      <c r="R223" s="9" t="str">
        <f t="shared" si="35"/>
        <v/>
      </c>
      <c r="S223" s="9" t="str">
        <f>IF(
  OR(
    $H223="",
    $H223="-",
    COUNTIF(カテゴリ,$H223)&gt;0
  ),
  "",
  "★NG★"
)</f>
        <v/>
      </c>
      <c r="T223" s="13" t="str">
        <f>IF(
  AND($A223&lt;&gt;"",$I223="○"),
  (
    "mkdir """&amp;V223&amp;""" &amp; "
  )&amp;(
    """"&amp;shortcut設定!$F$7&amp;""""&amp;
    " """&amp;V223&amp;"\"&amp;$A223&amp;"（"&amp;$B223&amp;"）.lnk"""&amp;
    " """&amp;$C223&amp;""""&amp;
    IF($D223="-"," """""," """&amp;$D223&amp;"""")&amp;
    IF($E223="-"," """""," """&amp;$E223&amp;"""")
  ),
  ""
)</f>
        <v/>
      </c>
      <c r="U223" s="9" t="str">
        <f ca="1">IFERROR(
  VLOOKUP(
    $H223,
    shortcut設定!$F:$J,
    MATCH(
      "ProgramsIndex",
      shortcut設定!$F$12:$J$12,
      0
    ),
    FALSE
  ),
  ""
)</f>
        <v>200</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Menu\Programs\$QuickAccess\dvi（viminfo削除）.lnk" "C:\codes\bat\tools\file_ope\DeleteVimInfo.bat" "" ""</v>
      </c>
      <c r="X223" s="14" t="str">
        <f>IF(
  AND($A223&lt;&gt;"",$J223&lt;&gt;"-",$J223&lt;&gt;""),
  shortcut設定!$F$4&amp;"\"&amp;shortcut設定!$F$8&amp;"\"&amp;$J223&amp;"（"&amp;$B223&amp;"）.lnk",
  ""
)</f>
        <v>%USERPROFILE%\AppData\Roaming\Microsoft\Windows\Start Menu\Programs\$QuickAccess\dvi（viminfo削除）.lnk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IF(AND($M223&lt;&gt;"",$M223&lt;&gt;"-")," (&amp;"&amp;$M223&amp;")","")</f>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IF(
  AND($A223&lt;&gt;"",$O223&lt;&gt;"-",$O223&lt;&gt;""),
  (
    "schtasks /create /tn """&amp;$O223&amp;""" /tr """&amp;$C223&amp;""" /sc daily /st "&amp;$P223&amp;" /rl highest"
  ),
  ""
)</f>
        <v/>
      </c>
      <c r="AH223" s="13" t="str">
        <f>IF(
  AND($A223&lt;&gt;"",$O223&lt;&gt;"-",$O223&lt;&gt;""),
  (
    "schtasks /delete /tn """&amp;$O223&amp;""""
  ),
  ""
)</f>
        <v/>
      </c>
      <c r="AI223" s="13" t="str">
        <f>IF(
  AND($A223&lt;&gt;"",$Q223&lt;&gt;"-",$Q223&lt;&gt;""),
  (
    """"&amp;shortcut設定!$F$7&amp;""""&amp;
    " """&amp;$Q223&amp;".lnk"""&amp;
    " """&amp;$C223&amp;""""&amp;
    IF($D223="-"," """""," """&amp;$D223&amp;"""")&amp;
    IF($E223="-"," """""," """&amp;$E223&amp;"""")
  ),
  ""
)</f>
        <v/>
      </c>
      <c r="AJ223" s="91" t="s">
        <v>174</v>
      </c>
    </row>
    <row r="224" spans="1:36">
      <c r="A224" s="9" t="s">
        <v>1379</v>
      </c>
      <c r="B224" s="9" t="s">
        <v>1380</v>
      </c>
      <c r="C224" s="9" t="s">
        <v>1378</v>
      </c>
      <c r="D224" s="15" t="s">
        <v>1381</v>
      </c>
      <c r="E224" s="26" t="s">
        <v>1381</v>
      </c>
      <c r="F224" s="15" t="s">
        <v>0</v>
      </c>
      <c r="G224" s="15" t="s">
        <v>0</v>
      </c>
      <c r="H224" s="9" t="s">
        <v>521</v>
      </c>
      <c r="I224" s="15" t="s">
        <v>0</v>
      </c>
      <c r="J224" s="15" t="s">
        <v>1382</v>
      </c>
      <c r="K224" s="15" t="s">
        <v>1381</v>
      </c>
      <c r="L224" s="93" t="s">
        <v>1381</v>
      </c>
      <c r="M224" s="94" t="s">
        <v>1381</v>
      </c>
      <c r="N224" s="15" t="s">
        <v>1381</v>
      </c>
      <c r="O224" s="26" t="s">
        <v>1381</v>
      </c>
      <c r="P224" s="157" t="s">
        <v>1381</v>
      </c>
      <c r="Q224" s="26" t="s">
        <v>1381</v>
      </c>
      <c r="R224" s="9" t="str">
        <f t="shared" si="35"/>
        <v/>
      </c>
      <c r="S224" s="9" t="str">
        <f t="shared" si="31"/>
        <v/>
      </c>
      <c r="T224" s="13" t="str">
        <f ca="1">IF(
  AND($A224&lt;&gt;"",$I224="○"),
  (
    "mkdir """&amp;V224&amp;""" &amp; "
  )&amp;(
    """"&amp;shortcut設定!$F$7&amp;""""&amp;
    " """&amp;V224&amp;"\"&amp;$A224&amp;"（"&amp;$B224&amp;"）.lnk"""&amp;
    " """&amp;$C224&amp;""""&amp;
    IF($D224="-"," """""," """&amp;$D224&amp;"""")&amp;
    IF($E224="-"," """""," """&amp;$E224&amp;"""")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4" s="9" t="str">
        <f ca="1">IFERROR(
  VLOOKUP(
    $H224,
    shortcut設定!$F:$J,
    MATCH(
      "ProgramsIndex",
      shortcut設定!$F$12:$J$12,
      0
    ),
    FALSE
  ),
  ""
)</f>
        <v>200</v>
      </c>
      <c r="V224" s="13" t="str">
        <f ca="1">IF(
  AND($A224&lt;&gt;"",$I224="○"),
  shortcut設定!$F$4&amp;"\"&amp;U224&amp;"_"&amp;H224,
  ""
)</f>
        <v>%USERPROFILE%\AppData\Roaming\Microsoft\Windows\Start Menu\Programs\200_Codes</v>
      </c>
      <c r="W224" s="13" t="str">
        <f>IF(
  AND($A224&lt;&gt;"",$J224&lt;&gt;"-",$J224&lt;&gt;""),
  (
    "mkdir """&amp;shortcut設定!$F$4&amp;"\"&amp;shortcut設定!$F$8&amp;""" &amp; "
  )&amp;(
    """"&amp;shortcut設定!$F$7&amp;""""&amp;
    " """&amp;$X224&amp;""""&amp;
    " """&amp;$C224&amp;""""&amp;
    IF($D224="-"," """""," """&amp;$D224&amp;"""")&amp;
    IF($E224="-"," """""," """&amp;$E224&amp;"""")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4" s="14" t="str">
        <f>IF(
  AND($A224&lt;&gt;"",$J224&lt;&gt;"-",$J224&lt;&gt;""),
  shortcut設定!$F$4&amp;"\"&amp;shortcut設定!$F$8&amp;"\"&amp;$J224&amp;"（"&amp;$B224&amp;"）.lnk",
  ""
)</f>
        <v>%USERPROFILE%\AppData\Roaming\Microsoft\Windows\Start Menu\Programs\$QuickAccess\edd（drawioダイヤグラム抽出）.lnk</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200</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t="s">
        <v>1572</v>
      </c>
      <c r="B225" s="9" t="s">
        <v>1573</v>
      </c>
      <c r="C225" s="9" t="s">
        <v>1574</v>
      </c>
      <c r="D225" s="15" t="s">
        <v>934</v>
      </c>
      <c r="E225" s="26" t="s">
        <v>934</v>
      </c>
      <c r="F225" s="15" t="s">
        <v>0</v>
      </c>
      <c r="G225" s="15" t="s">
        <v>0</v>
      </c>
      <c r="H225" s="9" t="s">
        <v>521</v>
      </c>
      <c r="I225" s="15" t="s">
        <v>934</v>
      </c>
      <c r="J225" s="15" t="s">
        <v>1575</v>
      </c>
      <c r="K225" s="15" t="s">
        <v>934</v>
      </c>
      <c r="L225" s="93" t="s">
        <v>934</v>
      </c>
      <c r="M225" s="94" t="s">
        <v>934</v>
      </c>
      <c r="N225" s="15" t="s">
        <v>934</v>
      </c>
      <c r="O225" s="26" t="s">
        <v>934</v>
      </c>
      <c r="P225" s="157" t="s">
        <v>934</v>
      </c>
      <c r="Q225" s="26" t="s">
        <v>934</v>
      </c>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 ca="1">IFERROR(
  VLOOKUP(
    $H225,
    shortcut設定!$F:$J,
    MATCH(
      "ProgramsIndex",
      shortcut設定!$F$12:$J$12,
      0
    ),
    FALSE
  ),
  ""
)</f>
        <v>200</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mkdir "%USERPROFILE%\AppData\Roaming\Microsoft\Windows\Start Menu\Programs\$QuickAccess" &amp; "C:\codes\vbs\command\CreateShortcutFile.vbs" "%USERPROFILE%\AppData\Roaming\Microsoft\Windows\Start Menu\Programs\$QuickAccess\sht（時刻指定シャットダウン）.lnk" "C:\codes\vbs\tools\win\other\Shutdown.vbs" "" ""</v>
      </c>
      <c r="X225" s="14" t="str">
        <f>IF(
  AND($A225&lt;&gt;"",$J225&lt;&gt;"-",$J225&lt;&gt;""),
  shortcut設定!$F$4&amp;"\"&amp;shortcut設定!$F$8&amp;"\"&amp;$J225&amp;"（"&amp;$B225&amp;"）.lnk",
  ""
)</f>
        <v>%USERPROFILE%\AppData\Roaming\Microsoft\Windows\Start Menu\Programs\$QuickAccess\sht（時刻指定シャットダウン）.lnk</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200</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t="s">
        <v>1576</v>
      </c>
      <c r="B226" s="9" t="s">
        <v>1577</v>
      </c>
      <c r="C226" s="9" t="s">
        <v>1578</v>
      </c>
      <c r="D226" s="15" t="s">
        <v>934</v>
      </c>
      <c r="E226" s="26" t="s">
        <v>934</v>
      </c>
      <c r="F226" s="15" t="s">
        <v>0</v>
      </c>
      <c r="G226" s="15" t="s">
        <v>27</v>
      </c>
      <c r="H226" s="9" t="s">
        <v>521</v>
      </c>
      <c r="I226" s="15" t="s">
        <v>934</v>
      </c>
      <c r="J226" s="15" t="s">
        <v>1579</v>
      </c>
      <c r="K226" s="15" t="s">
        <v>934</v>
      </c>
      <c r="L226" s="93" t="s">
        <v>934</v>
      </c>
      <c r="M226" s="94" t="s">
        <v>934</v>
      </c>
      <c r="N226" s="15" t="s">
        <v>934</v>
      </c>
      <c r="O226" s="26" t="s">
        <v>934</v>
      </c>
      <c r="P226" s="157" t="s">
        <v>934</v>
      </c>
      <c r="Q226" s="26" t="s">
        <v>934</v>
      </c>
      <c r="R226" s="9" t="str">
        <f t="shared" si="35"/>
        <v/>
      </c>
      <c r="S226" s="9" t="str">
        <f t="shared" si="31"/>
        <v/>
      </c>
      <c r="T226" s="13" t="str">
        <f>IF(
  AND($A226&lt;&gt;"",$I226="○"),
  (
    "mkdir """&amp;V226&amp;""" &amp; "
  )&amp;(
    """"&amp;shortcut設定!$F$7&amp;""""&amp;
    " """&amp;V226&amp;"\"&amp;$A226&amp;"（"&amp;$B226&amp;"）.lnk"""&amp;
    " """&amp;$C226&amp;""""&amp;
    IF($D226="-"," """""," """&amp;$D226&amp;"""")&amp;
    IF($E226="-"," """""," """&amp;$E226&amp;"""")
  ),
  ""
)</f>
        <v/>
      </c>
      <c r="U226" s="9" t="str">
        <f ca="1">IFERROR(
  VLOOKUP(
    $H226,
    shortcut設定!$F:$J,
    MATCH(
      "ProgramsIndex",
      shortcut設定!$F$12:$J$12,
      0
    ),
    FALSE
  ),
  ""
)</f>
        <v>200</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mkdir "%USERPROFILE%\AppData\Roaming\Microsoft\Windows\Start Menu\Programs\$QuickAccess" &amp; "C:\codes\vbs\command\CreateShortcutFile.vbs" "%USERPROFILE%\AppData\Roaming\Microsoft\Windows\Start Menu\Programs\$QuickAccess\sco（遅延退勤）.lnk" "C:\codes\vbs\tools\win\other\ScheduleClockOut.vbs" "" ""</v>
      </c>
      <c r="X226" s="14" t="str">
        <f>IF(
  AND($A226&lt;&gt;"",$J226&lt;&gt;"-",$J226&lt;&gt;""),
  shortcut設定!$F$4&amp;"\"&amp;shortcut設定!$F$8&amp;"\"&amp;$J226&amp;"（"&amp;$B226&amp;"）.lnk",
  ""
)</f>
        <v>%USERPROFILE%\AppData\Roaming\Microsoft\Windows\Start Menu\Programs\$QuickAccess\sco（遅延退勤）.lnk</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200</v>
      </c>
      <c r="AC226" s="20" t="str">
        <f t="shared" si="32"/>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3"/>
        <v/>
      </c>
      <c r="AH226" s="13" t="str">
        <f t="shared" si="34"/>
        <v/>
      </c>
      <c r="AI226" s="13" t="str">
        <f>IF(
  AND($A226&lt;&gt;"",$Q226&lt;&gt;"-",$Q226&lt;&gt;""),
  (
    """"&amp;shortcut設定!$F$7&amp;""""&amp;
    " """&amp;$Q226&amp;".lnk"""&amp;
    " """&amp;$C226&amp;""""&amp;
    IF($D226="-"," """""," """&amp;$D226&amp;"""")&amp;
    IF($E226="-"," """""," """&amp;$E226&amp;"""")
  ),
  ""
)</f>
        <v/>
      </c>
      <c r="AJ226" s="91" t="s">
        <v>174</v>
      </c>
    </row>
    <row r="227" spans="1:36">
      <c r="A227" s="9" t="s">
        <v>1584</v>
      </c>
      <c r="B227" s="9" t="s">
        <v>1585</v>
      </c>
      <c r="C227" s="9" t="s">
        <v>1583</v>
      </c>
      <c r="D227" s="15" t="s">
        <v>39</v>
      </c>
      <c r="E227" s="26" t="s">
        <v>39</v>
      </c>
      <c r="F227" s="15" t="s">
        <v>27</v>
      </c>
      <c r="G227" s="15" t="s">
        <v>0</v>
      </c>
      <c r="H227" s="9" t="s">
        <v>72</v>
      </c>
      <c r="I227" s="15" t="s">
        <v>0</v>
      </c>
      <c r="J227" s="15" t="s">
        <v>39</v>
      </c>
      <c r="K227" s="15" t="s">
        <v>39</v>
      </c>
      <c r="L227" s="93" t="s">
        <v>39</v>
      </c>
      <c r="M227" s="94" t="s">
        <v>39</v>
      </c>
      <c r="N227" s="15" t="s">
        <v>39</v>
      </c>
      <c r="O227" s="26" t="s">
        <v>39</v>
      </c>
      <c r="P227" s="157" t="s">
        <v>39</v>
      </c>
      <c r="Q227" s="26" t="s">
        <v>39</v>
      </c>
      <c r="R227" s="9" t="str">
        <f t="shared" ref="R227:R228" si="36">IF(
  AND(
    $A227&lt;&gt;"",
    COUNTIF(C:C,$A227)&gt;1
  ),
  "★NG★",
  ""
)</f>
        <v/>
      </c>
      <c r="S227" s="9" t="str">
        <f t="shared" ref="S227:S229" si="37">IF(
  OR(
    $H227="",
    $H227="-",
    COUNTIF(カテゴリ,$H227)&gt;0
  ),
  "",
  "★NG★"
)</f>
        <v/>
      </c>
      <c r="T227" s="13" t="str">
        <f ca="1">IF(
  AND($A227&lt;&gt;"",$I227="○"),
  (
    "mkdir """&amp;V227&amp;""" &amp; "
  )&amp;(
    """"&amp;shortcut設定!$F$7&amp;""""&amp;
    " """&amp;V227&amp;"\"&amp;$A227&amp;"（"&amp;$B227&amp;"）.lnk"""&amp;
    " """&amp;$C227&amp;""""&amp;
    IF($D227="-"," """""," """&amp;$D227&amp;"""")&amp;
    IF($E227="-"," """""," """&amp;$E227&amp;"""")
  ),
  ""
)</f>
        <v>mkdir "%USERPROFILE%\AppData\Roaming\Microsoft\Windows\Start Menu\Programs\171_Utility_System" &amp; "C:\codes\vbs\command\CreateShortcutFile.vbs" "%USERPROFILE%\AppData\Roaming\Microsoft\Windows\Start Menu\Programs\171_Utility_System\FILCOAssist（キー置き換え）.lnk" "C:\Program Files (x86)\FILCO Assist\FilcoAssistUI.exe" "" ""</v>
      </c>
      <c r="U227" s="9" t="str">
        <f ca="1">IFERROR(
  VLOOKUP(
    $H227,
    shortcut設定!$F:$J,
    MATCH(
      "ProgramsIndex",
      shortcut設定!$F$12:$J$12,
      0
    ),
    FALSE
  ),
  ""
)</f>
        <v>171</v>
      </c>
      <c r="V227" s="13" t="str">
        <f ca="1">IF(
  AND($A227&lt;&gt;"",$I227="○"),
  shortcut設定!$F$4&amp;"\"&amp;U227&amp;"_"&amp;H227,
  ""
)</f>
        <v>%USERPROFILE%\AppData\Roaming\Microsoft\Windows\Start Menu\Programs\171_Utility_System</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171</v>
      </c>
      <c r="AC227" s="20" t="str">
        <f t="shared" ref="AC227:AC229" si="38">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AG229" si="39">IF(
  AND($A227&lt;&gt;"",$O227&lt;&gt;"-",$O227&lt;&gt;""),
  (
    "schtasks /create /tn """&amp;$O227&amp;""" /tr """&amp;$C227&amp;""" /sc daily /st "&amp;$P227&amp;" /rl highest"
  ),
  ""
)</f>
        <v/>
      </c>
      <c r="AH227" s="13" t="str">
        <f t="shared" ref="AH227:AH229" si="40">IF(
  AND($A227&lt;&gt;"",$O227&lt;&gt;"-",$O227&lt;&gt;""),
  (
    "schtasks /delete /tn """&amp;$O227&amp;""""
  ),
  ""
)</f>
        <v/>
      </c>
      <c r="AI227" s="13" t="str">
        <f>IF(
  AND($A227&lt;&gt;"",$Q227&lt;&gt;"-",$Q227&lt;&gt;""),
  (
    """"&amp;shortcut設定!$F$7&amp;""""&amp;
    " """&amp;$Q227&amp;".lnk"""&amp;
    " """&amp;$C227&amp;""""&amp;
    IF($D227="-"," """""," """&amp;$D227&amp;"""")&amp;
    IF($E227="-"," """""," """&amp;$E227&amp;"""")
  ),
  ""
)</f>
        <v/>
      </c>
      <c r="AJ227" s="91" t="s">
        <v>174</v>
      </c>
    </row>
    <row r="228" spans="1:36">
      <c r="A228" s="9"/>
      <c r="B228" s="9"/>
      <c r="C228" s="9"/>
      <c r="D228" s="15"/>
      <c r="E228" s="26"/>
      <c r="F228" s="15"/>
      <c r="G228" s="15"/>
      <c r="H228" s="9"/>
      <c r="I228" s="15"/>
      <c r="J228" s="15"/>
      <c r="K228" s="15"/>
      <c r="L228" s="93"/>
      <c r="M228" s="94"/>
      <c r="N228" s="15"/>
      <c r="O228" s="26"/>
      <c r="P228" s="157"/>
      <c r="Q228" s="26"/>
      <c r="R228" s="9" t="str">
        <f t="shared" si="36"/>
        <v/>
      </c>
      <c r="S228" s="9" t="str">
        <f t="shared" si="37"/>
        <v/>
      </c>
      <c r="T228" s="13" t="str">
        <f>IF(
  AND($A228&lt;&gt;"",$I228="○"),
  (
    "mkdir """&amp;V228&amp;""" &amp; "
  )&amp;(
    """"&amp;shortcut設定!$F$7&amp;""""&amp;
    " """&amp;V228&amp;"\"&amp;$A228&amp;"（"&amp;$B228&amp;"）.lnk"""&amp;
    " """&amp;$C228&amp;""""&amp;
    IF($D228="-"," """""," """&amp;$D228&amp;"""")&amp;
    IF($E228="-"," """""," """&amp;$E228&amp;"""")
  ),
  ""
)</f>
        <v/>
      </c>
      <c r="U228" s="9" t="str">
        <f>IFERROR(
  VLOOKUP(
    $H228,
    shortcut設定!$F:$J,
    MATCH(
      "ProgramsIndex",
      shortcut設定!$F$12:$J$12,
      0
    ),
    FALSE
  ),
  ""
)</f>
        <v/>
      </c>
      <c r="V228" s="13" t="str">
        <f>IF(
  AND($A228&lt;&gt;"",$I228="○"),
  shortcut設定!$F$4&amp;"\"&amp;U228&amp;"_"&amp;H228,
  ""
)</f>
        <v/>
      </c>
      <c r="W228" s="13" t="str">
        <f>IF(
  AND($A228&lt;&gt;"",$J228&lt;&gt;"-",$J228&lt;&gt;""),
  (
    "mkdir """&amp;shortcut設定!$F$4&amp;"\"&amp;shortcut設定!$F$8&amp;""" &amp; "
  )&amp;(
    """"&amp;shortcut設定!$F$7&amp;""""&amp;
    " """&amp;$X228&amp;""""&amp;
    " """&amp;$C228&amp;""""&amp;
    IF($D228="-"," """""," """&amp;$D228&amp;"""")&amp;
    IF($E228="-"," """""," """&amp;$E228&amp;"""")
  ),
  ""
)</f>
        <v/>
      </c>
      <c r="X228" s="14" t="str">
        <f>IF(
  AND($A228&lt;&gt;"",$J228&lt;&gt;"-",$J228&lt;&gt;""),
  shortcut設定!$F$4&amp;"\"&amp;shortcut設定!$F$8&amp;"\"&amp;$J228&amp;"（"&amp;$B228&amp;"）.lnk",
  ""
)</f>
        <v/>
      </c>
      <c r="Y228" s="13" t="str">
        <f>IF(
  AND($A228&lt;&gt;"",$K228&lt;&gt;"-",$K228&lt;&gt;""),
  (
    "mkdir """&amp;shortcut設定!$F$4&amp;"\"&amp;shortcut設定!$F$9&amp;""" &amp; "
  )&amp;(
    """"&amp;shortcut設定!$F$7&amp;""""&amp;
    " """&amp;$Z228&amp;""""&amp;
    " """&amp;$C228&amp;""""&amp;
    IF($D228="-"," """""," """&amp;$D228&amp;"""")&amp;
    IF($E228="-"," """""," """&amp;$E228&amp;"""")&amp;
    IF($K228="-"," """""," """&amp;$K228&amp;"""")
  ),
  ""
)</f>
        <v/>
      </c>
      <c r="Z228" s="14" t="str">
        <f>IF(
  AND($A228&lt;&gt;"",$K228&lt;&gt;"-",$K228&lt;&gt;""),
  shortcut設定!$F$4&amp;"\"&amp;shortcut設定!$F$9&amp;"\"&amp;$A228&amp;"（"&amp;$B228&amp;"）.lnk",
  ""
)</f>
        <v/>
      </c>
      <c r="AA228" s="13" t="str">
        <f>IF(
  AND($A228&lt;&gt;"",$L228&lt;&gt;"-",$L228&lt;&gt;""),
  (
    """"&amp;shortcut設定!$F$7&amp;""""&amp;
    " """&amp;$AD228&amp;""""&amp;
    " """&amp;$C228&amp;""""&amp;
    IF($D228="-"," """""," """&amp;$D228&amp;"""")&amp;
    IF($E228="-"," """""," """&amp;$E228&amp;"""")
  ),
  ""
)</f>
        <v/>
      </c>
      <c r="AB228" s="9" t="str">
        <f>IFERROR(
  VLOOKUP(
    $H228,
    shortcut設定!$F:$J,
    MATCH(
      "ProgramsIndex",
      shortcut設定!$F$12:$J$12,
      0
    ),
    FALSE
  ),
  ""
)</f>
        <v/>
      </c>
      <c r="AC228" s="20" t="str">
        <f t="shared" si="38"/>
        <v/>
      </c>
      <c r="AD228" s="13" t="str">
        <f>IF(
  AND($A228&lt;&gt;"",$L228="○"),
  shortcut設定!$F$5&amp;"\"&amp;AB228&amp;"_"&amp;A228&amp;"（"&amp;B228&amp;"）"&amp;AC228&amp;".lnk",
  ""
)</f>
        <v/>
      </c>
      <c r="AE228" s="13" t="str">
        <f>IF(
  AND($A228&lt;&gt;"",$N228="○"),
  (
    """"&amp;shortcut設定!$F$7&amp;""""&amp;
    " """&amp;$AF228&amp;""""&amp;
    " """&amp;$C228&amp;""""&amp;
    IF($D228="-"," """""," """&amp;$D228&amp;"""")&amp;
    IF($E228="-"," """""," """&amp;$E228&amp;"""")
  ),
  ""
)</f>
        <v/>
      </c>
      <c r="AF228" s="9" t="str">
        <f>IF(
  AND($A228&lt;&gt;"",$N228="○"),
  shortcut設定!$F$6&amp;"\"&amp;A228&amp;"（"&amp;B228&amp;"）.lnk",
  ""
)</f>
        <v/>
      </c>
      <c r="AG228" s="13" t="str">
        <f t="shared" si="39"/>
        <v/>
      </c>
      <c r="AH228" s="13" t="str">
        <f t="shared" si="40"/>
        <v/>
      </c>
      <c r="AI228" s="13" t="str">
        <f>IF(
  AND($A228&lt;&gt;"",$Q228&lt;&gt;"-",$Q228&lt;&gt;""),
  (
    """"&amp;shortcut設定!$F$7&amp;""""&amp;
    " """&amp;$Q228&amp;".lnk"""&amp;
    " """&amp;$C228&amp;""""&amp;
    IF($D228="-"," """""," """&amp;$D228&amp;"""")&amp;
    IF($E228="-"," """""," """&amp;$E228&amp;"""")
  ),
  ""
)</f>
        <v/>
      </c>
      <c r="AJ228" s="91" t="s">
        <v>174</v>
      </c>
    </row>
    <row r="229" spans="1:36">
      <c r="A229" s="9"/>
      <c r="B229" s="9"/>
      <c r="C229" s="9"/>
      <c r="D229" s="15"/>
      <c r="E229" s="26"/>
      <c r="F229" s="15"/>
      <c r="G229" s="15"/>
      <c r="H229" s="9"/>
      <c r="I229" s="15"/>
      <c r="J229" s="15"/>
      <c r="K229" s="15"/>
      <c r="L229" s="93"/>
      <c r="M229" s="94"/>
      <c r="N229" s="15"/>
      <c r="O229" s="26"/>
      <c r="P229" s="157"/>
      <c r="Q229" s="26"/>
      <c r="R229" s="9" t="str">
        <f>IF(
  AND(
    $A229&lt;&gt;"",
    COUNTIF(C:C,$A229)&gt;1
  ),
  "★NG★",
  ""
)</f>
        <v/>
      </c>
      <c r="S229" s="9" t="str">
        <f t="shared" si="37"/>
        <v/>
      </c>
      <c r="T229" s="13" t="str">
        <f>IF(
  AND($A229&lt;&gt;"",$I229="○"),
  (
    "mkdir """&amp;V229&amp;""" &amp; "
  )&amp;(
    """"&amp;shortcut設定!$F$7&amp;""""&amp;
    " """&amp;V229&amp;"\"&amp;$A229&amp;"（"&amp;$B229&amp;"）.lnk"""&amp;
    " """&amp;$C229&amp;""""&amp;
    IF($D229="-"," """""," """&amp;$D229&amp;"""")&amp;
    IF($E229="-"," """""," """&amp;$E229&amp;"""")
  ),
  ""
)</f>
        <v/>
      </c>
      <c r="U229" s="9" t="str">
        <f>IFERROR(
  VLOOKUP(
    $H229,
    shortcut設定!$F:$J,
    MATCH(
      "ProgramsIndex",
      shortcut設定!$F$12:$J$12,
      0
    ),
    FALSE
  ),
  ""
)</f>
        <v/>
      </c>
      <c r="V229" s="13" t="str">
        <f>IF(
  AND($A229&lt;&gt;"",$I229="○"),
  shortcut設定!$F$4&amp;"\"&amp;U229&amp;"_"&amp;H229,
  ""
)</f>
        <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IFERROR(
  VLOOKUP(
    $H229,
    shortcut設定!$F:$J,
    MATCH(
      "ProgramsIndex",
      shortcut設定!$F$12:$J$12,
      0
    ),
    FALSE
  ),
  ""
)</f>
        <v/>
      </c>
      <c r="AC229" s="20" t="str">
        <f t="shared" si="38"/>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si="39"/>
        <v/>
      </c>
      <c r="AH229" s="13" t="str">
        <f t="shared" si="40"/>
        <v/>
      </c>
      <c r="AI229" s="13" t="str">
        <f>IF(
  AND($A229&lt;&gt;"",$Q229&lt;&gt;"-",$Q229&lt;&gt;""),
  (
    """"&amp;shortcut設定!$F$7&amp;""""&amp;
    " """&amp;$Q229&amp;".lnk"""&amp;
    " """&amp;$C229&amp;""""&amp;
    IF($D229="-"," """""," """&amp;$D229&amp;"""")&amp;
    IF($E229="-"," """""," """&amp;$E229&amp;"""")
  ),
  ""
)</f>
        <v/>
      </c>
      <c r="AJ229" s="91" t="s">
        <v>174</v>
      </c>
    </row>
    <row r="230" spans="1:36" ht="1.5" customHeight="1">
      <c r="A230" s="16"/>
      <c r="B230" s="16"/>
      <c r="C230" s="16"/>
      <c r="D230" s="16"/>
      <c r="E230" s="16"/>
      <c r="F230" s="16"/>
      <c r="G230" s="16"/>
      <c r="H230" s="16"/>
      <c r="I230" s="16"/>
      <c r="J230" s="16"/>
      <c r="K230" s="16"/>
      <c r="L230" s="17"/>
      <c r="M230" s="18"/>
      <c r="N230" s="16"/>
      <c r="O230" s="16"/>
      <c r="P230" s="158"/>
      <c r="Q230" s="96"/>
      <c r="R230" s="16"/>
      <c r="S230" s="16"/>
      <c r="T230" s="17"/>
      <c r="U230" s="16"/>
      <c r="V230" s="17"/>
      <c r="W230" s="17"/>
      <c r="X230" s="18"/>
      <c r="Y230" s="17"/>
      <c r="Z230" s="18"/>
      <c r="AA230" s="17"/>
      <c r="AB230" s="16"/>
      <c r="AC230" s="90"/>
      <c r="AD230" s="17"/>
      <c r="AE230" s="17"/>
      <c r="AF230" s="16"/>
      <c r="AG230" s="17"/>
      <c r="AH230" s="17"/>
      <c r="AI230" s="17"/>
      <c r="AJ230" s="91" t="s">
        <v>174</v>
      </c>
    </row>
    <row r="232" spans="1:36">
      <c r="A232" s="9" t="s">
        <v>648</v>
      </c>
      <c r="B232" s="9" t="s">
        <v>785</v>
      </c>
      <c r="C232" s="9" t="s">
        <v>161</v>
      </c>
      <c r="D232" s="15" t="s">
        <v>39</v>
      </c>
      <c r="E232" s="26" t="s">
        <v>39</v>
      </c>
      <c r="F232" s="15" t="s">
        <v>166</v>
      </c>
      <c r="G232" s="15" t="s">
        <v>149</v>
      </c>
      <c r="H232" s="9" t="s">
        <v>79</v>
      </c>
      <c r="I232" s="15" t="s">
        <v>841</v>
      </c>
      <c r="J232" s="15" t="s">
        <v>64</v>
      </c>
      <c r="K232" s="15" t="s">
        <v>64</v>
      </c>
      <c r="L232" s="93" t="s">
        <v>64</v>
      </c>
      <c r="M232" s="94" t="s">
        <v>545</v>
      </c>
      <c r="N232" s="15" t="s">
        <v>64</v>
      </c>
      <c r="O232" s="26" t="s">
        <v>1230</v>
      </c>
      <c r="P232" s="157" t="s">
        <v>1230</v>
      </c>
      <c r="Q232" s="26" t="s">
        <v>935</v>
      </c>
      <c r="R232" s="9" t="str">
        <f t="shared" ref="R232:R237" si="41">IF(
  AND(
    $A232&lt;&gt;"",
    COUNTIF(C:C,$A232)&gt;1
  ),
  "★NG★",
  ""
)</f>
        <v/>
      </c>
      <c r="S232" s="9" t="str">
        <f t="shared" ref="S232:S237" si="42">IF(
  OR(
    $H232="",
    $H232="-",
    COUNTIF(カテゴリ,$H232)&gt;0
  ),
  "",
  "★NG★"
)</f>
        <v/>
      </c>
      <c r="T232" s="13" t="str">
        <f ca="1">IF(
  AND($A232&lt;&gt;"",$I232="○"),
  (
    "mkdir """&amp;V232&amp;""" &amp; "
  )&amp;(
    """"&amp;shortcut設定!$F$7&amp;""""&amp;
    " """&amp;V232&amp;"\"&amp;$A232&amp;"（"&amp;$B232&amp;"）.lnk"""&amp;
    " """&amp;$C232&amp;""""&amp;
    IF($D232="-"," """""," """&amp;$D232&amp;"""")&amp;
    IF($E232="-"," """""," """&amp;$E232&amp;"""")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2" s="9" t="str">
        <f ca="1">IFERROR(
  VLOOKUP(
    $H232,
    shortcut設定!$F:$J,
    MATCH(
      "ProgramsIndex",
      shortcut設定!$F$12:$J$12,
      0
    ),
    FALSE
  ),
  ""
)</f>
        <v>153</v>
      </c>
      <c r="V232" s="13" t="str">
        <f ca="1">IF(
  AND($A232&lt;&gt;"",$I232="○"),
  shortcut設定!$F$4&amp;"\"&amp;U232&amp;"_"&amp;H232,
  ""
)</f>
        <v>%USERPROFILE%\AppData\Roaming\Microsoft\Windows\Start Menu\Programs\153_Picture_Edit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153</v>
      </c>
      <c r="AC232" s="20" t="str">
        <f t="shared" ref="AC232:AC237" si="43">IF(AND($M232&lt;&gt;"",$M232&lt;&gt;"-")," (&amp;"&amp;$M232&amp;")","")</f>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ref="AG232:AG237" si="44">IF(
  AND($A232&lt;&gt;"",$O232&lt;&gt;"-",$O232&lt;&gt;""),
  (
    "schtasks /create /tn """&amp;$O232&amp;""" /tr """&amp;$C232&amp;""" /sc daily /st "&amp;$P232&amp;" /rl highest"
  ),
  ""
)</f>
        <v/>
      </c>
      <c r="AH232" s="13" t="str">
        <f t="shared" ref="AH232:AH237" si="45">IF(
  AND($A232&lt;&gt;"",$O232&lt;&gt;"-",$O232&lt;&gt;""),
  (
    "schtasks /delete /tn """&amp;$O232&amp;""""
  ),
  ""
)</f>
        <v/>
      </c>
      <c r="AI232" s="13" t="str">
        <f>IF(
  AND($A232&lt;&gt;"",$Q232&lt;&gt;"-",$Q232&lt;&gt;""),
  (
    """"&amp;shortcut設定!$F$7&amp;""""&amp;
    " """&amp;$Q232&amp;".lnk"""&amp;
    " """&amp;$C232&amp;""""&amp;
    IF($D232="-"," """""," """&amp;$D232&amp;"""")&amp;
    IF($E232="-"," """""," """&amp;$E232&amp;"""")
  ),
  ""
)</f>
        <v/>
      </c>
      <c r="AJ232" s="91" t="s">
        <v>174</v>
      </c>
    </row>
    <row r="233" spans="1:36">
      <c r="A233" s="9" t="s">
        <v>649</v>
      </c>
      <c r="B233" s="9" t="s">
        <v>786</v>
      </c>
      <c r="C233" s="9" t="s">
        <v>162</v>
      </c>
      <c r="D233" s="15" t="s">
        <v>39</v>
      </c>
      <c r="E233" s="26" t="s">
        <v>39</v>
      </c>
      <c r="F233" s="15" t="s">
        <v>149</v>
      </c>
      <c r="G233" s="15" t="s">
        <v>166</v>
      </c>
      <c r="H233" s="9" t="s">
        <v>69</v>
      </c>
      <c r="I233" s="15" t="s">
        <v>841</v>
      </c>
      <c r="J233" s="15" t="s">
        <v>64</v>
      </c>
      <c r="K233" s="15" t="s">
        <v>64</v>
      </c>
      <c r="L233" s="93" t="s">
        <v>64</v>
      </c>
      <c r="M233" s="94" t="s">
        <v>545</v>
      </c>
      <c r="N233" s="15" t="s">
        <v>64</v>
      </c>
      <c r="O233" s="26" t="s">
        <v>1230</v>
      </c>
      <c r="P233" s="157" t="s">
        <v>1230</v>
      </c>
      <c r="Q233" s="26" t="s">
        <v>935</v>
      </c>
      <c r="R233" s="9" t="str">
        <f t="shared" si="41"/>
        <v/>
      </c>
      <c r="S233" s="9" t="str">
        <f t="shared" si="42"/>
        <v/>
      </c>
      <c r="T233" s="13" t="str">
        <f ca="1">IF(
  AND($A233&lt;&gt;"",$I233="○"),
  (
    "mkdir """&amp;V233&amp;""" &amp; "
  )&amp;(
    """"&amp;shortcut設定!$F$7&amp;""""&amp;
    " """&amp;V233&amp;"\"&amp;$A233&amp;"（"&amp;$B233&amp;"）.lnk"""&amp;
    " """&amp;$C233&amp;""""&amp;
    IF($D233="-"," """""," """&amp;$D233&amp;"""")&amp;
    IF($E233="-"," """""," """&amp;$E233&amp;"""")
  ),
  ""
)</f>
        <v>mkdir "%USERPROFILE%\AppData\Roaming\Microsoft\Windows\Start Menu\Programs\161_Network_Global" &amp; "C:\codes\vbs\command\CreateShortcutFile.vbs" "%USERPROFILE%\AppData\Roaming\Microsoft\Windows\Start Menu\Programs\161_Network_Global\VcXsrv（X11サーバー）.lnk" "C:\prg\VcXsrv\xlaunch.exe" "" ""</v>
      </c>
      <c r="U233" s="9" t="str">
        <f ca="1">IFERROR(
  VLOOKUP(
    $H233,
    shortcut設定!$F:$J,
    MATCH(
      "ProgramsIndex",
      shortcut設定!$F$12:$J$12,
      0
    ),
    FALSE
  ),
  ""
)</f>
        <v>161</v>
      </c>
      <c r="V233" s="13" t="str">
        <f ca="1">IF(
  AND($A233&lt;&gt;"",$I233="○"),
  shortcut設定!$F$4&amp;"\"&amp;U233&amp;"_"&amp;H233,
  ""
)</f>
        <v>%USERPROFILE%\AppData\Roaming\Microsoft\Windows\Start Menu\Programs\161_Network_Global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161</v>
      </c>
      <c r="AC233" s="20" t="str">
        <f t="shared" si="43"/>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4"/>
        <v/>
      </c>
      <c r="AH233" s="13" t="str">
        <f t="shared" si="45"/>
        <v/>
      </c>
      <c r="AI233" s="13" t="str">
        <f>IF(
  AND($A233&lt;&gt;"",$Q233&lt;&gt;"-",$Q233&lt;&gt;""),
  (
    """"&amp;shortcut設定!$F$7&amp;""""&amp;
    " """&amp;$Q233&amp;".lnk"""&amp;
    " """&amp;$C233&amp;""""&amp;
    IF($D233="-"," """""," """&amp;$D233&amp;"""")&amp;
    IF($E233="-"," """""," """&amp;$E233&amp;"""")
  ),
  ""
)</f>
        <v/>
      </c>
      <c r="AJ233" s="91" t="s">
        <v>174</v>
      </c>
    </row>
    <row r="234" spans="1:36">
      <c r="A234" s="9" t="s">
        <v>1267</v>
      </c>
      <c r="B234" s="9" t="s">
        <v>1268</v>
      </c>
      <c r="C234" s="9" t="s">
        <v>1266</v>
      </c>
      <c r="D234" s="15" t="s">
        <v>39</v>
      </c>
      <c r="E234" s="26" t="s">
        <v>1269</v>
      </c>
      <c r="F234" s="15" t="s">
        <v>27</v>
      </c>
      <c r="G234" s="15" t="s">
        <v>0</v>
      </c>
      <c r="H234" s="9" t="s">
        <v>68</v>
      </c>
      <c r="I234" s="15" t="s">
        <v>0</v>
      </c>
      <c r="J234" s="15" t="s">
        <v>39</v>
      </c>
      <c r="K234" s="15" t="s">
        <v>39</v>
      </c>
      <c r="L234" s="93" t="s">
        <v>39</v>
      </c>
      <c r="M234" s="94" t="s">
        <v>39</v>
      </c>
      <c r="N234" s="15" t="s">
        <v>934</v>
      </c>
      <c r="O234" s="26" t="s">
        <v>39</v>
      </c>
      <c r="P234" s="157" t="s">
        <v>39</v>
      </c>
      <c r="Q234" s="26" t="s">
        <v>39</v>
      </c>
      <c r="R234" s="9" t="str">
        <f t="shared" si="41"/>
        <v/>
      </c>
      <c r="S234" s="9" t="str">
        <f t="shared" si="42"/>
        <v/>
      </c>
      <c r="T234" s="13" t="str">
        <f ca="1">IF(
  AND($A234&lt;&gt;"",$I234="○"),
  (
    "mkdir """&amp;V234&amp;""" &amp; "
  )&amp;(
    """"&amp;shortcut設定!$F$7&amp;""""&amp;
    " """&amp;V234&amp;"\"&amp;$A234&amp;"（"&amp;$B234&amp;"）.lnk"""&amp;
    " """&amp;$C234&amp;""""&amp;
    IF($D234="-"," """""," """&amp;$D234&amp;"""")&amp;
    IF($E234="-"," """""," """&amp;$E234&amp;"""")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4" s="9" t="str">
        <f ca="1">IFERROR(
  VLOOKUP(
    $H234,
    shortcut設定!$F:$J,
    MATCH(
      "ProgramsIndex",
      shortcut設定!$F$12:$J$12,
      0
    ),
    FALSE
  ),
  ""
)</f>
        <v>172</v>
      </c>
      <c r="V234" s="13" t="str">
        <f ca="1">IF(
  AND($A234&lt;&gt;"",$I234="○"),
  shortcut設定!$F$4&amp;"\"&amp;U234&amp;"_"&amp;H234,
  ""
)</f>
        <v>%USERPROFILE%\AppData\Roaming\Microsoft\Windows\Start Menu\Programs\172_Utility_Other</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172</v>
      </c>
      <c r="AC234" s="20" t="str">
        <f t="shared" si="43"/>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4"/>
        <v/>
      </c>
      <c r="AH234" s="13" t="str">
        <f t="shared" si="45"/>
        <v/>
      </c>
      <c r="AI234" s="13" t="str">
        <f>IF(
  AND($A234&lt;&gt;"",$Q234&lt;&gt;"-",$Q234&lt;&gt;""),
  (
    """"&amp;shortcut設定!$F$7&amp;""""&amp;
    " """&amp;$Q234&amp;".lnk"""&amp;
    " """&amp;$C234&amp;""""&amp;
    IF($D234="-"," """""," """&amp;$D234&amp;"""")&amp;
    IF($E234="-"," """""," """&amp;$E234&amp;"""")
  ),
  ""
)</f>
        <v/>
      </c>
      <c r="AJ234" s="91" t="s">
        <v>174</v>
      </c>
    </row>
    <row r="235" spans="1:36">
      <c r="A235" s="9" t="s">
        <v>54</v>
      </c>
      <c r="B235" s="9" t="s">
        <v>783</v>
      </c>
      <c r="C235" s="9" t="s">
        <v>93</v>
      </c>
      <c r="D235" s="15" t="s">
        <v>39</v>
      </c>
      <c r="E235" s="26" t="s">
        <v>39</v>
      </c>
      <c r="F235" s="15" t="s">
        <v>166</v>
      </c>
      <c r="G235" s="15" t="s">
        <v>149</v>
      </c>
      <c r="H235" s="9" t="s">
        <v>82</v>
      </c>
      <c r="I235" s="15" t="s">
        <v>841</v>
      </c>
      <c r="J235" s="15" t="s">
        <v>64</v>
      </c>
      <c r="K235" s="15" t="s">
        <v>64</v>
      </c>
      <c r="L235" s="93" t="s">
        <v>64</v>
      </c>
      <c r="M235" s="94" t="s">
        <v>545</v>
      </c>
      <c r="N235" s="15" t="s">
        <v>64</v>
      </c>
      <c r="O235" s="26" t="s">
        <v>1230</v>
      </c>
      <c r="P235" s="157" t="s">
        <v>1230</v>
      </c>
      <c r="Q235" s="26" t="s">
        <v>935</v>
      </c>
      <c r="R235" s="9" t="str">
        <f t="shared" si="41"/>
        <v/>
      </c>
      <c r="S235" s="9" t="str">
        <f t="shared" si="42"/>
        <v/>
      </c>
      <c r="T235" s="13" t="str">
        <f ca="1">IF(
  AND($A235&lt;&gt;"",$I235="○"),
  (
    "mkdir """&amp;V235&amp;""" &amp; "
  )&amp;(
    """"&amp;shortcut設定!$F$7&amp;""""&amp;
    " """&amp;V235&amp;"\"&amp;$A235&amp;"（"&amp;$B235&amp;"）.lnk"""&amp;
    " """&amp;$C235&amp;""""&amp;
    IF($D235="-"," """""," """&amp;$D235&amp;"""")&amp;
    IF($E235="-"," """""," """&amp;$E235&amp;"""")
  ),
  ""
)</f>
        <v>mkdir "%USERPROFILE%\AppData\Roaming\Microsoft\Windows\Start Menu\Programs\143_Movie_Edit" &amp; "C:\codes\vbs\command\CreateShortcutFile.vbs" "%USERPROFILE%\AppData\Roaming\Microsoft\Windows\Start Menu\Programs\143_Movie_Edit\DVD Shrink（DVDリッピング）.lnk" "C:\prg\DVD Shrink\DVD Shrink 3.2.exe" "" ""</v>
      </c>
      <c r="U235" s="9" t="str">
        <f ca="1">IFERROR(
  VLOOKUP(
    $H235,
    shortcut設定!$F:$J,
    MATCH(
      "ProgramsIndex",
      shortcut設定!$F$12:$J$12,
      0
    ),
    FALSE
  ),
  ""
)</f>
        <v>143</v>
      </c>
      <c r="V235" s="13" t="str">
        <f ca="1">IF(
  AND($A235&lt;&gt;"",$I235="○"),
  shortcut設定!$F$4&amp;"\"&amp;U235&amp;"_"&amp;H235,
  ""
)</f>
        <v>%USERPROFILE%\AppData\Roaming\Microsoft\Windows\Start Menu\Programs\143_Movie_Edit</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143</v>
      </c>
      <c r="AC235" s="20" t="str">
        <f t="shared" si="43"/>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44"/>
        <v/>
      </c>
      <c r="AH235" s="13" t="str">
        <f t="shared" si="45"/>
        <v/>
      </c>
      <c r="AI235" s="13" t="str">
        <f>IF(
  AND($A235&lt;&gt;"",$Q235&lt;&gt;"-",$Q235&lt;&gt;""),
  (
    """"&amp;shortcut設定!$F$7&amp;""""&amp;
    " """&amp;$Q235&amp;".lnk"""&amp;
    " """&amp;$C235&amp;""""&amp;
    IF($D235="-"," """""," """&amp;$D235&amp;"""")&amp;
    IF($E235="-"," """""," """&amp;$E235&amp;"""")
  ),
  ""
)</f>
        <v/>
      </c>
      <c r="AJ235" s="91" t="s">
        <v>174</v>
      </c>
    </row>
    <row r="236" spans="1:36">
      <c r="A236" s="9" t="s">
        <v>646</v>
      </c>
      <c r="B236" s="9" t="s">
        <v>781</v>
      </c>
      <c r="C236" s="9" t="s">
        <v>156</v>
      </c>
      <c r="D236" s="15" t="s">
        <v>39</v>
      </c>
      <c r="E236" s="26" t="s">
        <v>39</v>
      </c>
      <c r="F236" s="15" t="s">
        <v>166</v>
      </c>
      <c r="G236" s="15" t="s">
        <v>149</v>
      </c>
      <c r="H236" s="9" t="s">
        <v>85</v>
      </c>
      <c r="I236" s="15" t="s">
        <v>841</v>
      </c>
      <c r="J236" s="15" t="s">
        <v>64</v>
      </c>
      <c r="K236" s="15" t="s">
        <v>64</v>
      </c>
      <c r="L236" s="93" t="s">
        <v>64</v>
      </c>
      <c r="M236" s="94" t="s">
        <v>545</v>
      </c>
      <c r="N236" s="15" t="s">
        <v>64</v>
      </c>
      <c r="O236" s="26" t="s">
        <v>1230</v>
      </c>
      <c r="P236" s="157" t="s">
        <v>1230</v>
      </c>
      <c r="Q236" s="26" t="s">
        <v>935</v>
      </c>
      <c r="R236" s="9" t="str">
        <f t="shared" si="41"/>
        <v/>
      </c>
      <c r="S236" s="9" t="str">
        <f t="shared" si="42"/>
        <v/>
      </c>
      <c r="T236" s="13" t="str">
        <f ca="1">IF(
  AND($A236&lt;&gt;"",$I236="○"),
  (
    "mkdir """&amp;V236&amp;""" &amp; "
  )&amp;(
    """"&amp;shortcut設定!$F$7&amp;""""&amp;
    " """&amp;V236&amp;"\"&amp;$A236&amp;"（"&amp;$B236&amp;"）.lnk"""&amp;
    " """&amp;$C236&amp;""""&amp;
    IF($D236="-"," """""," """&amp;$D236&amp;"""")&amp;
    IF($E236="-"," """""," """&amp;$E236&amp;"""")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6" s="9" t="str">
        <f ca="1">IFERROR(
  VLOOKUP(
    $H236,
    shortcut設定!$F:$J,
    MATCH(
      "ProgramsIndex",
      shortcut設定!$F$12:$J$12,
      0
    ),
    FALSE
  ),
  ""
)</f>
        <v>162</v>
      </c>
      <c r="V236" s="13" t="str">
        <f ca="1">IF(
  AND($A236&lt;&gt;"",$I236="○"),
  shortcut設定!$F$4&amp;"\"&amp;U236&amp;"_"&amp;H236,
  ""
)</f>
        <v>%USERPROFILE%\AppData\Roaming\Microsoft\Windows\Start Menu\Programs\162_Network_Local</v>
      </c>
      <c r="W236" s="13" t="str">
        <f>IF(
  AND($A236&lt;&gt;"",$J236&lt;&gt;"-",$J236&lt;&gt;""),
  (
    "mkdir """&amp;shortcut設定!$F$4&amp;"\"&amp;shortcut設定!$F$8&amp;""" &amp; "
  )&amp;(
    """"&amp;shortcut設定!$F$7&amp;""""&amp;
    " """&amp;$X236&amp;""""&amp;
    " """&amp;$C236&amp;""""&amp;
    IF($D236="-"," """""," """&amp;$D236&amp;"""")&amp;
    IF($E236="-"," """""," """&amp;$E236&amp;"""")
  ),
  ""
)</f>
        <v/>
      </c>
      <c r="X236" s="14" t="str">
        <f>IF(
  AND($A236&lt;&gt;"",$J236&lt;&gt;"-",$J236&lt;&gt;""),
  shortcut設定!$F$4&amp;"\"&amp;shortcut設定!$F$8&amp;"\"&amp;$J236&amp;"（"&amp;$B236&amp;"）.lnk",
  ""
)</f>
        <v/>
      </c>
      <c r="Y236" s="13" t="str">
        <f>IF(
  AND($A236&lt;&gt;"",$K236&lt;&gt;"-",$K236&lt;&gt;""),
  (
    "mkdir """&amp;shortcut設定!$F$4&amp;"\"&amp;shortcut設定!$F$9&amp;""" &amp; "
  )&amp;(
    """"&amp;shortcut設定!$F$7&amp;""""&amp;
    " """&amp;$Z236&amp;""""&amp;
    " """&amp;$C236&amp;""""&amp;
    IF($D236="-"," """""," """&amp;$D236&amp;"""")&amp;
    IF($E236="-"," """""," """&amp;$E236&amp;"""")&amp;
    IF($K236="-"," """""," """&amp;$K236&amp;"""")
  ),
  ""
)</f>
        <v/>
      </c>
      <c r="Z236" s="14" t="str">
        <f>IF(
  AND($A236&lt;&gt;"",$K236&lt;&gt;"-",$K236&lt;&gt;""),
  shortcut設定!$F$4&amp;"\"&amp;shortcut設定!$F$9&amp;"\"&amp;$A236&amp;"（"&amp;$B236&amp;"）.lnk",
  ""
)</f>
        <v/>
      </c>
      <c r="AA236" s="13" t="str">
        <f>IF(
  AND($A236&lt;&gt;"",$L236&lt;&gt;"-",$L236&lt;&gt;""),
  (
    """"&amp;shortcut設定!$F$7&amp;""""&amp;
    " """&amp;$AD236&amp;""""&amp;
    " """&amp;$C236&amp;""""&amp;
    IF($D236="-"," """""," """&amp;$D236&amp;"""")&amp;
    IF($E236="-"," """""," """&amp;$E236&amp;"""")
  ),
  ""
)</f>
        <v/>
      </c>
      <c r="AB236" s="9" t="str">
        <f ca="1">IFERROR(
  VLOOKUP(
    $H236,
    shortcut設定!$F:$J,
    MATCH(
      "ProgramsIndex",
      shortcut設定!$F$12:$J$12,
      0
    ),
    FALSE
  ),
  ""
)</f>
        <v>162</v>
      </c>
      <c r="AC236" s="20" t="str">
        <f t="shared" si="43"/>
        <v/>
      </c>
      <c r="AD236" s="13" t="str">
        <f>IF(
  AND($A236&lt;&gt;"",$L236="○"),
  shortcut設定!$F$5&amp;"\"&amp;AB236&amp;"_"&amp;A236&amp;"（"&amp;B236&amp;"）"&amp;AC236&amp;".lnk",
  ""
)</f>
        <v/>
      </c>
      <c r="AE236" s="13" t="str">
        <f>IF(
  AND($A236&lt;&gt;"",$N236="○"),
  (
    """"&amp;shortcut設定!$F$7&amp;""""&amp;
    " """&amp;$AF236&amp;""""&amp;
    " """&amp;$C236&amp;""""&amp;
    IF($D236="-"," """""," """&amp;$D236&amp;"""")&amp;
    IF($E236="-"," """""," """&amp;$E236&amp;"""")
  ),
  ""
)</f>
        <v/>
      </c>
      <c r="AF236" s="9" t="str">
        <f>IF(
  AND($A236&lt;&gt;"",$N236="○"),
  shortcut設定!$F$6&amp;"\"&amp;A236&amp;"（"&amp;B236&amp;"）.lnk",
  ""
)</f>
        <v/>
      </c>
      <c r="AG236" s="13" t="str">
        <f t="shared" si="44"/>
        <v/>
      </c>
      <c r="AH236" s="13" t="str">
        <f t="shared" si="45"/>
        <v/>
      </c>
      <c r="AI236" s="13" t="str">
        <f>IF(
  AND($A236&lt;&gt;"",$Q236&lt;&gt;"-",$Q236&lt;&gt;""),
  (
    """"&amp;shortcut設定!$F$7&amp;""""&amp;
    " """&amp;$Q236&amp;".lnk"""&amp;
    " """&amp;$C236&amp;""""&amp;
    IF($D236="-"," """""," """&amp;$D236&amp;"""")&amp;
    IF($E236="-"," """""," """&amp;$E236&amp;"""")
  ),
  ""
)</f>
        <v/>
      </c>
      <c r="AJ236" s="91" t="s">
        <v>174</v>
      </c>
    </row>
    <row r="237" spans="1:36">
      <c r="A237" s="9" t="s">
        <v>1153</v>
      </c>
      <c r="B237" s="9" t="s">
        <v>1154</v>
      </c>
      <c r="C237" s="9" t="s">
        <v>1152</v>
      </c>
      <c r="D237" s="15" t="s">
        <v>934</v>
      </c>
      <c r="E237" s="26" t="s">
        <v>39</v>
      </c>
      <c r="F237" s="15" t="s">
        <v>27</v>
      </c>
      <c r="G237" s="15" t="s">
        <v>0</v>
      </c>
      <c r="H237" s="9" t="s">
        <v>69</v>
      </c>
      <c r="I237" s="15" t="s">
        <v>0</v>
      </c>
      <c r="J237" s="15" t="s">
        <v>934</v>
      </c>
      <c r="K237" s="15" t="s">
        <v>934</v>
      </c>
      <c r="L237" s="93" t="s">
        <v>934</v>
      </c>
      <c r="M237" s="94" t="s">
        <v>934</v>
      </c>
      <c r="N237" s="15" t="s">
        <v>934</v>
      </c>
      <c r="O237" s="26" t="s">
        <v>1230</v>
      </c>
      <c r="P237" s="157" t="s">
        <v>1230</v>
      </c>
      <c r="Q237" s="26" t="s">
        <v>39</v>
      </c>
      <c r="R237" s="9" t="str">
        <f t="shared" si="41"/>
        <v/>
      </c>
      <c r="S237" s="9" t="str">
        <f t="shared" si="42"/>
        <v/>
      </c>
      <c r="T237" s="13" t="str">
        <f ca="1">IF(
  AND($A237&lt;&gt;"",$I237="○"),
  (
    "mkdir """&amp;V237&amp;""" &amp; "
  )&amp;(
    """"&amp;shortcut設定!$F$7&amp;""""&amp;
    " """&amp;V237&amp;"\"&amp;$A237&amp;"（"&amp;$B237&amp;"）.lnk"""&amp;
    " """&amp;$C237&amp;""""&amp;
    IF($D237="-"," """""," """&amp;$D237&amp;"""")&amp;
    IF($E237="-"," """""," """&amp;$E237&amp;"""")
  ),
  ""
)</f>
        <v>mkdir "%USERPROFILE%\AppData\Roaming\Microsoft\Windows\Start Menu\Programs\161_Network_Global" &amp; "C:\codes\vbs\command\CreateShortcutFile.vbs" "%USERPROFILE%\AppData\Roaming\Microsoft\Windows\Start Menu\Programs\161_Network_Global\Steam（ゲーム）.lnk" "C:\prg\Steam\steam.exe" "" ""</v>
      </c>
      <c r="U237" s="9" t="str">
        <f ca="1">IFERROR(
  VLOOKUP(
    $H237,
    shortcut設定!$F:$J,
    MATCH(
      "ProgramsIndex",
      shortcut設定!$F$12:$J$12,
      0
    ),
    FALSE
  ),
  ""
)</f>
        <v>161</v>
      </c>
      <c r="V237" s="13" t="str">
        <f ca="1">IF(
  AND($A237&lt;&gt;"",$I237="○"),
  shortcut設定!$F$4&amp;"\"&amp;U237&amp;"_"&amp;H237,
  ""
)</f>
        <v>%USERPROFILE%\AppData\Roaming\Microsoft\Windows\Start Menu\Programs\161_Network_Global</v>
      </c>
      <c r="W237" s="13" t="str">
        <f>IF(
  AND($A237&lt;&gt;"",$J237&lt;&gt;"-",$J237&lt;&gt;""),
  (
    "mkdir """&amp;shortcut設定!$F$4&amp;"\"&amp;shortcut設定!$F$8&amp;""" &amp; "
  )&amp;(
    """"&amp;shortcut設定!$F$7&amp;""""&amp;
    " """&amp;$X237&amp;""""&amp;
    " """&amp;$C237&amp;""""&amp;
    IF($D237="-"," """""," """&amp;$D237&amp;"""")&amp;
    IF($E237="-"," """""," """&amp;$E237&amp;"""")
  ),
  ""
)</f>
        <v/>
      </c>
      <c r="X237" s="14" t="str">
        <f>IF(
  AND($A237&lt;&gt;"",$J237&lt;&gt;"-",$J237&lt;&gt;""),
  shortcut設定!$F$4&amp;"\"&amp;shortcut設定!$F$8&amp;"\"&amp;$J237&amp;"（"&amp;$B237&amp;"）.lnk",
  ""
)</f>
        <v/>
      </c>
      <c r="Y237" s="13" t="str">
        <f>IF(
  AND($A237&lt;&gt;"",$K237&lt;&gt;"-",$K237&lt;&gt;""),
  (
    "mkdir """&amp;shortcut設定!$F$4&amp;"\"&amp;shortcut設定!$F$9&amp;""" &amp; "
  )&amp;(
    """"&amp;shortcut設定!$F$7&amp;""""&amp;
    " """&amp;$Z237&amp;""""&amp;
    " """&amp;$C237&amp;""""&amp;
    IF($D237="-"," """""," """&amp;$D237&amp;"""")&amp;
    IF($E237="-"," """""," """&amp;$E237&amp;"""")&amp;
    IF($K237="-"," """""," """&amp;$K237&amp;"""")
  ),
  ""
)</f>
        <v/>
      </c>
      <c r="Z237" s="14" t="str">
        <f>IF(
  AND($A237&lt;&gt;"",$K237&lt;&gt;"-",$K237&lt;&gt;""),
  shortcut設定!$F$4&amp;"\"&amp;shortcut設定!$F$9&amp;"\"&amp;$A237&amp;"（"&amp;$B237&amp;"）.lnk",
  ""
)</f>
        <v/>
      </c>
      <c r="AA237" s="13" t="str">
        <f>IF(
  AND($A237&lt;&gt;"",$L237&lt;&gt;"-",$L237&lt;&gt;""),
  (
    """"&amp;shortcut設定!$F$7&amp;""""&amp;
    " """&amp;$AD237&amp;""""&amp;
    " """&amp;$C237&amp;""""&amp;
    IF($D237="-"," """""," """&amp;$D237&amp;"""")&amp;
    IF($E237="-"," """""," """&amp;$E237&amp;"""")
  ),
  ""
)</f>
        <v/>
      </c>
      <c r="AB237" s="9" t="str">
        <f ca="1">IFERROR(
  VLOOKUP(
    $H237,
    shortcut設定!$F:$J,
    MATCH(
      "ProgramsIndex",
      shortcut設定!$F$12:$J$12,
      0
    ),
    FALSE
  ),
  ""
)</f>
        <v>161</v>
      </c>
      <c r="AC237" s="20" t="str">
        <f t="shared" si="43"/>
        <v/>
      </c>
      <c r="AD237" s="13" t="str">
        <f>IF(
  AND($A237&lt;&gt;"",$L237="○"),
  shortcut設定!$F$5&amp;"\"&amp;AB237&amp;"_"&amp;A237&amp;"（"&amp;B237&amp;"）"&amp;AC237&amp;".lnk",
  ""
)</f>
        <v/>
      </c>
      <c r="AE237" s="13" t="str">
        <f>IF(
  AND($A237&lt;&gt;"",$N237="○"),
  (
    """"&amp;shortcut設定!$F$7&amp;""""&amp;
    " """&amp;$AF237&amp;""""&amp;
    " """&amp;$C237&amp;""""&amp;
    IF($D237="-"," """""," """&amp;$D237&amp;"""")&amp;
    IF($E237="-"," """""," """&amp;$E237&amp;"""")
  ),
  ""
)</f>
        <v/>
      </c>
      <c r="AF237" s="9" t="str">
        <f>IF(
  AND($A237&lt;&gt;"",$N237="○"),
  shortcut設定!$F$6&amp;"\"&amp;A237&amp;"（"&amp;B237&amp;"）.lnk",
  ""
)</f>
        <v/>
      </c>
      <c r="AG237" s="13" t="str">
        <f t="shared" si="44"/>
        <v/>
      </c>
      <c r="AH237" s="13" t="str">
        <f t="shared" si="45"/>
        <v/>
      </c>
      <c r="AI237" s="13" t="str">
        <f>IF(
  AND($A237&lt;&gt;"",$Q237&lt;&gt;"-",$Q237&lt;&gt;""),
  (
    """"&amp;shortcut設定!$F$7&amp;""""&amp;
    " """&amp;$Q237&amp;".lnk"""&amp;
    " """&amp;$C237&amp;""""&amp;
    IF($D237="-"," """""," """&amp;$D237&amp;"""")&amp;
    IF($E237="-"," """""," """&amp;$E237&amp;"""")
  ),
  ""
)</f>
        <v/>
      </c>
      <c r="AJ237" s="91" t="s">
        <v>174</v>
      </c>
    </row>
  </sheetData>
  <autoFilter ref="A9:AJ230" xr:uid="{00000000-0009-0000-0000-000002000000}"/>
  <phoneticPr fontId="2"/>
  <dataValidations count="3">
    <dataValidation type="list" allowBlank="1" showInputMessage="1" showErrorMessage="1" sqref="H232:H237 H11:H229" xr:uid="{00000000-0002-0000-0200-000000000000}">
      <formula1>カテゴリ</formula1>
    </dataValidation>
    <dataValidation type="list" allowBlank="1" showInputMessage="1" showErrorMessage="1" sqref="F232:G237 F11:G229" xr:uid="{00000000-0002-0000-0200-000001000000}">
      <formula1>"○,×"</formula1>
    </dataValidation>
    <dataValidation type="list" allowBlank="1" showInputMessage="1" showErrorMessage="1" sqref="I232:I237 L232:L237 N232:N237 L11:L229 N11:N229 I11:I229" xr:uid="{00000000-0002-0000-0200-000002000000}">
      <formula1>"○,-"</formula1>
    </dataValidation>
  </dataValidations>
  <hyperlinks>
    <hyperlink ref="A138"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E25" sqref="E25"/>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7"/>
  <sheetViews>
    <sheetView showGridLines="0" tabSelected="1" view="pageBreakPreview" zoomScale="130" zoomScaleNormal="100" zoomScaleSheetLayoutView="13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7"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7"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1567</v>
      </c>
      <c r="D42" s="36" t="str">
        <f t="shared" si="3"/>
        <v>createhardlink ~/_dotfiles/.claude/settings.json .claude/settings.json</v>
      </c>
      <c r="E42" s="36" t="str">
        <f t="shared" si="2"/>
        <v>createhardlink ~/_dotfiles/.claude/settings.json .claude/settings.json</v>
      </c>
      <c r="F42" s="37" t="s">
        <v>0</v>
      </c>
      <c r="G42" s="37" t="s">
        <v>0</v>
      </c>
      <c r="H42" s="36"/>
      <c r="I42" t="s">
        <v>28</v>
      </c>
    </row>
    <row r="43" spans="1:9">
      <c r="A43" s="41" t="s">
        <v>1096</v>
      </c>
      <c r="B43" s="41" t="s">
        <v>1097</v>
      </c>
      <c r="C43" s="36" t="s">
        <v>1586</v>
      </c>
      <c r="D43" s="36" t="str">
        <f t="shared" si="3"/>
        <v>createhardlink ~/_dotfiles/.config/herdr/config.toml .config/herdr/config.toml</v>
      </c>
      <c r="E43" s="36" t="str">
        <f t="shared" si="2"/>
        <v>createhardlink ~/_dotfiles/.config/herdr/config.toml .config/herdr/config.toml</v>
      </c>
      <c r="F43" s="37" t="s">
        <v>0</v>
      </c>
      <c r="G43" s="37" t="s">
        <v>0</v>
      </c>
      <c r="H43" s="36"/>
      <c r="I43" t="s">
        <v>28</v>
      </c>
    </row>
    <row r="44" spans="1:9">
      <c r="A44" s="41" t="s">
        <v>1096</v>
      </c>
      <c r="B44" s="41" t="s">
        <v>1097</v>
      </c>
      <c r="C44" s="36" t="s">
        <v>1477</v>
      </c>
      <c r="D44" s="36" t="str">
        <f t="shared" si="3"/>
        <v>agt=gemini &amp;&amp; skill=func-header-comment &amp;&amp; createhardlink ~/_dotfiles/.ai_agents/skills/${skill}/SKILL.md .${agt}/skills/${skill}/SKILL.md</v>
      </c>
      <c r="E44" s="36" t="str">
        <f t="shared" si="2"/>
        <v>agt=gemini &amp;&amp; skill=func-header-comment &amp;&amp; createhardlink ~/_dotfiles/.ai_agents/skills/${skill}/SKILL.md .${agt}/skills/${skill}/SKILL.md</v>
      </c>
      <c r="F44" s="37" t="s">
        <v>0</v>
      </c>
      <c r="G44" s="37" t="s">
        <v>0</v>
      </c>
      <c r="H44" s="36"/>
      <c r="I44" t="s">
        <v>28</v>
      </c>
    </row>
    <row r="45" spans="1:9">
      <c r="A45" s="41" t="s">
        <v>1096</v>
      </c>
      <c r="B45" s="41" t="s">
        <v>1097</v>
      </c>
      <c r="C45" s="36" t="s">
        <v>1478</v>
      </c>
      <c r="D45" s="36" t="str">
        <f t="shared" si="3"/>
        <v>agt=claude &amp;&amp; skill=func-header-comment &amp;&amp; createhardlink ~/_dotfiles/.ai_agents/skills/${skill}/SKILL.md .${agt}/skills/${skill}/SKILL.md</v>
      </c>
      <c r="E45" s="36" t="str">
        <f t="shared" si="2"/>
        <v>agt=claude &amp;&amp; skill=func-header-comment &amp;&amp; createhardlink ~/_dotfiles/.ai_agents/skills/${skill}/SKILL.md .${agt}/skills/${skill}/SKILL.md</v>
      </c>
      <c r="F45" s="37" t="s">
        <v>0</v>
      </c>
      <c r="G45" s="37" t="s">
        <v>0</v>
      </c>
      <c r="H45" s="36"/>
      <c r="I45" t="s">
        <v>28</v>
      </c>
    </row>
    <row r="46" spans="1:9">
      <c r="A46" s="41" t="s">
        <v>1096</v>
      </c>
      <c r="B46" s="41" t="s">
        <v>1097</v>
      </c>
      <c r="C46" s="36" t="s">
        <v>1479</v>
      </c>
      <c r="D46" s="36" t="str">
        <f t="shared" si="3"/>
        <v>agt=gemini &amp;&amp; skill=func-tree           &amp;&amp; createhardlink ~/_dotfiles/.ai_agents/skills/${skill}/SKILL.md .${agt}/skills/${skill}/SKILL.md</v>
      </c>
      <c r="E46" s="36" t="str">
        <f t="shared" si="2"/>
        <v>agt=gemini &amp;&amp; skill=func-tree           &amp;&amp; createhardlink ~/_dotfiles/.ai_agents/skills/${skill}/SKILL.md .${agt}/skills/${skill}/SKILL.md</v>
      </c>
      <c r="F46" s="37" t="s">
        <v>0</v>
      </c>
      <c r="G46" s="37" t="s">
        <v>0</v>
      </c>
      <c r="H46" s="36"/>
      <c r="I46" t="s">
        <v>28</v>
      </c>
    </row>
    <row r="47" spans="1:9">
      <c r="A47" s="41" t="s">
        <v>1096</v>
      </c>
      <c r="B47" s="41" t="s">
        <v>1097</v>
      </c>
      <c r="C47" s="36" t="s">
        <v>1480</v>
      </c>
      <c r="D47" s="36" t="str">
        <f t="shared" si="3"/>
        <v>agt=claude &amp;&amp; skill=func-tree           &amp;&amp; createhardlink ~/_dotfiles/.ai_agents/skills/${skill}/SKILL.md .${agt}/skills/${skill}/SKILL.md</v>
      </c>
      <c r="E47" s="36" t="str">
        <f t="shared" si="2"/>
        <v>agt=claude &amp;&amp; skill=func-tree           &amp;&amp; createhardlink ~/_dotfiles/.ai_agents/skills/${skill}/SKILL.md .${agt}/skills/${skill}/SKILL.md</v>
      </c>
      <c r="F47" s="37" t="s">
        <v>0</v>
      </c>
      <c r="G47" s="37" t="s">
        <v>0</v>
      </c>
      <c r="H47" s="36"/>
      <c r="I47" t="s">
        <v>28</v>
      </c>
    </row>
    <row r="48" spans="1:9">
      <c r="A48" s="26" t="s">
        <v>294</v>
      </c>
      <c r="B48" s="26"/>
      <c r="C48" s="26" t="s">
        <v>1278</v>
      </c>
      <c r="D48" s="26" t="s">
        <v>518</v>
      </c>
      <c r="E48" s="26" t="s">
        <v>1197</v>
      </c>
      <c r="F48" s="15" t="s">
        <v>149</v>
      </c>
      <c r="G48" s="15" t="s">
        <v>149</v>
      </c>
      <c r="H48" s="134" t="s">
        <v>1117</v>
      </c>
      <c r="I48" t="s">
        <v>1109</v>
      </c>
    </row>
    <row r="49" spans="1:9">
      <c r="A49" s="32" t="s">
        <v>517</v>
      </c>
      <c r="B49" s="32" t="s">
        <v>1198</v>
      </c>
      <c r="C49" s="34" t="s">
        <v>1348</v>
      </c>
      <c r="D49" s="34" t="s">
        <v>518</v>
      </c>
      <c r="E49" s="34" t="s">
        <v>1197</v>
      </c>
      <c r="F49" s="35" t="s">
        <v>0</v>
      </c>
      <c r="G49" s="35" t="s">
        <v>0</v>
      </c>
      <c r="H49" s="34" t="s">
        <v>1116</v>
      </c>
      <c r="I49" t="s">
        <v>1109</v>
      </c>
    </row>
    <row r="50" spans="1:9">
      <c r="A50" s="41" t="s">
        <v>517</v>
      </c>
      <c r="B50" s="41"/>
      <c r="C50" s="174" t="s">
        <v>1539</v>
      </c>
      <c r="D50" s="174" t="s">
        <v>39</v>
      </c>
      <c r="E50" s="174"/>
      <c r="F50" s="175"/>
      <c r="G50" s="175"/>
      <c r="H50" s="174"/>
    </row>
    <row r="51" spans="1:9">
      <c r="A51" s="41" t="s">
        <v>517</v>
      </c>
      <c r="B51" s="41"/>
      <c r="C51" s="174" t="s">
        <v>1540</v>
      </c>
      <c r="D51" s="174"/>
      <c r="E51" s="174"/>
      <c r="F51" s="175"/>
      <c r="G51" s="175"/>
      <c r="H51" s="174"/>
    </row>
    <row r="52" spans="1:9">
      <c r="A52" s="41" t="s">
        <v>517</v>
      </c>
      <c r="B52" s="41"/>
      <c r="C52" s="36" t="s">
        <v>1541</v>
      </c>
      <c r="D52" s="36" t="s">
        <v>39</v>
      </c>
      <c r="E52" s="36" t="s">
        <v>39</v>
      </c>
      <c r="F52" s="37" t="s">
        <v>0</v>
      </c>
      <c r="G52" s="37" t="s">
        <v>0</v>
      </c>
      <c r="H52" s="36" t="s">
        <v>537</v>
      </c>
      <c r="I52" t="s">
        <v>28</v>
      </c>
    </row>
    <row r="53" spans="1:9">
      <c r="A53" s="41" t="s">
        <v>517</v>
      </c>
      <c r="B53" s="41"/>
      <c r="C53" s="36" t="s">
        <v>1542</v>
      </c>
      <c r="D53" s="36" t="s">
        <v>518</v>
      </c>
      <c r="E53" s="36" t="s">
        <v>1197</v>
      </c>
      <c r="F53" s="37" t="s">
        <v>0</v>
      </c>
      <c r="G53" s="37" t="s">
        <v>0</v>
      </c>
      <c r="H53" s="36" t="s">
        <v>537</v>
      </c>
      <c r="I53" t="s">
        <v>1109</v>
      </c>
    </row>
    <row r="54" spans="1:9">
      <c r="A54" s="41" t="s">
        <v>517</v>
      </c>
      <c r="B54" s="41"/>
      <c r="C54" s="45" t="s">
        <v>1543</v>
      </c>
      <c r="D54" s="45" t="s">
        <v>518</v>
      </c>
      <c r="E54" s="45" t="s">
        <v>1197</v>
      </c>
      <c r="F54" s="46" t="s">
        <v>0</v>
      </c>
      <c r="G54" s="46" t="s">
        <v>0</v>
      </c>
      <c r="H54" s="45" t="s">
        <v>537</v>
      </c>
      <c r="I54" t="s">
        <v>1109</v>
      </c>
    </row>
    <row r="55" spans="1:9">
      <c r="A55" s="41" t="s">
        <v>517</v>
      </c>
      <c r="B55" s="41"/>
      <c r="C55" s="36" t="s">
        <v>1544</v>
      </c>
      <c r="D55" s="36" t="s">
        <v>39</v>
      </c>
      <c r="E55" s="36" t="s">
        <v>1197</v>
      </c>
      <c r="F55" s="37" t="s">
        <v>0</v>
      </c>
      <c r="G55" s="37" t="s">
        <v>0</v>
      </c>
      <c r="H55" s="36" t="s">
        <v>537</v>
      </c>
      <c r="I55" t="s">
        <v>1109</v>
      </c>
    </row>
    <row r="56" spans="1:9">
      <c r="A56" s="41" t="s">
        <v>517</v>
      </c>
      <c r="B56" s="132"/>
      <c r="C56" s="36" t="s">
        <v>1357</v>
      </c>
      <c r="D56" s="36" t="s">
        <v>39</v>
      </c>
      <c r="E56" s="36" t="s">
        <v>39</v>
      </c>
      <c r="F56" s="37" t="s">
        <v>0</v>
      </c>
      <c r="G56" s="37" t="s">
        <v>0</v>
      </c>
      <c r="H56" s="36" t="s">
        <v>537</v>
      </c>
      <c r="I56" t="s">
        <v>28</v>
      </c>
    </row>
    <row r="57" spans="1:9" s="150" customFormat="1">
      <c r="A57" s="42" t="s">
        <v>517</v>
      </c>
      <c r="B57" s="148" t="s">
        <v>1199</v>
      </c>
      <c r="C57" s="148" t="s">
        <v>1197</v>
      </c>
      <c r="D57" s="151" t="s">
        <v>1202</v>
      </c>
      <c r="E57" s="151" t="s">
        <v>1202</v>
      </c>
      <c r="F57" s="149" t="s">
        <v>0</v>
      </c>
      <c r="G57" s="149" t="s">
        <v>0</v>
      </c>
      <c r="H57" s="148" t="s">
        <v>537</v>
      </c>
      <c r="I57" s="150" t="s">
        <v>28</v>
      </c>
    </row>
    <row r="58" spans="1:9">
      <c r="A58" s="135" t="s">
        <v>519</v>
      </c>
      <c r="B58" s="32"/>
      <c r="C58" s="32" t="s">
        <v>520</v>
      </c>
      <c r="D58" s="32" t="str">
        <f>C$58</f>
        <v>vim ~/.ssh/config</v>
      </c>
      <c r="E58" s="32" t="str">
        <f>D$58</f>
        <v>vim ~/.ssh/config</v>
      </c>
      <c r="F58" s="99" t="s">
        <v>0</v>
      </c>
      <c r="G58" s="99" t="s">
        <v>0</v>
      </c>
      <c r="H58" s="32"/>
      <c r="I58" t="s">
        <v>1109</v>
      </c>
    </row>
    <row r="59" spans="1:9">
      <c r="A59" s="100" t="s">
        <v>1031</v>
      </c>
      <c r="B59" s="1"/>
      <c r="C59" s="98" t="s">
        <v>1035</v>
      </c>
      <c r="D59" s="98" t="s">
        <v>1035</v>
      </c>
      <c r="E59" s="98" t="s">
        <v>1204</v>
      </c>
      <c r="F59" s="15" t="s">
        <v>149</v>
      </c>
      <c r="G59" s="15" t="s">
        <v>149</v>
      </c>
      <c r="H59" s="26" t="s">
        <v>1033</v>
      </c>
      <c r="I59" t="s">
        <v>1109</v>
      </c>
    </row>
    <row r="60" spans="1:9">
      <c r="A60" s="100" t="s">
        <v>1032</v>
      </c>
      <c r="B60" s="1"/>
      <c r="C60" s="98" t="s">
        <v>1035</v>
      </c>
      <c r="D60" s="26" t="s">
        <v>39</v>
      </c>
      <c r="E60" s="26" t="s">
        <v>1197</v>
      </c>
      <c r="F60" s="15" t="s">
        <v>149</v>
      </c>
      <c r="G60" s="15" t="s">
        <v>149</v>
      </c>
      <c r="H60" s="26" t="s">
        <v>1034</v>
      </c>
      <c r="I60" t="s">
        <v>1109</v>
      </c>
    </row>
    <row r="61" spans="1:9">
      <c r="A61" s="136" t="s">
        <v>300</v>
      </c>
      <c r="B61" s="26"/>
      <c r="C61" s="167" t="s">
        <v>301</v>
      </c>
      <c r="D61" s="26" t="str">
        <f>C61</f>
        <v>省略（~/.tmux.conf参照）</v>
      </c>
      <c r="E61" s="26" t="str">
        <f>D61</f>
        <v>省略（~/.tmux.conf参照）</v>
      </c>
      <c r="F61" s="15" t="s">
        <v>149</v>
      </c>
      <c r="G61" s="15" t="s">
        <v>149</v>
      </c>
      <c r="H61" s="26"/>
      <c r="I61" t="s">
        <v>1109</v>
      </c>
    </row>
    <row r="62" spans="1:9">
      <c r="A62" s="137" t="s">
        <v>295</v>
      </c>
      <c r="B62" s="32" t="s">
        <v>1350</v>
      </c>
      <c r="C62" s="168" t="s">
        <v>1279</v>
      </c>
      <c r="D62" s="34" t="str">
        <f>C62</f>
        <v>sudo apt install -y software-properties-common</v>
      </c>
      <c r="E62" s="34" t="s">
        <v>1203</v>
      </c>
      <c r="F62" s="35" t="s">
        <v>149</v>
      </c>
      <c r="G62" s="35" t="s">
        <v>149</v>
      </c>
      <c r="H62" s="34"/>
      <c r="I62" t="s">
        <v>1109</v>
      </c>
    </row>
    <row r="63" spans="1:9">
      <c r="A63" s="138" t="s">
        <v>295</v>
      </c>
      <c r="B63" s="43"/>
      <c r="C63" s="40" t="s">
        <v>302</v>
      </c>
      <c r="D63" s="36" t="str">
        <f t="shared" ref="D63:E73" si="4">C63</f>
        <v>sudo add-apt-repository ppa:greymd/tmux-xpanes</v>
      </c>
      <c r="E63" s="36" t="s">
        <v>39</v>
      </c>
      <c r="F63" s="37" t="s">
        <v>149</v>
      </c>
      <c r="G63" s="37" t="s">
        <v>149</v>
      </c>
      <c r="H63" s="36"/>
      <c r="I63" t="s">
        <v>1109</v>
      </c>
    </row>
    <row r="64" spans="1:9">
      <c r="A64" s="139" t="s">
        <v>295</v>
      </c>
      <c r="B64" s="44"/>
      <c r="C64" s="40" t="s">
        <v>303</v>
      </c>
      <c r="D64" s="36" t="str">
        <f t="shared" si="4"/>
        <v>sudo apt update</v>
      </c>
      <c r="E64" s="36" t="s">
        <v>39</v>
      </c>
      <c r="F64" s="37" t="s">
        <v>149</v>
      </c>
      <c r="G64" s="37" t="s">
        <v>149</v>
      </c>
      <c r="H64" s="36"/>
      <c r="I64" t="s">
        <v>1109</v>
      </c>
    </row>
    <row r="65" spans="1:9">
      <c r="A65" s="44" t="s">
        <v>295</v>
      </c>
      <c r="B65" s="170"/>
      <c r="C65" s="40" t="s">
        <v>304</v>
      </c>
      <c r="D65" s="36" t="str">
        <f t="shared" si="4"/>
        <v>sudo apt install -y tmux-xpanes</v>
      </c>
      <c r="E65" s="36" t="s">
        <v>39</v>
      </c>
      <c r="F65" s="39" t="s">
        <v>149</v>
      </c>
      <c r="G65" s="39" t="s">
        <v>149</v>
      </c>
      <c r="H65" s="38"/>
      <c r="I65" t="s">
        <v>1109</v>
      </c>
    </row>
    <row r="66" spans="1:9">
      <c r="A66" s="145"/>
      <c r="B66" s="38" t="s">
        <v>1349</v>
      </c>
      <c r="C66" s="169" t="s">
        <v>1351</v>
      </c>
      <c r="D66" s="38" t="str">
        <f>C66</f>
        <v>xpanes -e "top" "vmstat 1" "watch -n 1 free"</v>
      </c>
      <c r="E66" s="38" t="s">
        <v>1203</v>
      </c>
      <c r="F66" s="35" t="s">
        <v>149</v>
      </c>
      <c r="G66" s="35" t="s">
        <v>149</v>
      </c>
      <c r="H66" s="34"/>
      <c r="I66" t="s">
        <v>28</v>
      </c>
    </row>
    <row r="67" spans="1:9">
      <c r="A67" s="32" t="s">
        <v>299</v>
      </c>
      <c r="B67" s="32"/>
      <c r="C67" s="34" t="s">
        <v>310</v>
      </c>
      <c r="D67" s="34" t="s">
        <v>310</v>
      </c>
      <c r="E67" s="34" t="s">
        <v>310</v>
      </c>
      <c r="F67" s="35" t="s">
        <v>149</v>
      </c>
      <c r="G67" s="35" t="s">
        <v>149</v>
      </c>
      <c r="H67" s="34"/>
      <c r="I67" t="s">
        <v>1109</v>
      </c>
    </row>
    <row r="68" spans="1:9">
      <c r="A68" s="41" t="s">
        <v>299</v>
      </c>
      <c r="B68" s="41"/>
      <c r="C68" s="36" t="s">
        <v>1464</v>
      </c>
      <c r="D68" s="36" t="s">
        <v>1464</v>
      </c>
      <c r="E68" s="36" t="s">
        <v>1464</v>
      </c>
      <c r="F68" s="37" t="s">
        <v>0</v>
      </c>
      <c r="G68" s="37" t="s">
        <v>0</v>
      </c>
      <c r="H68" s="36"/>
      <c r="I68" t="s">
        <v>1109</v>
      </c>
    </row>
    <row r="69" spans="1:9">
      <c r="A69" s="41" t="s">
        <v>299</v>
      </c>
      <c r="B69" s="41"/>
      <c r="C69" s="36" t="s">
        <v>305</v>
      </c>
      <c r="D69" s="36" t="str">
        <f t="shared" si="4"/>
        <v>git config --global core.editor vim</v>
      </c>
      <c r="E69" s="36" t="str">
        <f t="shared" si="4"/>
        <v>git config --global core.editor vim</v>
      </c>
      <c r="F69" s="37" t="s">
        <v>0</v>
      </c>
      <c r="G69" s="37" t="s">
        <v>0</v>
      </c>
      <c r="H69" s="36"/>
      <c r="I69" t="s">
        <v>1109</v>
      </c>
    </row>
    <row r="70" spans="1:9">
      <c r="A70" s="41" t="s">
        <v>299</v>
      </c>
      <c r="B70" s="41"/>
      <c r="C70" s="36" t="s">
        <v>306</v>
      </c>
      <c r="D70" s="36" t="str">
        <f t="shared" si="4"/>
        <v>git config --global diff.tool vimdiff</v>
      </c>
      <c r="E70" s="36" t="str">
        <f t="shared" si="4"/>
        <v>git config --global diff.tool vimdiff</v>
      </c>
      <c r="F70" s="37" t="s">
        <v>0</v>
      </c>
      <c r="G70" s="37" t="s">
        <v>0</v>
      </c>
      <c r="H70" s="36"/>
      <c r="I70" t="s">
        <v>1109</v>
      </c>
    </row>
    <row r="71" spans="1:9">
      <c r="A71" s="41" t="s">
        <v>299</v>
      </c>
      <c r="B71" s="41"/>
      <c r="C71" s="36" t="s">
        <v>307</v>
      </c>
      <c r="D71" s="36" t="str">
        <f t="shared" si="4"/>
        <v>git config --global difftool.prompt false</v>
      </c>
      <c r="E71" s="36" t="str">
        <f t="shared" si="4"/>
        <v>git config --global difftool.prompt false</v>
      </c>
      <c r="F71" s="37" t="s">
        <v>0</v>
      </c>
      <c r="G71" s="37" t="s">
        <v>0</v>
      </c>
      <c r="H71" s="36"/>
      <c r="I71" t="s">
        <v>1109</v>
      </c>
    </row>
    <row r="72" spans="1:9">
      <c r="A72" s="41" t="s">
        <v>299</v>
      </c>
      <c r="B72" s="41"/>
      <c r="C72" s="36" t="s">
        <v>308</v>
      </c>
      <c r="D72" s="36" t="str">
        <f t="shared" si="4"/>
        <v>git config --global merge.tool vimdiff</v>
      </c>
      <c r="E72" s="36" t="str">
        <f t="shared" si="4"/>
        <v>git config --global merge.tool vimdiff</v>
      </c>
      <c r="F72" s="37" t="s">
        <v>0</v>
      </c>
      <c r="G72" s="37" t="s">
        <v>0</v>
      </c>
      <c r="H72" s="36"/>
      <c r="I72" t="s">
        <v>1109</v>
      </c>
    </row>
    <row r="73" spans="1:9">
      <c r="A73" s="41" t="s">
        <v>299</v>
      </c>
      <c r="B73" s="41"/>
      <c r="C73" s="45" t="s">
        <v>309</v>
      </c>
      <c r="D73" s="45" t="str">
        <f t="shared" si="4"/>
        <v>git config --global mergetool.prompt false</v>
      </c>
      <c r="E73" s="45" t="str">
        <f t="shared" si="4"/>
        <v>git config --global mergetool.prompt false</v>
      </c>
      <c r="F73" s="46" t="s">
        <v>0</v>
      </c>
      <c r="G73" s="46" t="s">
        <v>0</v>
      </c>
      <c r="H73" s="45"/>
      <c r="I73" t="s">
        <v>1109</v>
      </c>
    </row>
    <row r="74" spans="1:9">
      <c r="A74" s="42" t="s">
        <v>299</v>
      </c>
      <c r="B74" s="42"/>
      <c r="C74" s="38" t="s">
        <v>312</v>
      </c>
      <c r="D74" s="38" t="str">
        <f t="shared" ref="D74:E74" si="5">C74</f>
        <v>git config --global credential.helper store</v>
      </c>
      <c r="E74" s="38" t="str">
        <f t="shared" si="5"/>
        <v>git config --global credential.helper store</v>
      </c>
      <c r="F74" s="39" t="s">
        <v>0</v>
      </c>
      <c r="G74" s="39" t="s">
        <v>0</v>
      </c>
      <c r="H74" s="38"/>
      <c r="I74" t="s">
        <v>1109</v>
      </c>
    </row>
    <row r="75" spans="1:9">
      <c r="A75" s="32" t="s">
        <v>1545</v>
      </c>
      <c r="B75" s="45" t="s">
        <v>1546</v>
      </c>
      <c r="C75" s="36" t="s">
        <v>1547</v>
      </c>
      <c r="D75" s="36" t="str">
        <f>$C75</f>
        <v>cd ~/_dotfiles</v>
      </c>
      <c r="E75" s="36" t="str">
        <f>$C75</f>
        <v>cd ~/_dotfiles</v>
      </c>
      <c r="F75" s="37" t="s">
        <v>0</v>
      </c>
      <c r="G75" s="37" t="s">
        <v>0</v>
      </c>
      <c r="H75" s="36"/>
      <c r="I75" t="s">
        <v>28</v>
      </c>
    </row>
    <row r="76" spans="1:9">
      <c r="A76" s="41"/>
      <c r="B76" s="144"/>
      <c r="C76" s="36" t="s">
        <v>1548</v>
      </c>
      <c r="D76" s="36" t="str">
        <f>$C76</f>
        <v>git init</v>
      </c>
      <c r="E76" s="36" t="str">
        <f t="shared" ref="E76:E78" si="6">$C76</f>
        <v>git init</v>
      </c>
      <c r="F76" s="37" t="s">
        <v>0</v>
      </c>
      <c r="G76" s="37" t="s">
        <v>0</v>
      </c>
      <c r="H76" s="36"/>
    </row>
    <row r="77" spans="1:9">
      <c r="A77" s="41"/>
      <c r="B77" s="144"/>
      <c r="C77" s="36" t="s">
        <v>1549</v>
      </c>
      <c r="D77" s="36" t="str">
        <f t="shared" ref="D77:E81" si="7">$C77</f>
        <v>git add *</v>
      </c>
      <c r="E77" s="36" t="str">
        <f t="shared" si="6"/>
        <v>git add *</v>
      </c>
      <c r="F77" s="37" t="s">
        <v>0</v>
      </c>
      <c r="G77" s="37" t="s">
        <v>0</v>
      </c>
      <c r="H77" s="36"/>
    </row>
    <row r="78" spans="1:9">
      <c r="A78" s="41"/>
      <c r="B78" s="144"/>
      <c r="C78" s="36" t="s">
        <v>1550</v>
      </c>
      <c r="D78" s="36" t="str">
        <f t="shared" si="7"/>
        <v>git commit -m 'initial commit'</v>
      </c>
      <c r="E78" s="36" t="str">
        <f t="shared" si="6"/>
        <v>git commit -m 'initial commit'</v>
      </c>
      <c r="F78" s="37" t="s">
        <v>0</v>
      </c>
      <c r="G78" s="37" t="s">
        <v>0</v>
      </c>
      <c r="H78" s="36"/>
    </row>
    <row r="79" spans="1:9">
      <c r="A79" s="41" t="s">
        <v>1096</v>
      </c>
      <c r="B79" s="45" t="s">
        <v>1095</v>
      </c>
      <c r="C79" s="36" t="s">
        <v>1093</v>
      </c>
      <c r="D79" s="36" t="str">
        <f t="shared" si="7"/>
        <v>wget https://raw.githubusercontent.com/draemonash2/codes/master/sh/backup_files.sh</v>
      </c>
      <c r="E79" s="36" t="str">
        <f t="shared" si="7"/>
        <v>wget https://raw.githubusercontent.com/draemonash2/codes/master/sh/backup_files.sh</v>
      </c>
      <c r="F79" s="37" t="s">
        <v>0</v>
      </c>
      <c r="G79" s="37" t="s">
        <v>0</v>
      </c>
      <c r="H79" s="36"/>
      <c r="I79" t="s">
        <v>28</v>
      </c>
    </row>
    <row r="80" spans="1:9">
      <c r="A80" s="41" t="s">
        <v>1096</v>
      </c>
      <c r="B80" s="132" t="s">
        <v>1095</v>
      </c>
      <c r="C80" s="36" t="s">
        <v>1094</v>
      </c>
      <c r="D80" s="36" t="str">
        <f t="shared" si="7"/>
        <v>mv backup_files.sh _backup_files.sh</v>
      </c>
      <c r="E80" s="36" t="str">
        <f t="shared" si="7"/>
        <v>mv backup_files.sh _backup_files.sh</v>
      </c>
      <c r="F80" s="37" t="s">
        <v>0</v>
      </c>
      <c r="G80" s="37" t="s">
        <v>0</v>
      </c>
      <c r="H80" s="36"/>
      <c r="I80" t="s">
        <v>28</v>
      </c>
    </row>
    <row r="81" spans="1:9">
      <c r="A81" s="42" t="s">
        <v>1096</v>
      </c>
      <c r="B81" s="38" t="s">
        <v>1099</v>
      </c>
      <c r="C81" s="38" t="s">
        <v>1098</v>
      </c>
      <c r="D81" s="38" t="str">
        <f t="shared" si="7"/>
        <v>crontab -e</v>
      </c>
      <c r="E81" s="38" t="str">
        <f t="shared" si="7"/>
        <v>crontab -e</v>
      </c>
      <c r="F81" s="39" t="s">
        <v>0</v>
      </c>
      <c r="G81" s="39" t="s">
        <v>0</v>
      </c>
      <c r="H81" s="38"/>
      <c r="I81" t="s">
        <v>28</v>
      </c>
    </row>
    <row r="82" spans="1:9">
      <c r="A82" t="s">
        <v>1240</v>
      </c>
      <c r="B82" s="33" t="s">
        <v>1239</v>
      </c>
      <c r="C82" s="34" t="s">
        <v>1180</v>
      </c>
      <c r="D82" s="34" t="str">
        <f>C82</f>
        <v>sudo apt-get update</v>
      </c>
      <c r="E82" s="152" t="s">
        <v>1197</v>
      </c>
      <c r="F82" s="35" t="s">
        <v>1190</v>
      </c>
      <c r="G82" s="35" t="s">
        <v>1190</v>
      </c>
      <c r="H82" s="34"/>
      <c r="I82" t="s">
        <v>1109</v>
      </c>
    </row>
    <row r="83" spans="1:9">
      <c r="A83" s="144"/>
      <c r="B83" s="144"/>
      <c r="C83" s="36" t="s">
        <v>1181</v>
      </c>
      <c r="D83" s="36" t="str">
        <f t="shared" ref="D83:D90" si="8">C83</f>
        <v>sudo apt-get install -y ca-certificates curl gnupg lsb-release</v>
      </c>
      <c r="E83" s="153" t="s">
        <v>1197</v>
      </c>
      <c r="F83" s="37" t="s">
        <v>1190</v>
      </c>
      <c r="G83" s="37" t="s">
        <v>1190</v>
      </c>
      <c r="H83" s="36"/>
      <c r="I83" t="s">
        <v>1109</v>
      </c>
    </row>
    <row r="84" spans="1:9">
      <c r="A84" s="144"/>
      <c r="B84" s="144"/>
      <c r="C84" s="36" t="s">
        <v>1182</v>
      </c>
      <c r="D84" s="36" t="str">
        <f t="shared" si="8"/>
        <v>sudo mkdir -p /etc/apt/keyrings</v>
      </c>
      <c r="E84" s="153" t="s">
        <v>1197</v>
      </c>
      <c r="F84" s="37" t="s">
        <v>1190</v>
      </c>
      <c r="G84" s="37" t="s">
        <v>1190</v>
      </c>
      <c r="H84" s="36"/>
      <c r="I84" t="s">
        <v>1109</v>
      </c>
    </row>
    <row r="85" spans="1:9">
      <c r="A85" s="144"/>
      <c r="B85" s="144"/>
      <c r="C85" s="36" t="s">
        <v>1183</v>
      </c>
      <c r="D85" s="36" t="str">
        <f t="shared" si="8"/>
        <v>curl -fsSL https://download.docker.com/linux/ubuntu/gpg | sudo gpg --dearmor -o /etc/apt/keyrings/docker.gpg</v>
      </c>
      <c r="E85" s="153" t="s">
        <v>1197</v>
      </c>
      <c r="F85" s="37" t="s">
        <v>1190</v>
      </c>
      <c r="G85" s="37" t="s">
        <v>1190</v>
      </c>
      <c r="H85" s="36"/>
      <c r="I85" t="s">
        <v>28</v>
      </c>
    </row>
    <row r="86" spans="1:9">
      <c r="A86" s="144"/>
      <c r="B86" s="144"/>
      <c r="C86" s="36" t="s">
        <v>1184</v>
      </c>
      <c r="D86" s="36" t="str">
        <f t="shared" si="8"/>
        <v>echo "deb [arch=$(dpkg --print-architecture) signed-by=/etc/apt/keyrings/docker.gpg] https://download.docker.com/linux/ubuntu $(lsb_release -cs) stable" | sudo tee /etc/apt/sources.list.d/docker.list &gt; /dev/null</v>
      </c>
      <c r="E86" s="153" t="s">
        <v>1197</v>
      </c>
      <c r="F86" s="37" t="s">
        <v>1190</v>
      </c>
      <c r="G86" s="37" t="s">
        <v>1190</v>
      </c>
      <c r="H86" s="36"/>
      <c r="I86" t="s">
        <v>28</v>
      </c>
    </row>
    <row r="87" spans="1:9">
      <c r="A87" s="144"/>
      <c r="B87" s="144"/>
      <c r="C87" s="36" t="s">
        <v>1180</v>
      </c>
      <c r="D87" s="36" t="str">
        <f t="shared" si="8"/>
        <v>sudo apt-get update</v>
      </c>
      <c r="E87" s="153" t="s">
        <v>1197</v>
      </c>
      <c r="F87" s="37" t="s">
        <v>1190</v>
      </c>
      <c r="G87" s="37" t="s">
        <v>1190</v>
      </c>
      <c r="H87" s="36"/>
      <c r="I87" t="s">
        <v>28</v>
      </c>
    </row>
    <row r="88" spans="1:9">
      <c r="A88" s="144"/>
      <c r="B88" s="144"/>
      <c r="C88" s="36" t="s">
        <v>1185</v>
      </c>
      <c r="D88" s="36" t="str">
        <f t="shared" si="8"/>
        <v>sudo apt-get install -y docker-ce docker-ce-cli containerd.io docker-compose-plugin</v>
      </c>
      <c r="E88" s="153" t="s">
        <v>1197</v>
      </c>
      <c r="F88" s="37" t="s">
        <v>1190</v>
      </c>
      <c r="G88" s="37" t="s">
        <v>1190</v>
      </c>
      <c r="H88" s="36"/>
      <c r="I88" t="s">
        <v>28</v>
      </c>
    </row>
    <row r="89" spans="1:9">
      <c r="A89" s="144"/>
      <c r="B89" s="144"/>
      <c r="C89" s="36" t="s">
        <v>1186</v>
      </c>
      <c r="D89" s="36" t="str">
        <f t="shared" si="8"/>
        <v>sudo groupadd docker</v>
      </c>
      <c r="E89" s="153" t="s">
        <v>1197</v>
      </c>
      <c r="F89" s="37" t="s">
        <v>1190</v>
      </c>
      <c r="G89" s="37" t="s">
        <v>1190</v>
      </c>
      <c r="H89" s="36"/>
      <c r="I89" t="s">
        <v>28</v>
      </c>
    </row>
    <row r="90" spans="1:9">
      <c r="A90" s="144"/>
      <c r="B90" s="144"/>
      <c r="C90" s="36" t="s">
        <v>1187</v>
      </c>
      <c r="D90" s="36" t="str">
        <f t="shared" si="8"/>
        <v>sudo usermod -aG docker $USER</v>
      </c>
      <c r="E90" s="153" t="s">
        <v>1197</v>
      </c>
      <c r="F90" s="37" t="s">
        <v>1190</v>
      </c>
      <c r="G90" s="37" t="s">
        <v>1190</v>
      </c>
      <c r="H90" s="36"/>
      <c r="I90" t="s">
        <v>28</v>
      </c>
    </row>
    <row r="91" spans="1:9">
      <c r="A91" s="144"/>
      <c r="B91" s="145"/>
      <c r="C91" s="38" t="s">
        <v>1188</v>
      </c>
      <c r="D91" s="38" t="s">
        <v>39</v>
      </c>
      <c r="E91" s="154" t="s">
        <v>1197</v>
      </c>
      <c r="F91" s="39" t="s">
        <v>1190</v>
      </c>
      <c r="G91" s="39" t="s">
        <v>1190</v>
      </c>
      <c r="H91" s="38" t="s">
        <v>1189</v>
      </c>
      <c r="I91" t="s">
        <v>28</v>
      </c>
    </row>
    <row r="92" spans="1:9">
      <c r="A92" s="144"/>
      <c r="B92" s="144" t="s">
        <v>1238</v>
      </c>
      <c r="C92" s="144" t="s">
        <v>1551</v>
      </c>
      <c r="D92" s="144" t="str">
        <f>$C92</f>
        <v>mkdir -p ~/.docker; echo -e "{\n    \"detachKeys\": \"ctrl-\\\\\\\\,ctrl-\\\\\\\\\"\n}" &gt; ~/.docker/config.json</v>
      </c>
      <c r="E92" s="160" t="s">
        <v>1241</v>
      </c>
      <c r="F92" s="39" t="s">
        <v>149</v>
      </c>
      <c r="G92" s="39" t="s">
        <v>149</v>
      </c>
      <c r="H92" s="144"/>
    </row>
    <row r="93" spans="1:9">
      <c r="A93" s="144"/>
      <c r="B93" s="32" t="s">
        <v>1236</v>
      </c>
      <c r="C93" s="34" t="s">
        <v>1103</v>
      </c>
      <c r="D93" s="34" t="s">
        <v>1101</v>
      </c>
      <c r="E93" s="152" t="s">
        <v>1197</v>
      </c>
      <c r="F93" s="35" t="s">
        <v>0</v>
      </c>
      <c r="G93" s="35" t="s">
        <v>0</v>
      </c>
      <c r="H93" s="34"/>
      <c r="I93" t="s">
        <v>1109</v>
      </c>
    </row>
    <row r="94" spans="1:9">
      <c r="A94" s="41" t="s">
        <v>1102</v>
      </c>
      <c r="B94" s="41" t="s">
        <v>1100</v>
      </c>
      <c r="C94" s="45" t="s">
        <v>1104</v>
      </c>
      <c r="D94" s="45" t="s">
        <v>1105</v>
      </c>
      <c r="E94" s="173" t="s">
        <v>1197</v>
      </c>
      <c r="F94" s="46" t="s">
        <v>0</v>
      </c>
      <c r="G94" s="46" t="s">
        <v>0</v>
      </c>
      <c r="H94" s="45"/>
      <c r="I94" t="s">
        <v>1109</v>
      </c>
    </row>
    <row r="95" spans="1:9">
      <c r="A95" s="41" t="s">
        <v>1102</v>
      </c>
      <c r="B95" s="41" t="s">
        <v>1100</v>
      </c>
      <c r="C95" s="45" t="s">
        <v>1410</v>
      </c>
      <c r="D95" s="45" t="s">
        <v>1411</v>
      </c>
      <c r="E95" s="173" t="s">
        <v>39</v>
      </c>
      <c r="F95" s="46" t="s">
        <v>0</v>
      </c>
      <c r="G95" s="46" t="s">
        <v>0</v>
      </c>
      <c r="H95" s="45"/>
      <c r="I95" t="s">
        <v>28</v>
      </c>
    </row>
    <row r="96" spans="1:9">
      <c r="A96" s="42" t="s">
        <v>1102</v>
      </c>
      <c r="B96" s="26" t="s">
        <v>1237</v>
      </c>
      <c r="C96" s="26" t="s">
        <v>1163</v>
      </c>
      <c r="D96" s="26" t="s">
        <v>1163</v>
      </c>
      <c r="E96" s="155" t="s">
        <v>1197</v>
      </c>
      <c r="F96" s="15" t="s">
        <v>0</v>
      </c>
      <c r="G96" s="15" t="s">
        <v>0</v>
      </c>
      <c r="H96" s="26" t="s">
        <v>1164</v>
      </c>
      <c r="I96" t="s">
        <v>1109</v>
      </c>
    </row>
    <row r="97" spans="1:9">
      <c r="A97" s="33" t="s">
        <v>1552</v>
      </c>
      <c r="B97" s="32"/>
      <c r="C97" s="34" t="s">
        <v>1553</v>
      </c>
      <c r="D97" s="34" t="s">
        <v>310</v>
      </c>
      <c r="E97" s="34" t="s">
        <v>310</v>
      </c>
      <c r="F97" s="35" t="s">
        <v>149</v>
      </c>
      <c r="G97" s="35" t="s">
        <v>149</v>
      </c>
      <c r="H97" s="34"/>
      <c r="I97" t="s">
        <v>28</v>
      </c>
    </row>
    <row r="98" spans="1:9">
      <c r="A98" s="41" t="s">
        <v>299</v>
      </c>
      <c r="B98" s="41"/>
      <c r="C98" s="36" t="s">
        <v>1554</v>
      </c>
      <c r="D98" s="36" t="s">
        <v>1464</v>
      </c>
      <c r="E98" s="36" t="s">
        <v>1464</v>
      </c>
      <c r="F98" s="37" t="s">
        <v>0</v>
      </c>
      <c r="G98" s="37" t="s">
        <v>0</v>
      </c>
      <c r="H98" s="36"/>
      <c r="I98" t="s">
        <v>28</v>
      </c>
    </row>
    <row r="99" spans="1:9">
      <c r="A99" s="41" t="s">
        <v>299</v>
      </c>
      <c r="B99" s="41"/>
      <c r="C99" s="36" t="s">
        <v>1555</v>
      </c>
      <c r="D99" s="36" t="str">
        <f t="shared" ref="D99:E101" si="9">C99</f>
        <v>nvm install 24</v>
      </c>
      <c r="E99" s="36" t="str">
        <f t="shared" si="9"/>
        <v>nvm install 24</v>
      </c>
      <c r="F99" s="37" t="s">
        <v>0</v>
      </c>
      <c r="G99" s="37" t="s">
        <v>0</v>
      </c>
      <c r="H99" s="36"/>
      <c r="I99" t="s">
        <v>28</v>
      </c>
    </row>
    <row r="100" spans="1:9">
      <c r="A100" s="41" t="s">
        <v>299</v>
      </c>
      <c r="B100" s="41"/>
      <c r="C100" s="36" t="s">
        <v>1556</v>
      </c>
      <c r="D100" s="36" t="str">
        <f t="shared" si="9"/>
        <v>node -v</v>
      </c>
      <c r="E100" s="36" t="str">
        <f t="shared" si="9"/>
        <v>node -v</v>
      </c>
      <c r="F100" s="37" t="s">
        <v>0</v>
      </c>
      <c r="G100" s="37" t="s">
        <v>0</v>
      </c>
      <c r="H100" s="36"/>
      <c r="I100" t="s">
        <v>28</v>
      </c>
    </row>
    <row r="101" spans="1:9">
      <c r="A101" s="42" t="s">
        <v>299</v>
      </c>
      <c r="B101" s="42"/>
      <c r="C101" s="38" t="s">
        <v>1557</v>
      </c>
      <c r="D101" s="38" t="str">
        <f t="shared" si="9"/>
        <v>npm -v</v>
      </c>
      <c r="E101" s="38" t="str">
        <f t="shared" si="9"/>
        <v>npm -v</v>
      </c>
      <c r="F101" s="39" t="s">
        <v>0</v>
      </c>
      <c r="G101" s="39" t="s">
        <v>0</v>
      </c>
      <c r="H101" s="38"/>
      <c r="I101" t="s">
        <v>28</v>
      </c>
    </row>
    <row r="102" spans="1:9">
      <c r="A102" s="26" t="s">
        <v>1558</v>
      </c>
      <c r="B102" s="26"/>
      <c r="C102" s="26" t="s">
        <v>1559</v>
      </c>
      <c r="D102" s="26"/>
      <c r="E102" s="26"/>
      <c r="F102" s="15"/>
      <c r="G102" s="15"/>
      <c r="H102" s="26"/>
      <c r="I102" t="s">
        <v>28</v>
      </c>
    </row>
    <row r="103" spans="1:9">
      <c r="A103" s="26" t="s">
        <v>1560</v>
      </c>
      <c r="B103" s="26"/>
      <c r="C103" s="26" t="s">
        <v>1561</v>
      </c>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28</v>
      </c>
    </row>
    <row r="107" spans="1:9">
      <c r="A107" s="26"/>
      <c r="B107" s="26"/>
      <c r="C107" s="26"/>
      <c r="D107" s="26"/>
      <c r="E107" s="26"/>
      <c r="F107" s="15"/>
      <c r="G107" s="15"/>
      <c r="H107" s="26"/>
      <c r="I107" t="s">
        <v>28</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row r="116" spans="1:9">
      <c r="A116" s="26"/>
      <c r="B116" s="26"/>
      <c r="C116" s="26"/>
      <c r="D116" s="26"/>
      <c r="E116" s="26"/>
      <c r="F116" s="15"/>
      <c r="G116" s="15"/>
      <c r="H116" s="26"/>
      <c r="I116" t="s">
        <v>1109</v>
      </c>
    </row>
    <row r="117" spans="1:9">
      <c r="A117" s="26"/>
      <c r="B117" s="26"/>
      <c r="C117" s="26"/>
      <c r="D117" s="26"/>
      <c r="E117" s="26"/>
      <c r="F117" s="15"/>
      <c r="G117" s="15"/>
      <c r="H117" s="26"/>
      <c r="I117" t="s">
        <v>1109</v>
      </c>
    </row>
  </sheetData>
  <phoneticPr fontId="2"/>
  <hyperlinks>
    <hyperlink ref="A62" r:id="rId1" xr:uid="{00000000-0004-0000-0400-000000000000}"/>
    <hyperlink ref="C60" r:id="rId2" xr:uid="{00000000-0004-0000-0400-000001000000}"/>
    <hyperlink ref="C59" r:id="rId3" xr:uid="{00000000-0004-0000-0400-000002000000}"/>
    <hyperlink ref="D59" r:id="rId4" xr:uid="{00000000-0004-0000-0400-000003000000}"/>
    <hyperlink ref="A9" r:id="rId5" xr:uid="{00000000-0004-0000-0400-000004000000}"/>
    <hyperlink ref="E19" r:id="rId6" xr:uid="{00000000-0004-0000-0400-000005000000}"/>
    <hyperlink ref="E59" r:id="rId7" xr:uid="{00000000-0004-0000-0400-000006000000}"/>
    <hyperlink ref="B82" r:id="rId8" display="Docker インストール" xr:uid="{00000000-0004-0000-0400-000007000000}"/>
    <hyperlink ref="A97"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75" zoomScaleNormal="17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2026-10-24T21:48:46Z</dcterms:modified>
</cp:coreProperties>
</file>