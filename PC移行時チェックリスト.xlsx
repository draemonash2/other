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https://robocip20-my.sharepoint.com/personal/endo_tatsuya_robocip_or_jp/Documents/ドキュメント/_repos/other/"/>
    </mc:Choice>
  </mc:AlternateContent>
  <xr:revisionPtr revIDLastSave="0" documentId="13_ncr:1_{8F179486-39F2-4EE0-8364-DB41D2151382}" xr6:coauthVersionLast="47" xr6:coauthVersionMax="47" xr10:uidLastSave="{00000000-0000-0000-0000-000000000000}"/>
  <bookViews>
    <workbookView xWindow="67215" yWindow="-6930" windowWidth="32385" windowHeight="46050"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symlink!$A$11:$L$66</definedName>
    <definedName name="_xlnm._FilterDatabase" localSheetId="0" hidden="1">セットアップ事項!$A$2:$M$83</definedName>
    <definedName name="_xlnm.Print_Area" localSheetId="4">linux環境構築!$A$6:$H$102</definedName>
    <definedName name="_xlnm.Print_Area" localSheetId="2">shortcut!$A$8:$AI$227</definedName>
    <definedName name="_xlnm.Print_Area" localSheetId="1">shortcut設定!$A$1:$O$38</definedName>
    <definedName name="_xlnm.Print_Area" localSheetId="3">symlink!$A$10:$L$66</definedName>
    <definedName name="_xlnm.Print_Area" localSheetId="0">セットアップ事項!$A$1:$H$83</definedName>
    <definedName name="カテゴリ" localSheetId="7">[1]shortcut設定!$F$13:$F$37</definedName>
    <definedName name="カテゴリ">shortcut設定!$F$13:$F$37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4" l="1"/>
  <c r="J14" i="4"/>
  <c r="R204" i="20"/>
  <c r="T204" i="20"/>
  <c r="V204" i="20"/>
  <c r="W204" i="20"/>
  <c r="X204" i="20"/>
  <c r="Y204" i="20"/>
  <c r="Z204" i="20"/>
  <c r="AA204" i="20"/>
  <c r="AC204" i="20"/>
  <c r="AD204" i="20"/>
  <c r="AE204" i="20"/>
  <c r="AF204" i="20"/>
  <c r="AG204" i="20"/>
  <c r="AH204" i="20"/>
  <c r="AI204" i="20"/>
  <c r="R205" i="20"/>
  <c r="T205" i="20"/>
  <c r="V205" i="20"/>
  <c r="W205" i="20"/>
  <c r="X205" i="20"/>
  <c r="Y205" i="20"/>
  <c r="Z205" i="20"/>
  <c r="AA205" i="20"/>
  <c r="AC205" i="20"/>
  <c r="AD205" i="20"/>
  <c r="AF205" i="20"/>
  <c r="AE205" i="20" s="1"/>
  <c r="AG205" i="20"/>
  <c r="AH205" i="20"/>
  <c r="AI205" i="20"/>
  <c r="R206" i="20"/>
  <c r="T206" i="20"/>
  <c r="V206" i="20"/>
  <c r="X206" i="20"/>
  <c r="W206" i="20" s="1"/>
  <c r="Y206" i="20"/>
  <c r="Z206" i="20"/>
  <c r="AA206" i="20"/>
  <c r="AC206" i="20"/>
  <c r="AD206" i="20"/>
  <c r="AE206" i="20"/>
  <c r="AF206" i="20"/>
  <c r="AG206" i="20"/>
  <c r="AH206" i="20"/>
  <c r="AI206" i="20"/>
  <c r="R207" i="20"/>
  <c r="T207" i="20"/>
  <c r="V207" i="20"/>
  <c r="X207" i="20"/>
  <c r="W207" i="20" s="1"/>
  <c r="Y207" i="20"/>
  <c r="Z207" i="20"/>
  <c r="AA207" i="20"/>
  <c r="AC207" i="20"/>
  <c r="AD207" i="20"/>
  <c r="AE207" i="20"/>
  <c r="AF207" i="20"/>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W211" i="20"/>
  <c r="X211" i="20"/>
  <c r="Y211" i="20"/>
  <c r="Z211" i="20"/>
  <c r="AC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R143" i="20"/>
  <c r="AI225" i="20"/>
  <c r="AH225" i="20"/>
  <c r="AG225" i="20"/>
  <c r="AF225" i="20"/>
  <c r="AE225" i="20"/>
  <c r="AD225" i="20"/>
  <c r="AC225" i="20"/>
  <c r="AA225" i="20"/>
  <c r="Z225" i="20"/>
  <c r="Y225" i="20"/>
  <c r="X225" i="20"/>
  <c r="W225" i="20"/>
  <c r="V225" i="20"/>
  <c r="T225" i="20"/>
  <c r="R225" i="20"/>
  <c r="AI224" i="20"/>
  <c r="AH224" i="20"/>
  <c r="AG224" i="20"/>
  <c r="AF224" i="20"/>
  <c r="AE224" i="20"/>
  <c r="AD224" i="20"/>
  <c r="AC224" i="20"/>
  <c r="AA224" i="20"/>
  <c r="Z224" i="20"/>
  <c r="Y224" i="20"/>
  <c r="X224" i="20"/>
  <c r="W224" i="20"/>
  <c r="V224" i="20"/>
  <c r="T224" i="20"/>
  <c r="R224" i="20"/>
  <c r="AI223" i="20"/>
  <c r="AH223" i="20"/>
  <c r="AG223" i="20"/>
  <c r="AF223" i="20"/>
  <c r="AE223" i="20"/>
  <c r="AD223" i="20"/>
  <c r="AC223" i="20"/>
  <c r="AA223" i="20"/>
  <c r="Z223" i="20"/>
  <c r="Y223" i="20"/>
  <c r="X223" i="20"/>
  <c r="W223" i="20"/>
  <c r="V223" i="20"/>
  <c r="T223" i="20"/>
  <c r="R223" i="20"/>
  <c r="AI156" i="20"/>
  <c r="AH156" i="20"/>
  <c r="AG156" i="20"/>
  <c r="AF156" i="20"/>
  <c r="AE156" i="20" s="1"/>
  <c r="AD156" i="20"/>
  <c r="AC156" i="20"/>
  <c r="AA156" i="20"/>
  <c r="Z156" i="20"/>
  <c r="Y156" i="20"/>
  <c r="X156" i="20"/>
  <c r="W156" i="20"/>
  <c r="V156" i="20"/>
  <c r="T156" i="20"/>
  <c r="R156" i="20"/>
  <c r="AI130" i="20"/>
  <c r="AH130" i="20"/>
  <c r="AG130" i="20"/>
  <c r="AF130" i="20"/>
  <c r="AE130" i="20"/>
  <c r="AD130" i="20"/>
  <c r="AC130" i="20"/>
  <c r="AA130" i="20"/>
  <c r="Z130" i="20"/>
  <c r="Y130" i="20"/>
  <c r="X130" i="20"/>
  <c r="W130" i="20"/>
  <c r="R130" i="20"/>
  <c r="AI203" i="20"/>
  <c r="AH203" i="20"/>
  <c r="AG203" i="20"/>
  <c r="AF203" i="20"/>
  <c r="AE203" i="20"/>
  <c r="AD203" i="20"/>
  <c r="AC203" i="20"/>
  <c r="AA203" i="20"/>
  <c r="Z203" i="20"/>
  <c r="Y203" i="20"/>
  <c r="X203" i="20"/>
  <c r="W203" i="20" s="1"/>
  <c r="V203" i="20"/>
  <c r="T203" i="20"/>
  <c r="R203" i="20"/>
  <c r="AI129" i="20"/>
  <c r="AH129" i="20"/>
  <c r="AG129" i="20"/>
  <c r="AF129" i="20"/>
  <c r="AE129" i="20"/>
  <c r="AD129" i="20"/>
  <c r="AC129" i="20"/>
  <c r="AA129" i="20"/>
  <c r="Z129" i="20"/>
  <c r="Y129" i="20"/>
  <c r="X129" i="20"/>
  <c r="W129" i="20" s="1"/>
  <c r="R129" i="20"/>
  <c r="AI157" i="20"/>
  <c r="AH157" i="20"/>
  <c r="AG157" i="20"/>
  <c r="AF157" i="20"/>
  <c r="AE157" i="20" s="1"/>
  <c r="AD157" i="20"/>
  <c r="AC157" i="20"/>
  <c r="AA157" i="20"/>
  <c r="Z157" i="20"/>
  <c r="Y157" i="20"/>
  <c r="X157" i="20"/>
  <c r="W157" i="20"/>
  <c r="V157" i="20"/>
  <c r="T157" i="20"/>
  <c r="R157" i="20"/>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4" i="4"/>
  <c r="D84" i="14" l="1"/>
  <c r="AI196" i="20"/>
  <c r="AH196" i="20"/>
  <c r="AG196" i="20"/>
  <c r="AF196" i="20"/>
  <c r="AE196" i="20"/>
  <c r="AD196" i="20"/>
  <c r="AC196" i="20"/>
  <c r="AA196" i="20"/>
  <c r="Z196" i="20"/>
  <c r="Y196" i="20"/>
  <c r="X196" i="20"/>
  <c r="W196" i="20"/>
  <c r="V196" i="20"/>
  <c r="T196" i="20"/>
  <c r="R196" i="20"/>
  <c r="AI142" i="20"/>
  <c r="AH142" i="20"/>
  <c r="AG142" i="20"/>
  <c r="AF142" i="20"/>
  <c r="AE142" i="20"/>
  <c r="AD142" i="20"/>
  <c r="AC142" i="20"/>
  <c r="AA142" i="20"/>
  <c r="Z142" i="20"/>
  <c r="Y142" i="20"/>
  <c r="X142" i="20"/>
  <c r="W142" i="20"/>
  <c r="R142" i="20"/>
  <c r="AI140" i="20"/>
  <c r="AH140" i="20"/>
  <c r="AG140" i="20"/>
  <c r="AF140" i="20"/>
  <c r="AE140" i="20"/>
  <c r="AD140" i="20"/>
  <c r="AC140" i="20"/>
  <c r="AA140" i="20"/>
  <c r="Z140" i="20"/>
  <c r="Y140" i="20"/>
  <c r="X140" i="20"/>
  <c r="W140" i="20"/>
  <c r="R140" i="20"/>
  <c r="AI127" i="20"/>
  <c r="AH127" i="20"/>
  <c r="AG127" i="20"/>
  <c r="AF127" i="20"/>
  <c r="AE127" i="20"/>
  <c r="AD127" i="20"/>
  <c r="AC127" i="20"/>
  <c r="AA127" i="20"/>
  <c r="Z127" i="20"/>
  <c r="Y127" i="20"/>
  <c r="X127" i="20"/>
  <c r="W127" i="20"/>
  <c r="R127" i="20"/>
  <c r="AI152" i="20"/>
  <c r="AH152" i="20"/>
  <c r="AG152" i="20"/>
  <c r="AF152" i="20"/>
  <c r="AE152" i="20"/>
  <c r="AD152" i="20"/>
  <c r="AC152" i="20"/>
  <c r="AA152" i="20"/>
  <c r="Z152" i="20"/>
  <c r="Y152" i="20"/>
  <c r="X152" i="20"/>
  <c r="W152" i="20"/>
  <c r="R152" i="20"/>
  <c r="AI71" i="20"/>
  <c r="AH71" i="20"/>
  <c r="AG71" i="20"/>
  <c r="AF71" i="20"/>
  <c r="AE71" i="20"/>
  <c r="AD71" i="20"/>
  <c r="AC71" i="20"/>
  <c r="AA71" i="20"/>
  <c r="Z71" i="20"/>
  <c r="Y71" i="20"/>
  <c r="X71" i="20"/>
  <c r="W71" i="20"/>
  <c r="R71" i="20"/>
  <c r="AI221" i="20"/>
  <c r="AH221" i="20"/>
  <c r="AG221" i="20"/>
  <c r="AF221" i="20"/>
  <c r="AE221" i="20"/>
  <c r="AD221" i="20"/>
  <c r="AC221" i="20"/>
  <c r="AA221" i="20"/>
  <c r="Z221" i="20"/>
  <c r="Y221" i="20"/>
  <c r="X221" i="20"/>
  <c r="W221" i="20" s="1"/>
  <c r="V221" i="20"/>
  <c r="T221" i="20"/>
  <c r="R221"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39" i="20"/>
  <c r="AH139" i="20"/>
  <c r="AG139" i="20"/>
  <c r="AF139" i="20"/>
  <c r="AE139" i="20"/>
  <c r="AD139" i="20"/>
  <c r="AC139" i="20"/>
  <c r="AA139" i="20"/>
  <c r="Z139" i="20"/>
  <c r="Y139" i="20"/>
  <c r="X139" i="20"/>
  <c r="W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7" i="14"/>
  <c r="E57" i="14" s="1"/>
  <c r="D82" i="14"/>
  <c r="D81" i="14"/>
  <c r="D80" i="14"/>
  <c r="D79" i="14"/>
  <c r="D78" i="14"/>
  <c r="D77" i="14"/>
  <c r="D76" i="14"/>
  <c r="D75" i="14"/>
  <c r="D74"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39" i="4"/>
  <c r="K39" i="4"/>
  <c r="L54" i="4"/>
  <c r="K54" i="4"/>
  <c r="L55" i="4"/>
  <c r="K55" i="4"/>
  <c r="J54" i="4"/>
  <c r="I54" i="4"/>
  <c r="E85" i="20"/>
  <c r="J39" i="4"/>
  <c r="I55" i="4"/>
  <c r="J55" i="4"/>
  <c r="E16" i="20"/>
  <c r="I39" i="4"/>
  <c r="K34" i="4" l="1"/>
  <c r="L34" i="4"/>
  <c r="K35" i="4"/>
  <c r="L35"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3" i="4"/>
  <c r="J15" i="4"/>
  <c r="J12" i="4"/>
  <c r="J16" i="4"/>
  <c r="I66" i="4"/>
  <c r="I65" i="4"/>
  <c r="I18" i="4"/>
  <c r="I53" i="4"/>
  <c r="I45" i="4"/>
  <c r="J45" i="4"/>
  <c r="I46" i="4"/>
  <c r="I56" i="4"/>
  <c r="I51" i="4"/>
  <c r="I12" i="4"/>
  <c r="I37" i="4"/>
  <c r="J28" i="4"/>
  <c r="I52" i="4"/>
  <c r="I40" i="4"/>
  <c r="I33" i="4"/>
  <c r="I17" i="4"/>
  <c r="J61" i="4"/>
  <c r="J38" i="4"/>
  <c r="J35" i="4"/>
  <c r="J32" i="4"/>
  <c r="I59" i="4"/>
  <c r="J24" i="4"/>
  <c r="I22" i="4"/>
  <c r="J36" i="4"/>
  <c r="I29" i="4"/>
  <c r="I36" i="4"/>
  <c r="I24" i="4"/>
  <c r="I32" i="4"/>
  <c r="J37" i="4"/>
  <c r="I57" i="4"/>
  <c r="J29" i="4"/>
  <c r="I58" i="4"/>
  <c r="J20" i="4"/>
  <c r="I42" i="4"/>
  <c r="I44" i="4"/>
  <c r="J34" i="4"/>
  <c r="J33" i="4"/>
  <c r="I63" i="4"/>
  <c r="J27" i="4"/>
  <c r="I64" i="4"/>
  <c r="J60" i="4"/>
  <c r="I35" i="4"/>
  <c r="J59" i="4"/>
  <c r="I28" i="4"/>
  <c r="I30" i="4"/>
  <c r="I41" i="4"/>
  <c r="I61" i="4"/>
  <c r="I23" i="4"/>
  <c r="I48" i="4"/>
  <c r="J23" i="4"/>
  <c r="I21" i="4"/>
  <c r="J30" i="4"/>
  <c r="J31" i="4"/>
  <c r="I38" i="4"/>
  <c r="J25" i="4"/>
  <c r="I15" i="4"/>
  <c r="I47" i="4"/>
  <c r="I16" i="4"/>
  <c r="I34" i="4"/>
  <c r="I26" i="4"/>
  <c r="I49" i="4"/>
  <c r="J57" i="4"/>
  <c r="I20" i="4"/>
  <c r="J26" i="4"/>
  <c r="I43" i="4"/>
  <c r="I31" i="4"/>
  <c r="I50" i="4"/>
  <c r="I25" i="4"/>
  <c r="I13" i="4"/>
  <c r="I60" i="4"/>
  <c r="I62" i="4"/>
  <c r="J58" i="4"/>
  <c r="I27" i="4"/>
  <c r="I19"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3" i="4"/>
  <c r="K15" i="4"/>
  <c r="K12" i="4"/>
  <c r="K16"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08" i="20" l="1"/>
  <c r="S207" i="20"/>
  <c r="AB223" i="20"/>
  <c r="S206" i="20"/>
  <c r="S204" i="20"/>
  <c r="S129" i="20"/>
  <c r="S203" i="20"/>
  <c r="S223" i="20"/>
  <c r="S212" i="20"/>
  <c r="S157" i="20"/>
  <c r="S205" i="20"/>
  <c r="U224" i="20"/>
  <c r="S130" i="20"/>
  <c r="U223" i="20"/>
  <c r="S210" i="20"/>
  <c r="S143" i="20"/>
  <c r="U225" i="20"/>
  <c r="S224" i="20"/>
  <c r="S156" i="20"/>
  <c r="S213" i="20"/>
  <c r="S225" i="20"/>
  <c r="S211" i="20"/>
  <c r="AB225" i="20"/>
  <c r="S209" i="20"/>
  <c r="AB224" i="20"/>
  <c r="S125" i="20"/>
  <c r="S127" i="20"/>
  <c r="S142" i="20"/>
  <c r="S139" i="20"/>
  <c r="S126" i="20"/>
  <c r="S196" i="20"/>
  <c r="S221" i="20"/>
  <c r="S71" i="20"/>
  <c r="S152" i="20"/>
  <c r="S140" i="20"/>
  <c r="S214" i="20"/>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<sst xmlns="http://schemas.openxmlformats.org/spreadsheetml/2006/main" count="6374" uniqueCount="1545">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</sst>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 val="MyExcelAddin"/>
    </sheetNames>
    <definedNames>
      <definedName name="getdirpath"/>
    </definedNames>
    <sheetDataSet>
      <sheetData sheetId="0"/>
      <sheetData sheetId="1"/>
      <sheetData sheetId="2" refreshError="1"/>
    </sheetDataSet>
  </externalBook>
</externalLink>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B79" sqref="B79"/>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958</v>
      </c>
      <c r="F1" s="102"/>
      <c r="I1" s="103" t="s">
        <v>28</v>
      </c>
    </row>
    <row r="2" spans="1:13">
      <c r="A2" s="105" t="s">
        <v>31</v>
      </c>
      <c r="B2" s="106" t="s">
        <v>163</v>
      </c>
      <c r="C2" s="107" t="s">
        <v>164</v>
      </c>
      <c r="D2" s="105" t="s">
        <v>546</v>
      </c>
      <c r="E2" s="106" t="s">
        <v>956</v>
      </c>
      <c r="F2" s="106" t="s">
        <v>957</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999</v>
      </c>
      <c r="B4" s="114" t="s">
        <v>0</v>
      </c>
      <c r="C4" s="115" t="s">
        <v>149</v>
      </c>
      <c r="D4" s="116" t="s">
        <v>974</v>
      </c>
      <c r="E4" s="142"/>
      <c r="F4" s="143"/>
      <c r="G4" s="117"/>
      <c r="H4" s="118" t="s">
        <v>1086</v>
      </c>
      <c r="I4" s="103" t="s">
        <v>28</v>
      </c>
      <c r="J4" s="104"/>
      <c r="M4" s="104"/>
    </row>
    <row r="5" spans="1:13" s="104" customFormat="1">
      <c r="A5" s="113" t="s">
        <v>1000</v>
      </c>
      <c r="B5" s="114" t="s">
        <v>149</v>
      </c>
      <c r="C5" s="115" t="s">
        <v>149</v>
      </c>
      <c r="D5" s="116" t="s">
        <v>1540</v>
      </c>
      <c r="E5" s="142"/>
      <c r="F5" s="143"/>
      <c r="G5" s="119" t="s">
        <v>1542</v>
      </c>
      <c r="H5" s="117" t="s">
        <v>1541</v>
      </c>
      <c r="I5" s="104" t="s">
        <v>28</v>
      </c>
      <c r="J5" s="103"/>
      <c r="K5" s="103"/>
      <c r="L5" s="103"/>
      <c r="M5" s="103"/>
    </row>
    <row r="6" spans="1:13">
      <c r="A6" s="113" t="s">
        <v>998</v>
      </c>
      <c r="B6" s="114" t="s">
        <v>149</v>
      </c>
      <c r="C6" s="115" t="s">
        <v>149</v>
      </c>
      <c r="D6" s="116" t="s">
        <v>48</v>
      </c>
      <c r="E6" s="142" t="s">
        <v>937</v>
      </c>
      <c r="F6" s="143"/>
      <c r="G6" s="117" t="s">
        <v>972</v>
      </c>
      <c r="H6" s="117"/>
      <c r="I6" s="104" t="s">
        <v>28</v>
      </c>
    </row>
    <row r="7" spans="1:13">
      <c r="A7" s="113" t="s">
        <v>970</v>
      </c>
      <c r="B7" s="114" t="s">
        <v>0</v>
      </c>
      <c r="C7" s="115" t="s">
        <v>149</v>
      </c>
      <c r="D7" s="116" t="s">
        <v>955</v>
      </c>
      <c r="E7" s="142"/>
      <c r="F7" s="143"/>
      <c r="G7" s="117"/>
      <c r="H7" s="117"/>
      <c r="I7" s="103" t="s">
        <v>28</v>
      </c>
      <c r="J7" s="104"/>
    </row>
    <row r="8" spans="1:13">
      <c r="A8" s="113" t="s">
        <v>970</v>
      </c>
      <c r="B8" s="114" t="s">
        <v>0</v>
      </c>
      <c r="C8" s="115" t="s">
        <v>149</v>
      </c>
      <c r="D8" s="116" t="s">
        <v>985</v>
      </c>
      <c r="E8" s="142"/>
      <c r="F8" s="143"/>
      <c r="G8" s="117"/>
      <c r="H8" s="117"/>
      <c r="I8" s="103" t="s">
        <v>28</v>
      </c>
      <c r="J8" s="104"/>
    </row>
    <row r="9" spans="1:13">
      <c r="A9" s="113" t="s">
        <v>970</v>
      </c>
      <c r="B9" s="114" t="s">
        <v>27</v>
      </c>
      <c r="C9" s="115" t="s">
        <v>149</v>
      </c>
      <c r="D9" s="116" t="s">
        <v>55</v>
      </c>
      <c r="E9" s="142"/>
      <c r="F9" s="143"/>
      <c r="G9" s="117"/>
      <c r="H9" s="117"/>
      <c r="I9" s="103" t="s">
        <v>28</v>
      </c>
      <c r="J9" s="104"/>
    </row>
    <row r="10" spans="1:13">
      <c r="A10" s="113" t="s">
        <v>970</v>
      </c>
      <c r="B10" s="114" t="s">
        <v>27</v>
      </c>
      <c r="C10" s="115" t="s">
        <v>149</v>
      </c>
      <c r="D10" s="116" t="s">
        <v>984</v>
      </c>
      <c r="E10" s="142"/>
      <c r="F10" s="143"/>
      <c r="G10" s="117"/>
      <c r="H10" s="117"/>
      <c r="I10" s="103" t="s">
        <v>28</v>
      </c>
      <c r="J10" s="104"/>
    </row>
    <row r="11" spans="1:13" s="104" customFormat="1">
      <c r="A11" s="113" t="s">
        <v>1010</v>
      </c>
      <c r="B11" s="114" t="s">
        <v>149</v>
      </c>
      <c r="C11" s="115" t="s">
        <v>27</v>
      </c>
      <c r="D11" s="116" t="s">
        <v>1001</v>
      </c>
      <c r="E11" s="142" t="s">
        <v>39</v>
      </c>
      <c r="F11" s="166" t="s">
        <v>937</v>
      </c>
      <c r="G11" s="117" t="s">
        <v>962</v>
      </c>
      <c r="H11" s="117"/>
      <c r="I11" s="104" t="s">
        <v>28</v>
      </c>
      <c r="J11" s="103"/>
      <c r="K11" s="103"/>
      <c r="L11" s="103"/>
      <c r="M11" s="103"/>
    </row>
    <row r="12" spans="1:13" s="104" customFormat="1">
      <c r="A12" s="113" t="s">
        <v>1010</v>
      </c>
      <c r="B12" s="114" t="s">
        <v>149</v>
      </c>
      <c r="C12" s="115" t="s">
        <v>27</v>
      </c>
      <c r="D12" s="116" t="s">
        <v>1002</v>
      </c>
      <c r="E12" s="142" t="s">
        <v>39</v>
      </c>
      <c r="F12" s="166" t="s">
        <v>937</v>
      </c>
      <c r="G12" s="117" t="s">
        <v>963</v>
      </c>
      <c r="H12" s="117"/>
      <c r="I12" s="104" t="s">
        <v>28</v>
      </c>
      <c r="J12" s="103"/>
      <c r="K12" s="103"/>
      <c r="L12" s="103"/>
      <c r="M12" s="103"/>
    </row>
    <row r="13" spans="1:13" s="104" customFormat="1">
      <c r="A13" s="113" t="s">
        <v>1010</v>
      </c>
      <c r="B13" s="114" t="s">
        <v>149</v>
      </c>
      <c r="C13" s="115" t="s">
        <v>27</v>
      </c>
      <c r="D13" s="116" t="s">
        <v>1003</v>
      </c>
      <c r="E13" s="142" t="s">
        <v>39</v>
      </c>
      <c r="F13" s="166" t="s">
        <v>937</v>
      </c>
      <c r="G13" s="117" t="s">
        <v>964</v>
      </c>
      <c r="H13" s="117"/>
      <c r="I13" s="104" t="s">
        <v>28</v>
      </c>
      <c r="J13" s="103"/>
      <c r="K13" s="103"/>
      <c r="L13" s="103"/>
      <c r="M13" s="103"/>
    </row>
    <row r="14" spans="1:13" s="104" customFormat="1">
      <c r="A14" s="113" t="s">
        <v>1010</v>
      </c>
      <c r="B14" s="114" t="s">
        <v>149</v>
      </c>
      <c r="C14" s="115" t="s">
        <v>27</v>
      </c>
      <c r="D14" s="116" t="s">
        <v>1004</v>
      </c>
      <c r="E14" s="142" t="s">
        <v>39</v>
      </c>
      <c r="F14" s="166" t="s">
        <v>937</v>
      </c>
      <c r="G14" s="117" t="s">
        <v>965</v>
      </c>
      <c r="H14" s="117"/>
      <c r="I14" s="104" t="s">
        <v>28</v>
      </c>
      <c r="J14" s="103"/>
      <c r="K14" s="103"/>
      <c r="L14" s="103"/>
      <c r="M14" s="103"/>
    </row>
    <row r="15" spans="1:13" s="104" customFormat="1">
      <c r="A15" s="113" t="s">
        <v>1010</v>
      </c>
      <c r="B15" s="114" t="s">
        <v>149</v>
      </c>
      <c r="C15" s="115" t="s">
        <v>27</v>
      </c>
      <c r="D15" s="116" t="s">
        <v>1005</v>
      </c>
      <c r="E15" s="142" t="s">
        <v>39</v>
      </c>
      <c r="F15" s="166" t="s">
        <v>937</v>
      </c>
      <c r="G15" s="117" t="s">
        <v>966</v>
      </c>
      <c r="H15" s="117"/>
      <c r="I15" s="104" t="s">
        <v>28</v>
      </c>
      <c r="J15" s="103"/>
      <c r="K15" s="103"/>
      <c r="L15" s="103"/>
      <c r="M15" s="103"/>
    </row>
    <row r="16" spans="1:13" s="104" customFormat="1">
      <c r="A16" s="113" t="s">
        <v>1010</v>
      </c>
      <c r="B16" s="114" t="s">
        <v>149</v>
      </c>
      <c r="C16" s="115" t="s">
        <v>27</v>
      </c>
      <c r="D16" s="116" t="s">
        <v>1006</v>
      </c>
      <c r="E16" s="142" t="s">
        <v>39</v>
      </c>
      <c r="F16" s="166" t="s">
        <v>937</v>
      </c>
      <c r="G16" s="117" t="s">
        <v>1020</v>
      </c>
      <c r="H16" s="117"/>
      <c r="I16" s="104" t="s">
        <v>28</v>
      </c>
      <c r="J16" s="103"/>
      <c r="K16" s="103"/>
      <c r="L16" s="103"/>
      <c r="M16" s="103"/>
    </row>
    <row r="17" spans="1:13" s="104" customFormat="1">
      <c r="A17" s="113" t="s">
        <v>1010</v>
      </c>
      <c r="B17" s="114" t="s">
        <v>149</v>
      </c>
      <c r="C17" s="115" t="s">
        <v>27</v>
      </c>
      <c r="D17" s="116" t="s">
        <v>1007</v>
      </c>
      <c r="E17" s="142" t="s">
        <v>39</v>
      </c>
      <c r="F17" s="166" t="s">
        <v>937</v>
      </c>
      <c r="G17" s="117" t="s">
        <v>967</v>
      </c>
      <c r="H17" s="117"/>
      <c r="I17" s="104" t="s">
        <v>28</v>
      </c>
      <c r="J17" s="103"/>
      <c r="K17" s="103"/>
      <c r="L17" s="103"/>
      <c r="M17" s="103"/>
    </row>
    <row r="18" spans="1:13" s="104" customFormat="1">
      <c r="A18" s="113" t="s">
        <v>1010</v>
      </c>
      <c r="B18" s="114" t="s">
        <v>149</v>
      </c>
      <c r="C18" s="115" t="s">
        <v>27</v>
      </c>
      <c r="D18" s="116" t="s">
        <v>1008</v>
      </c>
      <c r="E18" s="142" t="s">
        <v>39</v>
      </c>
      <c r="F18" s="166" t="s">
        <v>937</v>
      </c>
      <c r="G18" s="117" t="s">
        <v>968</v>
      </c>
      <c r="H18" s="117"/>
      <c r="I18" s="104" t="s">
        <v>28</v>
      </c>
      <c r="J18" s="103"/>
      <c r="K18" s="103"/>
      <c r="L18" s="103"/>
      <c r="M18" s="103"/>
    </row>
    <row r="19" spans="1:13" s="104" customFormat="1">
      <c r="A19" s="113" t="s">
        <v>1010</v>
      </c>
      <c r="B19" s="114" t="s">
        <v>149</v>
      </c>
      <c r="C19" s="115" t="s">
        <v>27</v>
      </c>
      <c r="D19" s="116" t="s">
        <v>1009</v>
      </c>
      <c r="E19" s="142" t="s">
        <v>39</v>
      </c>
      <c r="F19" s="166" t="s">
        <v>937</v>
      </c>
      <c r="G19" s="117" t="s">
        <v>969</v>
      </c>
      <c r="H19" s="117"/>
      <c r="I19" s="104" t="s">
        <v>28</v>
      </c>
      <c r="J19" s="103"/>
      <c r="K19" s="103"/>
      <c r="L19" s="103"/>
      <c r="M19" s="103"/>
    </row>
    <row r="20" spans="1:13" s="104" customFormat="1">
      <c r="A20" s="113" t="s">
        <v>1000</v>
      </c>
      <c r="B20" s="114" t="s">
        <v>149</v>
      </c>
      <c r="C20" s="115" t="s">
        <v>27</v>
      </c>
      <c r="D20" s="116" t="s">
        <v>961</v>
      </c>
      <c r="E20" s="142" t="s">
        <v>39</v>
      </c>
      <c r="F20" s="143"/>
      <c r="G20" s="117"/>
      <c r="H20" s="117"/>
      <c r="I20" s="104" t="s">
        <v>28</v>
      </c>
      <c r="J20" s="103"/>
      <c r="K20" s="103"/>
      <c r="L20" s="103"/>
      <c r="M20" s="103"/>
    </row>
    <row r="21" spans="1:13" s="104" customFormat="1">
      <c r="A21" s="113" t="s">
        <v>1000</v>
      </c>
      <c r="B21" s="114" t="s">
        <v>149</v>
      </c>
      <c r="C21" s="115" t="s">
        <v>27</v>
      </c>
      <c r="D21" s="116" t="s">
        <v>1026</v>
      </c>
      <c r="E21" s="142" t="s">
        <v>39</v>
      </c>
      <c r="F21" s="143"/>
      <c r="G21" s="117" t="s">
        <v>1027</v>
      </c>
      <c r="H21" s="117"/>
      <c r="I21" s="104" t="s">
        <v>28</v>
      </c>
      <c r="J21" s="103"/>
      <c r="K21" s="103"/>
      <c r="L21" s="103"/>
      <c r="M21" s="103"/>
    </row>
    <row r="22" spans="1:13" s="104" customFormat="1">
      <c r="A22" s="113" t="s">
        <v>1000</v>
      </c>
      <c r="B22" s="114" t="s">
        <v>149</v>
      </c>
      <c r="C22" s="115" t="s">
        <v>27</v>
      </c>
      <c r="D22" s="116" t="s">
        <v>1025</v>
      </c>
      <c r="E22" s="142" t="s">
        <v>39</v>
      </c>
      <c r="F22" s="143"/>
      <c r="G22" s="117" t="s">
        <v>1028</v>
      </c>
      <c r="H22" s="117"/>
      <c r="I22" s="104" t="s">
        <v>28</v>
      </c>
      <c r="J22" s="103"/>
      <c r="K22" s="103"/>
      <c r="L22" s="103"/>
      <c r="M22" s="103"/>
    </row>
    <row r="23" spans="1:13" s="104" customFormat="1">
      <c r="A23" s="113" t="s">
        <v>1000</v>
      </c>
      <c r="B23" s="114" t="s">
        <v>149</v>
      </c>
      <c r="C23" s="115" t="s">
        <v>27</v>
      </c>
      <c r="D23" s="116" t="s">
        <v>1021</v>
      </c>
      <c r="E23" s="142" t="s">
        <v>39</v>
      </c>
      <c r="F23" s="143"/>
      <c r="G23" s="117" t="s">
        <v>1033</v>
      </c>
      <c r="H23" s="117"/>
      <c r="I23" s="104" t="s">
        <v>28</v>
      </c>
      <c r="J23" s="103"/>
      <c r="K23" s="103"/>
      <c r="L23" s="103"/>
      <c r="M23" s="103"/>
    </row>
    <row r="24" spans="1:13" s="104" customFormat="1">
      <c r="A24" s="113" t="s">
        <v>1000</v>
      </c>
      <c r="B24" s="114" t="s">
        <v>149</v>
      </c>
      <c r="C24" s="115" t="s">
        <v>27</v>
      </c>
      <c r="D24" s="116" t="s">
        <v>1022</v>
      </c>
      <c r="E24" s="142" t="s">
        <v>39</v>
      </c>
      <c r="F24" s="143"/>
      <c r="G24" s="117" t="s">
        <v>1032</v>
      </c>
      <c r="H24" s="117"/>
      <c r="I24" s="104" t="s">
        <v>28</v>
      </c>
      <c r="J24" s="103"/>
      <c r="K24" s="103"/>
      <c r="L24" s="103"/>
      <c r="M24" s="103"/>
    </row>
    <row r="25" spans="1:13" s="104" customFormat="1">
      <c r="A25" s="113" t="s">
        <v>1000</v>
      </c>
      <c r="B25" s="114" t="s">
        <v>149</v>
      </c>
      <c r="C25" s="115" t="s">
        <v>27</v>
      </c>
      <c r="D25" s="116" t="s">
        <v>1023</v>
      </c>
      <c r="E25" s="142" t="s">
        <v>39</v>
      </c>
      <c r="F25" s="143"/>
      <c r="G25" s="117" t="s">
        <v>1031</v>
      </c>
      <c r="H25" s="117"/>
      <c r="I25" s="104" t="s">
        <v>28</v>
      </c>
      <c r="J25" s="103"/>
      <c r="K25" s="103"/>
      <c r="L25" s="103"/>
      <c r="M25" s="103"/>
    </row>
    <row r="26" spans="1:13" s="104" customFormat="1">
      <c r="A26" s="113" t="s">
        <v>1000</v>
      </c>
      <c r="B26" s="114" t="s">
        <v>149</v>
      </c>
      <c r="C26" s="115" t="s">
        <v>27</v>
      </c>
      <c r="D26" s="116" t="s">
        <v>1024</v>
      </c>
      <c r="E26" s="142" t="s">
        <v>39</v>
      </c>
      <c r="F26" s="143"/>
      <c r="G26" s="117" t="s">
        <v>1029</v>
      </c>
      <c r="H26" s="117"/>
      <c r="I26" s="104" t="s">
        <v>28</v>
      </c>
      <c r="J26" s="103"/>
      <c r="K26" s="103"/>
      <c r="L26" s="103"/>
      <c r="M26" s="103"/>
    </row>
    <row r="27" spans="1:13" s="104" customFormat="1">
      <c r="A27" s="113" t="s">
        <v>1000</v>
      </c>
      <c r="B27" s="114" t="s">
        <v>149</v>
      </c>
      <c r="C27" s="115" t="s">
        <v>27</v>
      </c>
      <c r="D27" s="120" t="s">
        <v>1030</v>
      </c>
      <c r="E27" s="142" t="s">
        <v>39</v>
      </c>
      <c r="F27" s="143" t="s">
        <v>937</v>
      </c>
      <c r="G27" s="121"/>
      <c r="H27" s="117"/>
      <c r="I27" s="104" t="s">
        <v>28</v>
      </c>
      <c r="J27" s="103"/>
      <c r="K27" s="103"/>
      <c r="L27" s="103"/>
      <c r="M27" s="103"/>
    </row>
    <row r="28" spans="1:13">
      <c r="A28" s="113" t="s">
        <v>998</v>
      </c>
      <c r="B28" s="114" t="s">
        <v>0</v>
      </c>
      <c r="C28" s="115" t="s">
        <v>149</v>
      </c>
      <c r="D28" s="116" t="s">
        <v>989</v>
      </c>
      <c r="E28" s="142"/>
      <c r="F28" s="143"/>
      <c r="G28" s="117"/>
      <c r="H28" s="118" t="s">
        <v>1056</v>
      </c>
      <c r="I28" s="103" t="s">
        <v>28</v>
      </c>
      <c r="J28" s="104"/>
    </row>
    <row r="29" spans="1:13">
      <c r="A29" s="113" t="s">
        <v>998</v>
      </c>
      <c r="B29" s="114" t="s">
        <v>0</v>
      </c>
      <c r="C29" s="115" t="s">
        <v>149</v>
      </c>
      <c r="D29" s="116" t="s">
        <v>990</v>
      </c>
      <c r="E29" s="142"/>
      <c r="F29" s="143"/>
      <c r="G29" s="117"/>
      <c r="H29" s="118" t="s">
        <v>1057</v>
      </c>
      <c r="I29" s="103" t="s">
        <v>28</v>
      </c>
      <c r="J29" s="104"/>
    </row>
    <row r="30" spans="1:13">
      <c r="A30" s="113" t="s">
        <v>998</v>
      </c>
      <c r="B30" s="114" t="s">
        <v>0</v>
      </c>
      <c r="C30" s="115" t="s">
        <v>149</v>
      </c>
      <c r="D30" s="116" t="s">
        <v>991</v>
      </c>
      <c r="E30" s="142"/>
      <c r="F30" s="143"/>
      <c r="G30" s="117"/>
      <c r="H30" s="118" t="s">
        <v>1058</v>
      </c>
      <c r="I30" s="103" t="s">
        <v>28</v>
      </c>
      <c r="J30" s="104"/>
    </row>
    <row r="31" spans="1:13">
      <c r="A31" s="113" t="s">
        <v>998</v>
      </c>
      <c r="B31" s="114" t="s">
        <v>0</v>
      </c>
      <c r="C31" s="115" t="s">
        <v>149</v>
      </c>
      <c r="D31" s="116" t="s">
        <v>992</v>
      </c>
      <c r="E31" s="142"/>
      <c r="F31" s="143"/>
      <c r="G31" s="117"/>
      <c r="H31" s="118" t="s">
        <v>1059</v>
      </c>
      <c r="I31" s="103" t="s">
        <v>28</v>
      </c>
      <c r="J31" s="104"/>
    </row>
    <row r="32" spans="1:13">
      <c r="A32" s="113" t="s">
        <v>998</v>
      </c>
      <c r="B32" s="114" t="s">
        <v>0</v>
      </c>
      <c r="C32" s="115" t="s">
        <v>149</v>
      </c>
      <c r="D32" s="116" t="s">
        <v>993</v>
      </c>
      <c r="E32" s="142"/>
      <c r="F32" s="143"/>
      <c r="G32" s="117"/>
      <c r="H32" s="118" t="s">
        <v>1060</v>
      </c>
      <c r="I32" s="103" t="s">
        <v>28</v>
      </c>
      <c r="J32" s="104"/>
    </row>
    <row r="33" spans="1:13">
      <c r="A33" s="113" t="s">
        <v>998</v>
      </c>
      <c r="B33" s="114" t="s">
        <v>0</v>
      </c>
      <c r="C33" s="115" t="s">
        <v>149</v>
      </c>
      <c r="D33" s="116" t="s">
        <v>994</v>
      </c>
      <c r="E33" s="142"/>
      <c r="F33" s="143" t="s">
        <v>937</v>
      </c>
      <c r="G33" s="117"/>
      <c r="H33" s="118" t="s">
        <v>1061</v>
      </c>
      <c r="I33" s="103" t="s">
        <v>28</v>
      </c>
      <c r="J33" s="104"/>
    </row>
    <row r="34" spans="1:13">
      <c r="A34" s="113" t="s">
        <v>998</v>
      </c>
      <c r="B34" s="114" t="s">
        <v>0</v>
      </c>
      <c r="C34" s="115" t="s">
        <v>149</v>
      </c>
      <c r="D34" s="116" t="s">
        <v>995</v>
      </c>
      <c r="E34" s="142"/>
      <c r="F34" s="143"/>
      <c r="G34" s="117"/>
      <c r="H34" s="118" t="s">
        <v>1062</v>
      </c>
      <c r="I34" s="103" t="s">
        <v>28</v>
      </c>
      <c r="J34" s="104"/>
    </row>
    <row r="35" spans="1:13">
      <c r="A35" s="113" t="s">
        <v>998</v>
      </c>
      <c r="B35" s="114" t="s">
        <v>0</v>
      </c>
      <c r="C35" s="115" t="s">
        <v>149</v>
      </c>
      <c r="D35" s="116" t="s">
        <v>996</v>
      </c>
      <c r="E35" s="142"/>
      <c r="F35" s="143"/>
      <c r="G35" s="117"/>
      <c r="H35" s="119" t="s">
        <v>976</v>
      </c>
      <c r="I35" s="103" t="s">
        <v>28</v>
      </c>
      <c r="J35" s="104"/>
    </row>
    <row r="36" spans="1:13">
      <c r="A36" s="113" t="s">
        <v>998</v>
      </c>
      <c r="B36" s="114" t="s">
        <v>0</v>
      </c>
      <c r="C36" s="115" t="s">
        <v>149</v>
      </c>
      <c r="D36" s="116" t="s">
        <v>997</v>
      </c>
      <c r="E36" s="142"/>
      <c r="F36" s="143"/>
      <c r="G36" s="117"/>
      <c r="H36" s="118" t="s">
        <v>976</v>
      </c>
      <c r="I36" s="103" t="s">
        <v>28</v>
      </c>
      <c r="J36" s="104"/>
    </row>
    <row r="37" spans="1:13">
      <c r="A37" s="113" t="s">
        <v>998</v>
      </c>
      <c r="B37" s="114" t="s">
        <v>149</v>
      </c>
      <c r="C37" s="115" t="s">
        <v>149</v>
      </c>
      <c r="D37" s="116" t="s">
        <v>977</v>
      </c>
      <c r="E37" s="142" t="s">
        <v>937</v>
      </c>
      <c r="F37" s="143"/>
      <c r="G37" s="117"/>
      <c r="H37" s="117" t="s">
        <v>874</v>
      </c>
      <c r="I37" s="104" t="s">
        <v>28</v>
      </c>
    </row>
    <row r="38" spans="1:13">
      <c r="A38" s="113" t="s">
        <v>998</v>
      </c>
      <c r="B38" s="114" t="s">
        <v>149</v>
      </c>
      <c r="C38" s="115" t="s">
        <v>149</v>
      </c>
      <c r="D38" s="116" t="s">
        <v>971</v>
      </c>
      <c r="E38" s="142" t="s">
        <v>937</v>
      </c>
      <c r="F38" s="143"/>
      <c r="G38" s="117" t="s">
        <v>1280</v>
      </c>
      <c r="H38" s="117"/>
      <c r="I38" s="104" t="s">
        <v>28</v>
      </c>
    </row>
    <row r="39" spans="1:13" s="104" customFormat="1">
      <c r="A39" s="113" t="s">
        <v>998</v>
      </c>
      <c r="B39" s="114" t="s">
        <v>149</v>
      </c>
      <c r="C39" s="115" t="s">
        <v>0</v>
      </c>
      <c r="D39" s="116" t="s">
        <v>960</v>
      </c>
      <c r="E39" s="142" t="s">
        <v>39</v>
      </c>
      <c r="F39" s="143"/>
      <c r="G39" s="117"/>
      <c r="H39" s="117"/>
      <c r="I39" s="104" t="s">
        <v>28</v>
      </c>
      <c r="J39" s="103"/>
      <c r="K39" s="103"/>
      <c r="L39" s="103"/>
      <c r="M39" s="103"/>
    </row>
    <row r="40" spans="1:13">
      <c r="A40" s="113" t="s">
        <v>998</v>
      </c>
      <c r="B40" s="114" t="s">
        <v>149</v>
      </c>
      <c r="C40" s="115" t="s">
        <v>149</v>
      </c>
      <c r="D40" s="116" t="s">
        <v>150</v>
      </c>
      <c r="E40" s="142" t="s">
        <v>937</v>
      </c>
      <c r="F40" s="143"/>
      <c r="G40" s="117"/>
      <c r="H40" s="117"/>
      <c r="I40" s="104" t="s">
        <v>28</v>
      </c>
    </row>
    <row r="41" spans="1:13" s="104" customFormat="1">
      <c r="A41" s="113" t="s">
        <v>998</v>
      </c>
      <c r="B41" s="114" t="s">
        <v>149</v>
      </c>
      <c r="C41" s="115" t="s">
        <v>149</v>
      </c>
      <c r="D41" s="116" t="s">
        <v>981</v>
      </c>
      <c r="E41" s="142" t="s">
        <v>39</v>
      </c>
      <c r="F41" s="143"/>
      <c r="G41" s="117"/>
      <c r="H41" s="119" t="s">
        <v>144</v>
      </c>
      <c r="I41" s="104" t="s">
        <v>28</v>
      </c>
      <c r="J41" s="103"/>
      <c r="K41" s="103"/>
      <c r="L41" s="103"/>
      <c r="M41" s="103"/>
    </row>
    <row r="42" spans="1:13" s="104" customFormat="1">
      <c r="A42" s="113" t="s">
        <v>998</v>
      </c>
      <c r="B42" s="114" t="s">
        <v>149</v>
      </c>
      <c r="C42" s="115" t="s">
        <v>149</v>
      </c>
      <c r="D42" s="116" t="s">
        <v>982</v>
      </c>
      <c r="E42" s="142" t="s">
        <v>39</v>
      </c>
      <c r="F42" s="143"/>
      <c r="G42" s="117"/>
      <c r="H42" s="119" t="s">
        <v>145</v>
      </c>
      <c r="I42" s="104" t="s">
        <v>28</v>
      </c>
      <c r="J42" s="103"/>
      <c r="K42" s="103"/>
      <c r="L42" s="103"/>
      <c r="M42" s="103"/>
    </row>
    <row r="43" spans="1:13">
      <c r="A43" s="113" t="s">
        <v>998</v>
      </c>
      <c r="B43" s="114" t="s">
        <v>0</v>
      </c>
      <c r="C43" s="115" t="s">
        <v>149</v>
      </c>
      <c r="D43" s="116" t="s">
        <v>1151</v>
      </c>
      <c r="E43" s="142"/>
      <c r="F43" s="143"/>
      <c r="G43" s="117" t="s">
        <v>1152</v>
      </c>
      <c r="H43" s="117" t="s">
        <v>1153</v>
      </c>
      <c r="I43" s="104" t="s">
        <v>28</v>
      </c>
      <c r="L43" s="104"/>
    </row>
    <row r="44" spans="1:13" s="104" customFormat="1">
      <c r="A44" s="113" t="s">
        <v>998</v>
      </c>
      <c r="B44" s="114" t="s">
        <v>27</v>
      </c>
      <c r="C44" s="115" t="s">
        <v>0</v>
      </c>
      <c r="D44" s="116" t="s">
        <v>1259</v>
      </c>
      <c r="E44" s="142" t="s">
        <v>937</v>
      </c>
      <c r="F44" s="143"/>
      <c r="G44" s="117"/>
      <c r="H44" s="117" t="s">
        <v>1260</v>
      </c>
      <c r="I44" s="104" t="s">
        <v>28</v>
      </c>
      <c r="J44" s="103"/>
      <c r="K44" s="103"/>
      <c r="L44" s="103"/>
      <c r="M44" s="103"/>
    </row>
    <row r="45" spans="1:13" s="104" customFormat="1">
      <c r="A45" s="113" t="s">
        <v>998</v>
      </c>
      <c r="B45" s="114" t="s">
        <v>0</v>
      </c>
      <c r="C45" s="115" t="s">
        <v>149</v>
      </c>
      <c r="D45" s="116" t="s">
        <v>1345</v>
      </c>
      <c r="E45" s="142" t="s">
        <v>937</v>
      </c>
      <c r="F45" s="143"/>
      <c r="G45" s="117"/>
      <c r="H45" s="117"/>
      <c r="I45" s="104" t="s">
        <v>28</v>
      </c>
      <c r="J45" s="103"/>
      <c r="K45" s="103"/>
      <c r="L45" s="103"/>
      <c r="M45" s="103"/>
    </row>
    <row r="46" spans="1:13" s="104" customFormat="1">
      <c r="A46" s="113" t="s">
        <v>998</v>
      </c>
      <c r="B46" s="114" t="s">
        <v>0</v>
      </c>
      <c r="C46" s="115" t="s">
        <v>0</v>
      </c>
      <c r="D46" s="116" t="s">
        <v>1350</v>
      </c>
      <c r="E46" s="142" t="s">
        <v>937</v>
      </c>
      <c r="F46" s="143"/>
      <c r="G46" s="117"/>
      <c r="H46" s="117"/>
      <c r="I46" s="104" t="s">
        <v>28</v>
      </c>
      <c r="J46" s="103"/>
      <c r="K46" s="103"/>
      <c r="L46" s="103"/>
      <c r="M46" s="103"/>
    </row>
    <row r="47" spans="1:13" s="104" customFormat="1">
      <c r="A47" s="113" t="s">
        <v>998</v>
      </c>
      <c r="B47" s="114" t="s">
        <v>0</v>
      </c>
      <c r="C47" s="115" t="s">
        <v>149</v>
      </c>
      <c r="D47" s="116" t="s">
        <v>1356</v>
      </c>
      <c r="E47" s="142"/>
      <c r="F47" s="143"/>
      <c r="G47" s="117"/>
      <c r="H47" s="117" t="s">
        <v>1347</v>
      </c>
      <c r="I47" s="104" t="s">
        <v>28</v>
      </c>
      <c r="J47" s="103"/>
      <c r="K47" s="103"/>
      <c r="L47" s="103"/>
      <c r="M47" s="103"/>
    </row>
    <row r="48" spans="1:13" s="104" customFormat="1">
      <c r="A48" s="113" t="s">
        <v>998</v>
      </c>
      <c r="B48" s="114" t="s">
        <v>0</v>
      </c>
      <c r="C48" s="115" t="s">
        <v>149</v>
      </c>
      <c r="D48" s="116" t="s">
        <v>1357</v>
      </c>
      <c r="E48" s="142"/>
      <c r="F48" s="143"/>
      <c r="G48" s="117"/>
      <c r="H48" s="117" t="s">
        <v>1346</v>
      </c>
      <c r="I48" s="104" t="s">
        <v>28</v>
      </c>
      <c r="J48" s="103"/>
      <c r="K48" s="103"/>
      <c r="L48" s="103"/>
      <c r="M48" s="103"/>
    </row>
    <row r="49" spans="1:13" s="104" customFormat="1">
      <c r="A49" s="113" t="s">
        <v>998</v>
      </c>
      <c r="B49" s="114" t="s">
        <v>0</v>
      </c>
      <c r="C49" s="115" t="s">
        <v>149</v>
      </c>
      <c r="D49" s="116" t="s">
        <v>1339</v>
      </c>
      <c r="E49" s="142" t="s">
        <v>937</v>
      </c>
      <c r="F49" s="143"/>
      <c r="G49" s="117"/>
      <c r="H49" s="117" t="s">
        <v>1340</v>
      </c>
      <c r="I49" s="104" t="s">
        <v>28</v>
      </c>
      <c r="J49" s="103"/>
      <c r="K49" s="103"/>
      <c r="L49" s="103"/>
      <c r="M49" s="103"/>
    </row>
    <row r="50" spans="1:13" s="104" customFormat="1">
      <c r="A50" s="113" t="s">
        <v>998</v>
      </c>
      <c r="B50" s="114" t="s">
        <v>0</v>
      </c>
      <c r="C50" s="115" t="s">
        <v>149</v>
      </c>
      <c r="D50" s="122" t="s">
        <v>1349</v>
      </c>
      <c r="E50" s="142" t="s">
        <v>937</v>
      </c>
      <c r="F50" s="143"/>
      <c r="G50" s="117"/>
      <c r="H50" s="117"/>
      <c r="I50" s="104" t="s">
        <v>28</v>
      </c>
      <c r="J50" s="103"/>
      <c r="K50" s="103"/>
      <c r="L50" s="103"/>
      <c r="M50" s="103"/>
    </row>
    <row r="51" spans="1:13" s="104" customFormat="1">
      <c r="A51" s="113" t="s">
        <v>998</v>
      </c>
      <c r="B51" s="114" t="s">
        <v>0</v>
      </c>
      <c r="C51" s="115" t="s">
        <v>149</v>
      </c>
      <c r="D51" s="116" t="s">
        <v>1341</v>
      </c>
      <c r="E51" s="142"/>
      <c r="F51" s="143"/>
      <c r="G51" s="117"/>
      <c r="H51" s="117"/>
      <c r="I51" s="104" t="s">
        <v>28</v>
      </c>
      <c r="J51" s="103"/>
      <c r="K51" s="103"/>
      <c r="L51" s="103"/>
      <c r="M51" s="103"/>
    </row>
    <row r="52" spans="1:13" s="104" customFormat="1">
      <c r="A52" s="113" t="s">
        <v>998</v>
      </c>
      <c r="B52" s="114" t="s">
        <v>0</v>
      </c>
      <c r="C52" s="115" t="s">
        <v>149</v>
      </c>
      <c r="D52" s="116" t="s">
        <v>1525</v>
      </c>
      <c r="E52" s="142" t="s">
        <v>937</v>
      </c>
      <c r="F52" s="143"/>
      <c r="G52" s="117"/>
      <c r="H52" s="117" t="s">
        <v>1524</v>
      </c>
      <c r="I52" s="104" t="s">
        <v>28</v>
      </c>
      <c r="J52" s="103"/>
      <c r="K52" s="103"/>
      <c r="L52" s="103"/>
      <c r="M52" s="103"/>
    </row>
    <row r="53" spans="1:13" s="104" customFormat="1">
      <c r="A53" s="113" t="s">
        <v>998</v>
      </c>
      <c r="B53" s="114" t="s">
        <v>0</v>
      </c>
      <c r="C53" s="115" t="s">
        <v>149</v>
      </c>
      <c r="D53" s="116" t="s">
        <v>1529</v>
      </c>
      <c r="E53" s="142"/>
      <c r="F53" s="143"/>
      <c r="G53" s="117"/>
      <c r="H53" s="117"/>
      <c r="I53" s="104" t="s">
        <v>28</v>
      </c>
      <c r="J53" s="103"/>
      <c r="K53" s="103"/>
      <c r="L53" s="103"/>
      <c r="M53" s="103"/>
    </row>
    <row r="54" spans="1:13">
      <c r="A54" s="113" t="s">
        <v>936</v>
      </c>
      <c r="B54" s="114" t="s">
        <v>149</v>
      </c>
      <c r="C54" s="115" t="s">
        <v>149</v>
      </c>
      <c r="D54" s="116" t="s">
        <v>987</v>
      </c>
      <c r="E54" s="142" t="s">
        <v>937</v>
      </c>
      <c r="F54" s="143"/>
      <c r="G54" s="117"/>
      <c r="H54" s="117" t="s">
        <v>949</v>
      </c>
      <c r="I54" s="104" t="s">
        <v>28</v>
      </c>
    </row>
    <row r="55" spans="1:13">
      <c r="A55" s="113" t="s">
        <v>936</v>
      </c>
      <c r="B55" s="114" t="s">
        <v>149</v>
      </c>
      <c r="C55" s="115" t="s">
        <v>149</v>
      </c>
      <c r="D55" s="116" t="s">
        <v>978</v>
      </c>
      <c r="E55" s="142" t="s">
        <v>937</v>
      </c>
      <c r="F55" s="143"/>
      <c r="G55" s="117"/>
      <c r="H55" s="117" t="s">
        <v>874</v>
      </c>
      <c r="I55" s="104" t="s">
        <v>28</v>
      </c>
    </row>
    <row r="56" spans="1:13" s="104" customFormat="1">
      <c r="A56" s="113" t="s">
        <v>936</v>
      </c>
      <c r="B56" s="114" t="s">
        <v>149</v>
      </c>
      <c r="C56" s="115" t="s">
        <v>0</v>
      </c>
      <c r="D56" s="116" t="s">
        <v>1348</v>
      </c>
      <c r="E56" s="142" t="s">
        <v>937</v>
      </c>
      <c r="F56" s="143" t="s">
        <v>937</v>
      </c>
      <c r="G56" s="117"/>
      <c r="H56" s="117"/>
      <c r="I56" s="104" t="s">
        <v>28</v>
      </c>
      <c r="J56" s="103"/>
      <c r="K56" s="103"/>
      <c r="L56" s="103"/>
      <c r="M56" s="103"/>
    </row>
    <row r="57" spans="1:13">
      <c r="A57" s="113" t="s">
        <v>146</v>
      </c>
      <c r="B57" s="114" t="s">
        <v>0</v>
      </c>
      <c r="C57" s="115" t="s">
        <v>149</v>
      </c>
      <c r="D57" s="116" t="s">
        <v>45</v>
      </c>
      <c r="E57" s="142" t="s">
        <v>937</v>
      </c>
      <c r="F57" s="143"/>
      <c r="G57" s="117"/>
      <c r="H57" s="117"/>
      <c r="I57" s="103" t="s">
        <v>28</v>
      </c>
      <c r="J57" s="104"/>
      <c r="M57" s="104"/>
    </row>
    <row r="58" spans="1:13">
      <c r="A58" s="113" t="s">
        <v>146</v>
      </c>
      <c r="B58" s="114" t="s">
        <v>27</v>
      </c>
      <c r="C58" s="115" t="s">
        <v>149</v>
      </c>
      <c r="D58" s="122" t="s">
        <v>1015</v>
      </c>
      <c r="E58" s="142" t="s">
        <v>937</v>
      </c>
      <c r="F58" s="143" t="s">
        <v>937</v>
      </c>
      <c r="G58" s="117"/>
      <c r="H58" s="123" t="s">
        <v>1016</v>
      </c>
      <c r="I58" s="103" t="s">
        <v>28</v>
      </c>
      <c r="J58" s="104"/>
      <c r="M58" s="104"/>
    </row>
    <row r="59" spans="1:13">
      <c r="A59" s="113" t="s">
        <v>146</v>
      </c>
      <c r="B59" s="114" t="s">
        <v>27</v>
      </c>
      <c r="C59" s="115" t="s">
        <v>149</v>
      </c>
      <c r="D59" s="122" t="s">
        <v>1014</v>
      </c>
      <c r="E59" s="142" t="s">
        <v>937</v>
      </c>
      <c r="F59" s="143" t="s">
        <v>937</v>
      </c>
      <c r="G59" s="117"/>
      <c r="H59" s="117" t="s">
        <v>1013</v>
      </c>
      <c r="I59" s="103" t="s">
        <v>28</v>
      </c>
      <c r="J59" s="104"/>
      <c r="M59" s="104"/>
    </row>
    <row r="60" spans="1:13">
      <c r="A60" s="113" t="s">
        <v>146</v>
      </c>
      <c r="B60" s="114" t="s">
        <v>0</v>
      </c>
      <c r="C60" s="115" t="s">
        <v>149</v>
      </c>
      <c r="D60" s="116" t="s">
        <v>986</v>
      </c>
      <c r="E60" s="142" t="s">
        <v>937</v>
      </c>
      <c r="F60" s="143"/>
      <c r="G60" s="124"/>
      <c r="H60" s="117"/>
      <c r="I60" s="103" t="s">
        <v>28</v>
      </c>
      <c r="J60" s="104"/>
      <c r="M60" s="104"/>
    </row>
    <row r="61" spans="1:13">
      <c r="A61" s="113" t="s">
        <v>146</v>
      </c>
      <c r="B61" s="114" t="s">
        <v>0</v>
      </c>
      <c r="C61" s="115" t="s">
        <v>149</v>
      </c>
      <c r="D61" s="116" t="s">
        <v>46</v>
      </c>
      <c r="E61" s="142" t="s">
        <v>937</v>
      </c>
      <c r="F61" s="143"/>
      <c r="G61" s="124"/>
      <c r="H61" s="117"/>
      <c r="I61" s="103" t="s">
        <v>28</v>
      </c>
      <c r="J61" s="104"/>
      <c r="M61" s="104"/>
    </row>
    <row r="62" spans="1:13">
      <c r="A62" s="113" t="s">
        <v>146</v>
      </c>
      <c r="B62" s="114" t="s">
        <v>0</v>
      </c>
      <c r="C62" s="115" t="s">
        <v>149</v>
      </c>
      <c r="D62" s="116" t="s">
        <v>979</v>
      </c>
      <c r="E62" s="142" t="s">
        <v>937</v>
      </c>
      <c r="F62" s="143"/>
      <c r="G62" s="124"/>
      <c r="H62" s="117"/>
      <c r="I62" s="103" t="s">
        <v>28</v>
      </c>
      <c r="J62" s="104"/>
      <c r="M62" s="104"/>
    </row>
    <row r="63" spans="1:13">
      <c r="A63" s="113" t="s">
        <v>146</v>
      </c>
      <c r="B63" s="114" t="s">
        <v>0</v>
      </c>
      <c r="C63" s="115" t="s">
        <v>149</v>
      </c>
      <c r="D63" s="116" t="s">
        <v>980</v>
      </c>
      <c r="E63" s="142" t="s">
        <v>937</v>
      </c>
      <c r="F63" s="143"/>
      <c r="G63" s="124"/>
      <c r="H63" s="117"/>
      <c r="I63" s="103" t="s">
        <v>28</v>
      </c>
      <c r="J63" s="104"/>
      <c r="M63" s="104"/>
    </row>
    <row r="64" spans="1:13">
      <c r="A64" s="113" t="s">
        <v>146</v>
      </c>
      <c r="B64" s="114" t="s">
        <v>0</v>
      </c>
      <c r="C64" s="115" t="s">
        <v>149</v>
      </c>
      <c r="D64" s="116" t="s">
        <v>975</v>
      </c>
      <c r="E64" s="142"/>
      <c r="F64" s="143"/>
      <c r="G64" s="117"/>
      <c r="H64" s="117" t="s">
        <v>1063</v>
      </c>
      <c r="I64" s="103" t="s">
        <v>28</v>
      </c>
      <c r="J64" s="104"/>
      <c r="M64" s="104"/>
    </row>
    <row r="65" spans="1:13">
      <c r="A65" s="113" t="s">
        <v>146</v>
      </c>
      <c r="B65" s="114" t="s">
        <v>0</v>
      </c>
      <c r="C65" s="115" t="s">
        <v>149</v>
      </c>
      <c r="D65" s="122" t="s">
        <v>1019</v>
      </c>
      <c r="E65" s="142" t="s">
        <v>937</v>
      </c>
      <c r="F65" s="143"/>
      <c r="G65" s="117"/>
      <c r="H65" s="117"/>
      <c r="I65" s="104" t="s">
        <v>28</v>
      </c>
      <c r="L65" s="104"/>
    </row>
    <row r="66" spans="1:13">
      <c r="A66" s="113" t="s">
        <v>146</v>
      </c>
      <c r="B66" s="114" t="s">
        <v>0</v>
      </c>
      <c r="C66" s="115" t="s">
        <v>149</v>
      </c>
      <c r="D66" s="122" t="s">
        <v>1018</v>
      </c>
      <c r="E66" s="142" t="s">
        <v>937</v>
      </c>
      <c r="F66" s="143" t="s">
        <v>937</v>
      </c>
      <c r="G66" s="117"/>
      <c r="H66" s="117" t="s">
        <v>1337</v>
      </c>
      <c r="I66" s="104" t="s">
        <v>28</v>
      </c>
      <c r="L66" s="104"/>
    </row>
    <row r="67" spans="1:13">
      <c r="A67" s="113" t="s">
        <v>146</v>
      </c>
      <c r="B67" s="114" t="s">
        <v>0</v>
      </c>
      <c r="C67" s="115" t="s">
        <v>149</v>
      </c>
      <c r="D67" s="122" t="s">
        <v>47</v>
      </c>
      <c r="E67" s="142" t="s">
        <v>937</v>
      </c>
      <c r="F67" s="143"/>
      <c r="G67" s="117"/>
      <c r="H67" s="125"/>
      <c r="I67" s="104" t="s">
        <v>28</v>
      </c>
      <c r="L67" s="104"/>
    </row>
    <row r="68" spans="1:13">
      <c r="A68" s="113" t="s">
        <v>146</v>
      </c>
      <c r="B68" s="114" t="s">
        <v>27</v>
      </c>
      <c r="C68" s="115" t="s">
        <v>149</v>
      </c>
      <c r="D68" s="122" t="s">
        <v>1040</v>
      </c>
      <c r="E68" s="142" t="s">
        <v>937</v>
      </c>
      <c r="F68" s="143"/>
      <c r="G68" s="117"/>
      <c r="H68" s="125"/>
      <c r="I68" s="104" t="s">
        <v>28</v>
      </c>
      <c r="L68" s="104"/>
    </row>
    <row r="69" spans="1:13">
      <c r="A69" s="113" t="s">
        <v>146</v>
      </c>
      <c r="B69" s="114" t="s">
        <v>27</v>
      </c>
      <c r="C69" s="115" t="s">
        <v>149</v>
      </c>
      <c r="D69" s="122" t="s">
        <v>1041</v>
      </c>
      <c r="E69" s="142" t="s">
        <v>937</v>
      </c>
      <c r="F69" s="143"/>
      <c r="G69" s="117"/>
      <c r="H69" s="125"/>
      <c r="I69" s="104" t="s">
        <v>28</v>
      </c>
      <c r="L69" s="104"/>
    </row>
    <row r="70" spans="1:13">
      <c r="A70" s="113" t="s">
        <v>146</v>
      </c>
      <c r="B70" s="114" t="s">
        <v>0</v>
      </c>
      <c r="C70" s="115" t="s">
        <v>149</v>
      </c>
      <c r="D70" s="122" t="s">
        <v>1017</v>
      </c>
      <c r="E70" s="142" t="s">
        <v>937</v>
      </c>
      <c r="F70" s="143"/>
      <c r="G70" s="117"/>
      <c r="H70" s="125"/>
      <c r="I70" s="104" t="s">
        <v>28</v>
      </c>
      <c r="L70" s="104"/>
    </row>
    <row r="71" spans="1:13">
      <c r="A71" s="113" t="s">
        <v>146</v>
      </c>
      <c r="B71" s="114" t="s">
        <v>27</v>
      </c>
      <c r="C71" s="115" t="s">
        <v>149</v>
      </c>
      <c r="D71" s="126" t="s">
        <v>151</v>
      </c>
      <c r="E71" s="142" t="s">
        <v>937</v>
      </c>
      <c r="F71" s="143"/>
      <c r="G71" s="117"/>
      <c r="H71" s="117"/>
      <c r="I71" s="104" t="s">
        <v>28</v>
      </c>
    </row>
    <row r="72" spans="1:13" s="104" customFormat="1">
      <c r="A72" s="113" t="s">
        <v>146</v>
      </c>
      <c r="B72" s="114" t="s">
        <v>149</v>
      </c>
      <c r="C72" s="115" t="s">
        <v>0</v>
      </c>
      <c r="D72" s="116" t="s">
        <v>959</v>
      </c>
      <c r="E72" s="142" t="s">
        <v>39</v>
      </c>
      <c r="F72" s="143"/>
      <c r="G72" s="117"/>
      <c r="H72" s="117" t="s">
        <v>973</v>
      </c>
      <c r="I72" s="104" t="s">
        <v>28</v>
      </c>
      <c r="J72" s="103"/>
      <c r="K72" s="103"/>
      <c r="L72" s="103"/>
      <c r="M72" s="103"/>
    </row>
    <row r="73" spans="1:13" s="104" customFormat="1">
      <c r="A73" s="113" t="s">
        <v>146</v>
      </c>
      <c r="B73" s="114" t="s">
        <v>149</v>
      </c>
      <c r="C73" s="115" t="s">
        <v>0</v>
      </c>
      <c r="D73" s="116" t="s">
        <v>1342</v>
      </c>
      <c r="E73" s="142" t="s">
        <v>937</v>
      </c>
      <c r="F73" s="143"/>
      <c r="G73" s="117"/>
      <c r="H73" s="117"/>
      <c r="I73" s="104" t="s">
        <v>28</v>
      </c>
      <c r="J73" s="103"/>
      <c r="K73" s="103"/>
      <c r="L73" s="103"/>
      <c r="M73" s="103"/>
    </row>
    <row r="74" spans="1:13" s="104" customFormat="1">
      <c r="A74" s="113" t="s">
        <v>146</v>
      </c>
      <c r="B74" s="114" t="s">
        <v>149</v>
      </c>
      <c r="C74" s="115" t="s">
        <v>0</v>
      </c>
      <c r="D74" s="116" t="s">
        <v>1338</v>
      </c>
      <c r="E74" s="142" t="s">
        <v>937</v>
      </c>
      <c r="F74" s="143"/>
      <c r="G74" s="117"/>
      <c r="H74" s="117"/>
      <c r="I74" s="104" t="s">
        <v>28</v>
      </c>
      <c r="J74" s="103"/>
      <c r="K74" s="103"/>
      <c r="L74" s="103"/>
      <c r="M74" s="103"/>
    </row>
    <row r="75" spans="1:13" s="104" customFormat="1">
      <c r="A75" s="113" t="s">
        <v>146</v>
      </c>
      <c r="B75" s="114" t="s">
        <v>149</v>
      </c>
      <c r="C75" s="115" t="s">
        <v>0</v>
      </c>
      <c r="D75" s="116" t="s">
        <v>1343</v>
      </c>
      <c r="E75" s="142" t="s">
        <v>937</v>
      </c>
      <c r="F75" s="143"/>
      <c r="G75" s="117"/>
      <c r="H75" s="117"/>
      <c r="I75" s="104" t="s">
        <v>28</v>
      </c>
      <c r="J75" s="103"/>
      <c r="K75" s="103"/>
      <c r="L75" s="103"/>
      <c r="M75" s="103"/>
    </row>
    <row r="76" spans="1:13" s="104" customFormat="1">
      <c r="A76" s="113" t="s">
        <v>146</v>
      </c>
      <c r="B76" s="114" t="s">
        <v>149</v>
      </c>
      <c r="C76" s="115" t="s">
        <v>0</v>
      </c>
      <c r="D76" s="116" t="s">
        <v>1543</v>
      </c>
      <c r="E76" s="142" t="s">
        <v>937</v>
      </c>
      <c r="F76" s="143"/>
      <c r="G76" s="117"/>
      <c r="H76" s="171" t="s">
        <v>1544</v>
      </c>
      <c r="I76" s="104" t="s">
        <v>28</v>
      </c>
      <c r="J76" s="103"/>
      <c r="K76" s="103"/>
      <c r="L76" s="103"/>
      <c r="M76" s="103"/>
    </row>
    <row r="77" spans="1:13" s="104" customFormat="1">
      <c r="A77" s="113" t="s">
        <v>1359</v>
      </c>
      <c r="B77" s="114" t="s">
        <v>149</v>
      </c>
      <c r="C77" s="115" t="s">
        <v>0</v>
      </c>
      <c r="D77" s="116" t="s">
        <v>1344</v>
      </c>
      <c r="E77" s="142" t="s">
        <v>937</v>
      </c>
      <c r="F77" s="143"/>
      <c r="G77" s="117"/>
      <c r="H77" s="117"/>
      <c r="I77" s="104" t="s">
        <v>28</v>
      </c>
      <c r="J77" s="103"/>
      <c r="K77" s="103"/>
      <c r="L77" s="103"/>
      <c r="M77" s="103"/>
    </row>
    <row r="78" spans="1:13" s="104" customFormat="1">
      <c r="A78" s="113" t="s">
        <v>1359</v>
      </c>
      <c r="B78" s="114" t="s">
        <v>27</v>
      </c>
      <c r="C78" s="115" t="s">
        <v>0</v>
      </c>
      <c r="D78" s="116" t="s">
        <v>1358</v>
      </c>
      <c r="E78" s="142" t="s">
        <v>937</v>
      </c>
      <c r="F78" s="143"/>
      <c r="G78" s="117"/>
      <c r="H78" s="117"/>
      <c r="I78" s="104" t="s">
        <v>28</v>
      </c>
      <c r="J78" s="103"/>
      <c r="K78" s="103"/>
      <c r="L78" s="103"/>
      <c r="M78" s="103"/>
    </row>
    <row r="79" spans="1:13" s="104" customFormat="1">
      <c r="A79" s="113" t="s">
        <v>1359</v>
      </c>
      <c r="B79" s="114" t="s">
        <v>27</v>
      </c>
      <c r="C79" s="115" t="s">
        <v>0</v>
      </c>
      <c r="D79" s="116" t="s">
        <v>1360</v>
      </c>
      <c r="E79" s="142" t="s">
        <v>937</v>
      </c>
      <c r="F79" s="143"/>
      <c r="G79" s="117"/>
      <c r="H79" s="117"/>
      <c r="I79" s="104" t="s">
        <v>28</v>
      </c>
      <c r="J79" s="103"/>
      <c r="K79" s="103"/>
      <c r="L79" s="103"/>
      <c r="M79" s="103"/>
    </row>
    <row r="80" spans="1:13">
      <c r="A80" s="113" t="s">
        <v>1359</v>
      </c>
      <c r="B80" s="114" t="s">
        <v>0</v>
      </c>
      <c r="C80" s="115" t="s">
        <v>149</v>
      </c>
      <c r="D80" s="116" t="s">
        <v>983</v>
      </c>
      <c r="E80" s="142" t="s">
        <v>937</v>
      </c>
      <c r="F80" s="143"/>
      <c r="G80" s="117"/>
      <c r="H80" s="117" t="s">
        <v>988</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546</v>
      </c>
      <c r="G3" s="82"/>
      <c r="H3" s="82"/>
      <c r="I3" s="82"/>
      <c r="J3" s="82"/>
      <c r="K3" s="82"/>
      <c r="L3" s="82"/>
      <c r="M3" s="83"/>
    </row>
    <row r="4" spans="2:15">
      <c r="C4" s="23" t="s">
        <v>175</v>
      </c>
      <c r="D4" s="24"/>
      <c r="E4" s="25"/>
      <c r="F4" s="20" t="s">
        <v>1277</v>
      </c>
      <c r="G4" s="21"/>
      <c r="H4" s="21"/>
      <c r="I4" s="21"/>
      <c r="J4" s="21"/>
      <c r="K4" s="21"/>
      <c r="L4" s="21"/>
      <c r="M4" s="22"/>
      <c r="O4" s="84" t="str">
        <f>HYPERLINK(F4,"→")</f>
        <v>→</v>
      </c>
    </row>
    <row r="5" spans="2:15">
      <c r="C5" s="23" t="s">
        <v>176</v>
      </c>
      <c r="D5" s="24"/>
      <c r="E5" s="25"/>
      <c r="F5" s="20" t="s">
        <v>1278</v>
      </c>
      <c r="G5" s="21"/>
      <c r="H5" s="21"/>
      <c r="I5" s="21"/>
      <c r="J5" s="21"/>
      <c r="K5" s="21"/>
      <c r="L5" s="21"/>
      <c r="M5" s="22"/>
      <c r="O5" s="84" t="str">
        <f t="shared" ref="O5:O6" si="0">HYPERLINK(F5,"→")</f>
        <v>→</v>
      </c>
    </row>
    <row r="6" spans="2:15">
      <c r="C6" s="23" t="s">
        <v>177</v>
      </c>
      <c r="D6" s="24"/>
      <c r="E6" s="25"/>
      <c r="F6" s="20" t="s">
        <v>1279</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866</v>
      </c>
      <c r="D9" s="24"/>
      <c r="E9" s="25"/>
      <c r="F9" s="20" t="s">
        <v>867</v>
      </c>
      <c r="G9" s="21"/>
      <c r="H9" s="21"/>
      <c r="I9" s="21"/>
      <c r="J9" s="21"/>
      <c r="K9" s="21"/>
      <c r="L9" s="21"/>
      <c r="M9" s="22"/>
    </row>
    <row r="11" spans="2:15">
      <c r="B11" s="27" t="s">
        <v>186</v>
      </c>
    </row>
    <row r="12" spans="2:15">
      <c r="C12" s="72" t="s">
        <v>526</v>
      </c>
      <c r="D12" s="72"/>
      <c r="E12" s="72"/>
      <c r="F12" s="74" t="s">
        <v>526</v>
      </c>
      <c r="G12" s="73" t="s">
        <v>528</v>
      </c>
      <c r="H12" s="73"/>
      <c r="I12" s="73"/>
      <c r="J12" s="74" t="s">
        <v>527</v>
      </c>
    </row>
    <row r="13" spans="2:15" ht="3.6" customHeight="1">
      <c r="C13" s="16"/>
      <c r="D13" s="16"/>
      <c r="E13" s="16"/>
      <c r="F13" s="16"/>
      <c r="G13" s="16"/>
      <c r="H13" s="16"/>
      <c r="I13" s="16"/>
      <c r="J13" s="16"/>
    </row>
    <row r="14" spans="2:15">
      <c r="C14" s="9" t="s">
        <v>525</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525</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525</v>
      </c>
      <c r="D16" s="9" t="s">
        <v>127</v>
      </c>
      <c r="E16" s="9" t="s">
        <v>130</v>
      </c>
      <c r="F16" s="10" t="str">
        <f t="shared" si="3"/>
        <v>Common_Edit</v>
      </c>
      <c r="G16" s="10">
        <f t="shared" ca="1" si="4"/>
        <v>1</v>
      </c>
      <c r="H16" s="10">
        <f t="shared" ca="1" si="1"/>
        <v>1</v>
      </c>
      <c r="I16" s="10">
        <f t="shared" ca="1" si="2"/>
        <v>3</v>
      </c>
      <c r="J16" s="10" t="str">
        <f t="shared" ca="1" si="5"/>
        <v>113</v>
      </c>
    </row>
    <row r="17" spans="3:10">
      <c r="C17" s="9" t="s">
        <v>525</v>
      </c>
      <c r="D17" s="9" t="s">
        <v>131</v>
      </c>
      <c r="E17" s="9" t="s">
        <v>128</v>
      </c>
      <c r="F17" s="10" t="str">
        <f t="shared" si="3"/>
        <v>Doc_Analyze</v>
      </c>
      <c r="G17" s="10">
        <f t="shared" ca="1" si="4"/>
        <v>1</v>
      </c>
      <c r="H17" s="10">
        <f t="shared" ca="1" si="1"/>
        <v>2</v>
      </c>
      <c r="I17" s="10">
        <f t="shared" ca="1" si="2"/>
        <v>1</v>
      </c>
      <c r="J17" s="10" t="str">
        <f t="shared" ca="1" si="5"/>
        <v>121</v>
      </c>
    </row>
    <row r="18" spans="3:10">
      <c r="C18" s="9" t="s">
        <v>525</v>
      </c>
      <c r="D18" s="9" t="s">
        <v>131</v>
      </c>
      <c r="E18" s="9" t="s">
        <v>129</v>
      </c>
      <c r="F18" s="10" t="str">
        <f t="shared" si="3"/>
        <v>Doc_View</v>
      </c>
      <c r="G18" s="10">
        <f t="shared" ca="1" si="4"/>
        <v>1</v>
      </c>
      <c r="H18" s="10">
        <f t="shared" ca="1" si="1"/>
        <v>2</v>
      </c>
      <c r="I18" s="10">
        <f t="shared" ca="1" si="2"/>
        <v>2</v>
      </c>
      <c r="J18" s="10" t="str">
        <f t="shared" ca="1" si="5"/>
        <v>122</v>
      </c>
    </row>
    <row r="19" spans="3:10">
      <c r="C19" s="9" t="s">
        <v>525</v>
      </c>
      <c r="D19" s="9" t="s">
        <v>131</v>
      </c>
      <c r="E19" s="9" t="s">
        <v>130</v>
      </c>
      <c r="F19" s="10" t="str">
        <f t="shared" si="3"/>
        <v>Doc_Edit</v>
      </c>
      <c r="G19" s="10">
        <f t="shared" ca="1" si="4"/>
        <v>1</v>
      </c>
      <c r="H19" s="10">
        <f t="shared" ca="1" si="1"/>
        <v>2</v>
      </c>
      <c r="I19" s="10">
        <f t="shared" ca="1" si="2"/>
        <v>3</v>
      </c>
      <c r="J19" s="10" t="str">
        <f t="shared" ca="1" si="5"/>
        <v>123</v>
      </c>
    </row>
    <row r="20" spans="3:10">
      <c r="C20" s="9" t="s">
        <v>525</v>
      </c>
      <c r="D20" s="9" t="s">
        <v>132</v>
      </c>
      <c r="E20" s="9" t="s">
        <v>133</v>
      </c>
      <c r="F20" s="10" t="str">
        <f t="shared" si="3"/>
        <v>Music_Analyze</v>
      </c>
      <c r="G20" s="10">
        <f t="shared" ca="1" si="4"/>
        <v>1</v>
      </c>
      <c r="H20" s="10">
        <f t="shared" ca="1" si="1"/>
        <v>3</v>
      </c>
      <c r="I20" s="10">
        <f t="shared" ca="1" si="2"/>
        <v>1</v>
      </c>
      <c r="J20" s="10" t="str">
        <f t="shared" ca="1" si="5"/>
        <v>131</v>
      </c>
    </row>
    <row r="21" spans="3:10">
      <c r="C21" s="9" t="s">
        <v>525</v>
      </c>
      <c r="D21" s="9" t="s">
        <v>132</v>
      </c>
      <c r="E21" s="9" t="s">
        <v>134</v>
      </c>
      <c r="F21" s="10" t="str">
        <f t="shared" si="3"/>
        <v>Music_Record</v>
      </c>
      <c r="G21" s="10">
        <f t="shared" ca="1" si="4"/>
        <v>1</v>
      </c>
      <c r="H21" s="10">
        <f t="shared" ca="1" si="1"/>
        <v>3</v>
      </c>
      <c r="I21" s="10">
        <f t="shared" ca="1" si="2"/>
        <v>2</v>
      </c>
      <c r="J21" s="10" t="str">
        <f t="shared" ca="1" si="5"/>
        <v>132</v>
      </c>
    </row>
    <row r="22" spans="3:10">
      <c r="C22" s="9" t="s">
        <v>525</v>
      </c>
      <c r="D22" s="9" t="s">
        <v>132</v>
      </c>
      <c r="E22" s="9" t="s">
        <v>135</v>
      </c>
      <c r="F22" s="10" t="str">
        <f t="shared" si="3"/>
        <v>Music_Listen</v>
      </c>
      <c r="G22" s="10">
        <f t="shared" ca="1" si="4"/>
        <v>1</v>
      </c>
      <c r="H22" s="10">
        <f t="shared" ca="1" si="1"/>
        <v>3</v>
      </c>
      <c r="I22" s="10">
        <f t="shared" ca="1" si="2"/>
        <v>3</v>
      </c>
      <c r="J22" s="10" t="str">
        <f t="shared" ca="1" si="5"/>
        <v>133</v>
      </c>
    </row>
    <row r="23" spans="3:10">
      <c r="C23" s="9" t="s">
        <v>525</v>
      </c>
      <c r="D23" s="9" t="s">
        <v>132</v>
      </c>
      <c r="E23" s="9" t="s">
        <v>130</v>
      </c>
      <c r="F23" s="10" t="str">
        <f t="shared" si="3"/>
        <v>Music_Edit</v>
      </c>
      <c r="G23" s="10">
        <f t="shared" ca="1" si="4"/>
        <v>1</v>
      </c>
      <c r="H23" s="10">
        <f t="shared" ca="1" si="1"/>
        <v>3</v>
      </c>
      <c r="I23" s="10">
        <f t="shared" ca="1" si="2"/>
        <v>4</v>
      </c>
      <c r="J23" s="10" t="str">
        <f t="shared" ca="1" si="5"/>
        <v>134</v>
      </c>
    </row>
    <row r="24" spans="3:10">
      <c r="C24" s="9" t="s">
        <v>525</v>
      </c>
      <c r="D24" s="9" t="s">
        <v>136</v>
      </c>
      <c r="E24" s="9" t="s">
        <v>133</v>
      </c>
      <c r="F24" s="10" t="str">
        <f t="shared" si="3"/>
        <v>Movie_Analyze</v>
      </c>
      <c r="G24" s="10">
        <f t="shared" ca="1" si="4"/>
        <v>1</v>
      </c>
      <c r="H24" s="10">
        <f t="shared" ca="1" si="1"/>
        <v>4</v>
      </c>
      <c r="I24" s="10">
        <f t="shared" ca="1" si="2"/>
        <v>1</v>
      </c>
      <c r="J24" s="10" t="str">
        <f t="shared" ca="1" si="5"/>
        <v>141</v>
      </c>
    </row>
    <row r="25" spans="3:10">
      <c r="C25" s="9" t="s">
        <v>525</v>
      </c>
      <c r="D25" s="9" t="s">
        <v>136</v>
      </c>
      <c r="E25" s="9" t="s">
        <v>134</v>
      </c>
      <c r="F25" s="10" t="str">
        <f t="shared" si="3"/>
        <v>Movie_Record</v>
      </c>
      <c r="G25" s="10">
        <f t="shared" ca="1" si="4"/>
        <v>1</v>
      </c>
      <c r="H25" s="10">
        <f t="shared" ca="1" si="1"/>
        <v>4</v>
      </c>
      <c r="I25" s="10">
        <f t="shared" ca="1" si="2"/>
        <v>2</v>
      </c>
      <c r="J25" s="10" t="str">
        <f t="shared" ca="1" si="5"/>
        <v>142</v>
      </c>
    </row>
    <row r="26" spans="3:10">
      <c r="C26" s="9" t="s">
        <v>525</v>
      </c>
      <c r="D26" s="9" t="s">
        <v>136</v>
      </c>
      <c r="E26" s="9" t="s">
        <v>130</v>
      </c>
      <c r="F26" s="10" t="str">
        <f t="shared" si="3"/>
        <v>Movie_Edit</v>
      </c>
      <c r="G26" s="10">
        <f t="shared" ca="1" si="4"/>
        <v>1</v>
      </c>
      <c r="H26" s="10">
        <f t="shared" ca="1" si="1"/>
        <v>4</v>
      </c>
      <c r="I26" s="10">
        <f t="shared" ca="1" si="2"/>
        <v>3</v>
      </c>
      <c r="J26" s="10" t="str">
        <f t="shared" ca="1" si="5"/>
        <v>143</v>
      </c>
    </row>
    <row r="27" spans="3:10">
      <c r="C27" s="9" t="s">
        <v>525</v>
      </c>
      <c r="D27" s="9" t="s">
        <v>136</v>
      </c>
      <c r="E27" s="9" t="s">
        <v>129</v>
      </c>
      <c r="F27" s="10" t="str">
        <f t="shared" si="3"/>
        <v>Movie_View</v>
      </c>
      <c r="G27" s="10">
        <f t="shared" ca="1" si="4"/>
        <v>1</v>
      </c>
      <c r="H27" s="10">
        <f t="shared" ca="1" si="1"/>
        <v>4</v>
      </c>
      <c r="I27" s="10">
        <f t="shared" ca="1" si="2"/>
        <v>4</v>
      </c>
      <c r="J27" s="10" t="str">
        <f t="shared" ca="1" si="5"/>
        <v>144</v>
      </c>
    </row>
    <row r="28" spans="3:10">
      <c r="C28" s="9" t="s">
        <v>525</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525</v>
      </c>
      <c r="D29" s="9" t="s">
        <v>137</v>
      </c>
      <c r="E29" s="9" t="s">
        <v>134</v>
      </c>
      <c r="F29" s="10" t="str">
        <f t="shared" si="3"/>
        <v>Picture_Record</v>
      </c>
      <c r="G29" s="10">
        <f t="shared" ca="1" si="4"/>
        <v>1</v>
      </c>
      <c r="H29" s="10">
        <f t="shared" ca="1" si="1"/>
        <v>5</v>
      </c>
      <c r="I29" s="10">
        <f t="shared" ca="1" si="2"/>
        <v>2</v>
      </c>
      <c r="J29" s="10" t="str">
        <f t="shared" ca="1" si="5"/>
        <v>152</v>
      </c>
    </row>
    <row r="30" spans="3:10">
      <c r="C30" s="9" t="s">
        <v>525</v>
      </c>
      <c r="D30" s="9" t="s">
        <v>137</v>
      </c>
      <c r="E30" s="9" t="s">
        <v>130</v>
      </c>
      <c r="F30" s="10" t="str">
        <f t="shared" si="3"/>
        <v>Picture_Edit</v>
      </c>
      <c r="G30" s="10">
        <f t="shared" ca="1" si="4"/>
        <v>1</v>
      </c>
      <c r="H30" s="10">
        <f t="shared" ca="1" si="1"/>
        <v>5</v>
      </c>
      <c r="I30" s="10">
        <f t="shared" ca="1" si="2"/>
        <v>3</v>
      </c>
      <c r="J30" s="10" t="str">
        <f t="shared" ca="1" si="5"/>
        <v>153</v>
      </c>
    </row>
    <row r="31" spans="3:10">
      <c r="C31" s="9" t="s">
        <v>525</v>
      </c>
      <c r="D31" s="9" t="s">
        <v>137</v>
      </c>
      <c r="E31" s="9" t="s">
        <v>129</v>
      </c>
      <c r="F31" s="10" t="str">
        <f t="shared" si="3"/>
        <v>Picture_View</v>
      </c>
      <c r="G31" s="10">
        <f t="shared" ca="1" si="4"/>
        <v>1</v>
      </c>
      <c r="H31" s="10">
        <f t="shared" ca="1" si="1"/>
        <v>5</v>
      </c>
      <c r="I31" s="10">
        <f t="shared" ca="1" si="2"/>
        <v>4</v>
      </c>
      <c r="J31" s="10" t="str">
        <f t="shared" ca="1" si="5"/>
        <v>154</v>
      </c>
    </row>
    <row r="32" spans="3:10">
      <c r="C32" s="9" t="s">
        <v>525</v>
      </c>
      <c r="D32" s="9" t="s">
        <v>138</v>
      </c>
      <c r="E32" s="9" t="s">
        <v>139</v>
      </c>
      <c r="F32" s="10" t="str">
        <f t="shared" si="3"/>
        <v>Network_Global</v>
      </c>
      <c r="G32" s="10">
        <f t="shared" ca="1" si="4"/>
        <v>1</v>
      </c>
      <c r="H32" s="10">
        <f t="shared" ca="1" si="1"/>
        <v>6</v>
      </c>
      <c r="I32" s="10">
        <f t="shared" ca="1" si="2"/>
        <v>1</v>
      </c>
      <c r="J32" s="10" t="str">
        <f t="shared" ca="1" si="5"/>
        <v>161</v>
      </c>
    </row>
    <row r="33" spans="3:10">
      <c r="C33" s="9" t="s">
        <v>525</v>
      </c>
      <c r="D33" s="9" t="s">
        <v>138</v>
      </c>
      <c r="E33" s="9" t="s">
        <v>140</v>
      </c>
      <c r="F33" s="10" t="str">
        <f t="shared" si="3"/>
        <v>Network_Local</v>
      </c>
      <c r="G33" s="10">
        <f t="shared" ca="1" si="4"/>
        <v>1</v>
      </c>
      <c r="H33" s="10">
        <f t="shared" ca="1" si="1"/>
        <v>6</v>
      </c>
      <c r="I33" s="10">
        <f t="shared" ca="1" si="2"/>
        <v>2</v>
      </c>
      <c r="J33" s="10" t="str">
        <f t="shared" ca="1" si="5"/>
        <v>162</v>
      </c>
    </row>
    <row r="34" spans="3:10">
      <c r="C34" s="9" t="s">
        <v>525</v>
      </c>
      <c r="D34" s="9" t="s">
        <v>141</v>
      </c>
      <c r="E34" s="9" t="s">
        <v>142</v>
      </c>
      <c r="F34" s="10" t="str">
        <f t="shared" si="3"/>
        <v>Utility_System</v>
      </c>
      <c r="G34" s="10">
        <f t="shared" ca="1" si="4"/>
        <v>1</v>
      </c>
      <c r="H34" s="10">
        <f t="shared" ca="1" si="1"/>
        <v>7</v>
      </c>
      <c r="I34" s="10">
        <f t="shared" ca="1" si="2"/>
        <v>1</v>
      </c>
      <c r="J34" s="10" t="str">
        <f t="shared" ca="1" si="5"/>
        <v>171</v>
      </c>
    </row>
    <row r="35" spans="3:10">
      <c r="C35" s="9" t="s">
        <v>525</v>
      </c>
      <c r="D35" s="9" t="s">
        <v>141</v>
      </c>
      <c r="E35" s="9" t="s">
        <v>143</v>
      </c>
      <c r="F35" s="10" t="str">
        <f t="shared" si="3"/>
        <v>Utility_Other</v>
      </c>
      <c r="G35" s="10">
        <f t="shared" ca="1" si="4"/>
        <v>1</v>
      </c>
      <c r="H35" s="10">
        <f t="shared" ca="1" si="1"/>
        <v>7</v>
      </c>
      <c r="I35" s="10">
        <f t="shared" ca="1" si="2"/>
        <v>2</v>
      </c>
      <c r="J35" s="10" t="str">
        <f t="shared" ca="1" si="5"/>
        <v>172</v>
      </c>
    </row>
    <row r="36" spans="3:10">
      <c r="C36" s="9" t="s">
        <v>524</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view="pageBreakPreview" zoomScale="115" zoomScaleNormal="100" zoomScaleSheetLayoutView="115" workbookViewId="0">
      <pane xSplit="2" ySplit="10" topLeftCell="C134" activePane="bottomRight" state="frozen"/>
      <selection pane="topRight" activeCell="C1" sqref="C1"/>
      <selection pane="bottomLeft" activeCell="A4" sqref="A4"/>
      <selection pane="bottomRight" activeCell="A143" sqref="A143:XFD143"/>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933</v>
      </c>
      <c r="C2" s="4"/>
      <c r="D2" s="4"/>
      <c r="E2" s="4"/>
      <c r="F2" s="4"/>
    </row>
    <row r="3" spans="1:36" customFormat="1">
      <c r="A3" s="95" t="s">
        <v>934</v>
      </c>
      <c r="C3" s="4"/>
      <c r="D3" s="4"/>
      <c r="E3" s="4"/>
      <c r="F3" s="4"/>
    </row>
    <row r="4" spans="1:36" customFormat="1">
      <c r="A4" s="95" t="s">
        <v>935</v>
      </c>
      <c r="C4" s="4"/>
      <c r="D4" s="4"/>
      <c r="E4" s="4"/>
      <c r="F4" s="4"/>
    </row>
    <row r="5" spans="1:36" customFormat="1">
      <c r="A5" s="95" t="s">
        <v>930</v>
      </c>
      <c r="C5" s="4"/>
      <c r="D5" s="4"/>
      <c r="E5" s="4"/>
      <c r="F5" s="4"/>
    </row>
    <row r="6" spans="1:36" customFormat="1">
      <c r="A6" s="95" t="s">
        <v>1154</v>
      </c>
      <c r="C6" s="4"/>
      <c r="D6" s="4"/>
      <c r="E6" s="4"/>
      <c r="F6" s="4"/>
    </row>
    <row r="7" spans="1:36" customFormat="1">
      <c r="C7" s="4"/>
      <c r="D7" s="4"/>
      <c r="E7" s="4"/>
      <c r="F7" s="4"/>
    </row>
    <row r="8" spans="1:36" ht="22.5">
      <c r="D8" s="5" t="s">
        <v>1124</v>
      </c>
      <c r="E8" s="5"/>
      <c r="F8" s="5" t="s">
        <v>165</v>
      </c>
      <c r="G8" s="5"/>
      <c r="H8" s="75"/>
      <c r="I8" s="5" t="s">
        <v>173</v>
      </c>
      <c r="J8" s="85" t="s">
        <v>547</v>
      </c>
      <c r="K8" s="85" t="s">
        <v>865</v>
      </c>
      <c r="L8" s="5" t="s">
        <v>171</v>
      </c>
      <c r="M8" s="5"/>
      <c r="N8" s="3" t="s">
        <v>172</v>
      </c>
      <c r="O8" s="5" t="s">
        <v>1230</v>
      </c>
      <c r="P8" s="5"/>
      <c r="Q8" s="3" t="s">
        <v>936</v>
      </c>
      <c r="R8" s="29" t="s">
        <v>291</v>
      </c>
      <c r="S8" s="29" t="s">
        <v>31</v>
      </c>
      <c r="T8" s="11" t="s">
        <v>59</v>
      </c>
      <c r="U8" s="11"/>
      <c r="V8" s="11"/>
      <c r="W8" s="11" t="s">
        <v>538</v>
      </c>
      <c r="X8" s="11"/>
      <c r="Y8" s="11" t="s">
        <v>868</v>
      </c>
      <c r="Z8" s="11"/>
      <c r="AA8" s="11" t="s">
        <v>60</v>
      </c>
      <c r="AB8" s="11"/>
      <c r="AC8" s="11"/>
      <c r="AD8" s="11"/>
      <c r="AE8" s="11" t="s">
        <v>58</v>
      </c>
      <c r="AF8" s="11"/>
      <c r="AG8" s="159" t="s">
        <v>1238</v>
      </c>
      <c r="AH8" s="11"/>
      <c r="AI8" s="11" t="s">
        <v>942</v>
      </c>
      <c r="AJ8" s="91" t="s">
        <v>174</v>
      </c>
    </row>
    <row r="9" spans="1:36" s="8" customFormat="1">
      <c r="A9" s="3" t="s">
        <v>170</v>
      </c>
      <c r="B9" s="3" t="s">
        <v>851</v>
      </c>
      <c r="C9" s="3" t="s">
        <v>43</v>
      </c>
      <c r="D9" s="5" t="s">
        <v>863</v>
      </c>
      <c r="E9" s="5" t="s">
        <v>1125</v>
      </c>
      <c r="F9" s="3" t="s">
        <v>163</v>
      </c>
      <c r="G9" s="3" t="s">
        <v>164</v>
      </c>
      <c r="H9" s="76" t="s">
        <v>31</v>
      </c>
      <c r="I9" s="5" t="s">
        <v>939</v>
      </c>
      <c r="J9" s="5" t="s">
        <v>849</v>
      </c>
      <c r="K9" s="5" t="s">
        <v>553</v>
      </c>
      <c r="L9" s="87" t="s">
        <v>941</v>
      </c>
      <c r="M9" s="88" t="s">
        <v>553</v>
      </c>
      <c r="N9" s="5" t="s">
        <v>939</v>
      </c>
      <c r="O9" s="5" t="s">
        <v>1231</v>
      </c>
      <c r="P9" s="156" t="s">
        <v>1232</v>
      </c>
      <c r="Q9" s="5" t="s">
        <v>940</v>
      </c>
      <c r="R9" s="30" t="s">
        <v>290</v>
      </c>
      <c r="S9" s="30" t="s">
        <v>290</v>
      </c>
      <c r="T9" s="12" t="s">
        <v>61</v>
      </c>
      <c r="U9" s="19" t="s">
        <v>169</v>
      </c>
      <c r="V9" s="28" t="s">
        <v>541</v>
      </c>
      <c r="W9" s="12" t="s">
        <v>61</v>
      </c>
      <c r="X9" s="31" t="s">
        <v>62</v>
      </c>
      <c r="Y9" s="12" t="s">
        <v>61</v>
      </c>
      <c r="Z9" s="31" t="s">
        <v>62</v>
      </c>
      <c r="AA9" s="12" t="s">
        <v>61</v>
      </c>
      <c r="AB9" s="19" t="s">
        <v>169</v>
      </c>
      <c r="AC9" s="89" t="s">
        <v>850</v>
      </c>
      <c r="AD9" s="28" t="s">
        <v>62</v>
      </c>
      <c r="AE9" s="12" t="s">
        <v>61</v>
      </c>
      <c r="AF9" s="86" t="s">
        <v>62</v>
      </c>
      <c r="AG9" s="12" t="s">
        <v>1235</v>
      </c>
      <c r="AH9" s="12" t="s">
        <v>1236</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709</v>
      </c>
      <c r="B11" s="9" t="s">
        <v>710</v>
      </c>
      <c r="C11" s="9" t="s">
        <v>189</v>
      </c>
      <c r="D11" s="15" t="s">
        <v>39</v>
      </c>
      <c r="E11" s="26" t="s">
        <v>39</v>
      </c>
      <c r="F11" s="15" t="s">
        <v>149</v>
      </c>
      <c r="G11" s="15" t="s">
        <v>149</v>
      </c>
      <c r="H11" s="9" t="s">
        <v>63</v>
      </c>
      <c r="I11" s="15" t="s">
        <v>844</v>
      </c>
      <c r="J11" s="15" t="s">
        <v>64</v>
      </c>
      <c r="K11" s="15" t="s">
        <v>64</v>
      </c>
      <c r="L11" s="93" t="s">
        <v>64</v>
      </c>
      <c r="M11" s="94" t="s">
        <v>548</v>
      </c>
      <c r="N11" s="15" t="s">
        <v>64</v>
      </c>
      <c r="O11" s="26" t="s">
        <v>1233</v>
      </c>
      <c r="P11" s="157" t="s">
        <v>1233</v>
      </c>
      <c r="Q11" s="26" t="s">
        <v>938</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554</v>
      </c>
      <c r="B12" s="9" t="s">
        <v>711</v>
      </c>
      <c r="C12" s="9" t="s">
        <v>190</v>
      </c>
      <c r="D12" s="15" t="s">
        <v>39</v>
      </c>
      <c r="E12" s="26" t="s">
        <v>39</v>
      </c>
      <c r="F12" s="15" t="s">
        <v>166</v>
      </c>
      <c r="G12" s="15" t="s">
        <v>149</v>
      </c>
      <c r="H12" s="9" t="s">
        <v>65</v>
      </c>
      <c r="I12" s="15" t="s">
        <v>844</v>
      </c>
      <c r="J12" s="15" t="s">
        <v>64</v>
      </c>
      <c r="K12" s="15" t="s">
        <v>64</v>
      </c>
      <c r="L12" s="93" t="s">
        <v>64</v>
      </c>
      <c r="M12" s="94" t="s">
        <v>548</v>
      </c>
      <c r="N12" s="15" t="s">
        <v>64</v>
      </c>
      <c r="O12" s="26" t="s">
        <v>1233</v>
      </c>
      <c r="P12" s="157" t="s">
        <v>1233</v>
      </c>
      <c r="Q12" s="26" t="s">
        <v>938</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555</v>
      </c>
      <c r="B13" s="9" t="s">
        <v>712</v>
      </c>
      <c r="C13" s="9" t="s">
        <v>191</v>
      </c>
      <c r="D13" s="15" t="s">
        <v>39</v>
      </c>
      <c r="E13" s="26" t="s">
        <v>39</v>
      </c>
      <c r="F13" s="15" t="s">
        <v>166</v>
      </c>
      <c r="G13" s="15" t="s">
        <v>149</v>
      </c>
      <c r="H13" s="9" t="s">
        <v>66</v>
      </c>
      <c r="I13" s="15" t="s">
        <v>844</v>
      </c>
      <c r="J13" s="15" t="s">
        <v>64</v>
      </c>
      <c r="K13" s="15" t="s">
        <v>64</v>
      </c>
      <c r="L13" s="93" t="s">
        <v>64</v>
      </c>
      <c r="M13" s="94" t="s">
        <v>548</v>
      </c>
      <c r="N13" s="15" t="s">
        <v>64</v>
      </c>
      <c r="O13" s="26" t="s">
        <v>1233</v>
      </c>
      <c r="P13" s="157" t="s">
        <v>1233</v>
      </c>
      <c r="Q13" s="26" t="s">
        <v>938</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556</v>
      </c>
      <c r="B14" s="9" t="s">
        <v>713</v>
      </c>
      <c r="C14" s="9" t="s">
        <v>192</v>
      </c>
      <c r="D14" s="15" t="s">
        <v>39</v>
      </c>
      <c r="E14" s="26" t="s">
        <v>39</v>
      </c>
      <c r="F14" s="15" t="s">
        <v>166</v>
      </c>
      <c r="G14" s="15" t="s">
        <v>149</v>
      </c>
      <c r="H14" s="9" t="s">
        <v>66</v>
      </c>
      <c r="I14" s="15" t="s">
        <v>844</v>
      </c>
      <c r="J14" s="15" t="s">
        <v>64</v>
      </c>
      <c r="K14" s="15" t="s">
        <v>64</v>
      </c>
      <c r="L14" s="93" t="s">
        <v>64</v>
      </c>
      <c r="M14" s="94" t="s">
        <v>548</v>
      </c>
      <c r="N14" s="15" t="s">
        <v>64</v>
      </c>
      <c r="O14" s="26" t="s">
        <v>1233</v>
      </c>
      <c r="P14" s="157" t="s">
        <v>1233</v>
      </c>
      <c r="Q14" s="26" t="s">
        <v>938</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557</v>
      </c>
      <c r="B15" s="9" t="s">
        <v>714</v>
      </c>
      <c r="C15" s="9" t="s">
        <v>193</v>
      </c>
      <c r="D15" s="15" t="s">
        <v>39</v>
      </c>
      <c r="E15" s="26" t="s">
        <v>39</v>
      </c>
      <c r="F15" s="15" t="s">
        <v>149</v>
      </c>
      <c r="G15" s="15" t="s">
        <v>149</v>
      </c>
      <c r="H15" s="9" t="s">
        <v>67</v>
      </c>
      <c r="I15" s="15" t="s">
        <v>844</v>
      </c>
      <c r="J15" s="15" t="s">
        <v>64</v>
      </c>
      <c r="K15" s="15" t="s">
        <v>64</v>
      </c>
      <c r="L15" s="93" t="s">
        <v>64</v>
      </c>
      <c r="M15" s="94" t="s">
        <v>548</v>
      </c>
      <c r="N15" s="15" t="s">
        <v>64</v>
      </c>
      <c r="O15" s="26" t="s">
        <v>1233</v>
      </c>
      <c r="P15" s="157" t="s">
        <v>1233</v>
      </c>
      <c r="Q15" s="26" t="s">
        <v>938</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558</v>
      </c>
      <c r="B16" s="9" t="s">
        <v>715</v>
      </c>
      <c r="C16" s="9" t="s">
        <v>194</v>
      </c>
      <c r="D16" s="15" t="s">
        <v>39</v>
      </c>
      <c r="E16" s="26" t="e">
        <f ca="1">[2]!getdirpath(C16)</f>
        <v>#NAME?</v>
      </c>
      <c r="F16" s="15" t="s">
        <v>149</v>
      </c>
      <c r="G16" s="15" t="s">
        <v>149</v>
      </c>
      <c r="H16" s="9" t="s">
        <v>67</v>
      </c>
      <c r="I16" s="15" t="s">
        <v>844</v>
      </c>
      <c r="J16" s="15" t="s">
        <v>64</v>
      </c>
      <c r="K16" s="15" t="s">
        <v>64</v>
      </c>
      <c r="L16" s="93" t="s">
        <v>64</v>
      </c>
      <c r="M16" s="94" t="s">
        <v>548</v>
      </c>
      <c r="N16" s="15" t="s">
        <v>64</v>
      </c>
      <c r="O16" s="26" t="s">
        <v>1233</v>
      </c>
      <c r="P16" s="157" t="s">
        <v>1233</v>
      </c>
      <c r="Q16" s="26" t="s">
        <v>938</v>
      </c>
      <c r="R16" s="9" t="str">
        <f t="shared" si="0"/>
        <v/>
      </c>
      <c r="S16" s="9" t="str">
        <f t="shared" si="1"/>
        <v/>
      </c>
      <c r="T16" s="13" t="e">
        <f ca="1">IF(
  AND($A16&lt;&gt;"",$I16="○"),
  (
    "mkdir """&amp;V16&amp;""" &amp; "
  )&amp;(
    """"&amp;shortcut設定!$F$7&amp;""""&amp;
    " """&amp;V16&amp;"\"&amp;$A16&amp;"（"&amp;$B16&amp;"）.lnk"""&amp;
    " """&amp;$C16&amp;""""&amp;
    IF($D16="-"," """""," """&amp;$D16&amp;"""")&amp;
    IF($E16="-"," """""," """&amp;$E16&amp;"""")
  ),
  ""
)</f>
        <v>#NAME?</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559</v>
      </c>
      <c r="B17" s="9" t="s">
        <v>716</v>
      </c>
      <c r="C17" s="9" t="s">
        <v>195</v>
      </c>
      <c r="D17" s="15" t="s">
        <v>39</v>
      </c>
      <c r="E17" s="26" t="s">
        <v>39</v>
      </c>
      <c r="F17" s="15" t="s">
        <v>166</v>
      </c>
      <c r="G17" s="15" t="s">
        <v>149</v>
      </c>
      <c r="H17" s="9" t="s">
        <v>68</v>
      </c>
      <c r="I17" s="15" t="s">
        <v>844</v>
      </c>
      <c r="J17" s="15" t="s">
        <v>64</v>
      </c>
      <c r="K17" s="15" t="s">
        <v>64</v>
      </c>
      <c r="L17" s="93" t="s">
        <v>64</v>
      </c>
      <c r="M17" s="94" t="s">
        <v>548</v>
      </c>
      <c r="N17" s="15" t="s">
        <v>64</v>
      </c>
      <c r="O17" s="26" t="s">
        <v>1233</v>
      </c>
      <c r="P17" s="157" t="s">
        <v>1233</v>
      </c>
      <c r="Q17" s="26" t="s">
        <v>938</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560</v>
      </c>
      <c r="B18" s="9" t="s">
        <v>717</v>
      </c>
      <c r="C18" s="9" t="s">
        <v>188</v>
      </c>
      <c r="D18" s="15" t="s">
        <v>39</v>
      </c>
      <c r="E18" s="26" t="s">
        <v>39</v>
      </c>
      <c r="F18" s="15" t="s">
        <v>149</v>
      </c>
      <c r="G18" s="15" t="s">
        <v>149</v>
      </c>
      <c r="H18" s="9" t="s">
        <v>69</v>
      </c>
      <c r="I18" s="15" t="s">
        <v>844</v>
      </c>
      <c r="J18" s="15" t="s">
        <v>64</v>
      </c>
      <c r="K18" s="15" t="s">
        <v>64</v>
      </c>
      <c r="L18" s="93" t="s">
        <v>64</v>
      </c>
      <c r="M18" s="94" t="s">
        <v>548</v>
      </c>
      <c r="N18" s="15" t="s">
        <v>64</v>
      </c>
      <c r="O18" s="26" t="s">
        <v>1233</v>
      </c>
      <c r="P18" s="157" t="s">
        <v>1233</v>
      </c>
      <c r="Q18" s="26" t="s">
        <v>938</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718</v>
      </c>
      <c r="C19" s="9" t="s">
        <v>196</v>
      </c>
      <c r="D19" s="15" t="s">
        <v>39</v>
      </c>
      <c r="E19" s="26" t="s">
        <v>39</v>
      </c>
      <c r="F19" s="15" t="s">
        <v>166</v>
      </c>
      <c r="G19" s="15" t="s">
        <v>149</v>
      </c>
      <c r="H19" s="9" t="s">
        <v>71</v>
      </c>
      <c r="I19" s="15" t="s">
        <v>844</v>
      </c>
      <c r="J19" s="15" t="s">
        <v>64</v>
      </c>
      <c r="K19" s="15" t="s">
        <v>64</v>
      </c>
      <c r="L19" s="93" t="s">
        <v>64</v>
      </c>
      <c r="M19" s="94" t="s">
        <v>548</v>
      </c>
      <c r="N19" s="15" t="s">
        <v>64</v>
      </c>
      <c r="O19" s="26" t="s">
        <v>1233</v>
      </c>
      <c r="P19" s="157" t="s">
        <v>1233</v>
      </c>
      <c r="Q19" s="26" t="s">
        <v>938</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561</v>
      </c>
      <c r="B20" s="9" t="s">
        <v>719</v>
      </c>
      <c r="C20" s="9" t="s">
        <v>197</v>
      </c>
      <c r="D20" s="15" t="s">
        <v>39</v>
      </c>
      <c r="E20" s="26" t="s">
        <v>39</v>
      </c>
      <c r="F20" s="15" t="s">
        <v>166</v>
      </c>
      <c r="G20" s="15" t="s">
        <v>166</v>
      </c>
      <c r="H20" s="9" t="s">
        <v>68</v>
      </c>
      <c r="I20" s="15" t="s">
        <v>844</v>
      </c>
      <c r="J20" s="15" t="s">
        <v>64</v>
      </c>
      <c r="K20" s="15" t="s">
        <v>64</v>
      </c>
      <c r="L20" s="93" t="s">
        <v>64</v>
      </c>
      <c r="M20" s="94" t="s">
        <v>548</v>
      </c>
      <c r="N20" s="15" t="s">
        <v>64</v>
      </c>
      <c r="O20" s="26" t="s">
        <v>1233</v>
      </c>
      <c r="P20" s="157" t="s">
        <v>1233</v>
      </c>
      <c r="Q20" s="26" t="s">
        <v>938</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562</v>
      </c>
      <c r="B21" s="9" t="s">
        <v>719</v>
      </c>
      <c r="C21" s="9" t="s">
        <v>198</v>
      </c>
      <c r="D21" s="15" t="s">
        <v>39</v>
      </c>
      <c r="E21" s="26" t="s">
        <v>39</v>
      </c>
      <c r="F21" s="15" t="s">
        <v>149</v>
      </c>
      <c r="G21" s="15" t="s">
        <v>149</v>
      </c>
      <c r="H21" s="9" t="s">
        <v>68</v>
      </c>
      <c r="I21" s="15" t="s">
        <v>844</v>
      </c>
      <c r="J21" s="15" t="s">
        <v>64</v>
      </c>
      <c r="K21" s="15" t="s">
        <v>64</v>
      </c>
      <c r="L21" s="93" t="s">
        <v>64</v>
      </c>
      <c r="M21" s="94" t="s">
        <v>548</v>
      </c>
      <c r="N21" s="15" t="s">
        <v>64</v>
      </c>
      <c r="O21" s="26" t="s">
        <v>1233</v>
      </c>
      <c r="P21" s="157" t="s">
        <v>1233</v>
      </c>
      <c r="Q21" s="26" t="s">
        <v>938</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563</v>
      </c>
      <c r="B22" s="9" t="s">
        <v>720</v>
      </c>
      <c r="C22" s="9" t="s">
        <v>199</v>
      </c>
      <c r="D22" s="15" t="s">
        <v>39</v>
      </c>
      <c r="E22" s="26" t="s">
        <v>39</v>
      </c>
      <c r="F22" s="15" t="s">
        <v>166</v>
      </c>
      <c r="G22" s="15" t="s">
        <v>149</v>
      </c>
      <c r="H22" s="9" t="s">
        <v>72</v>
      </c>
      <c r="I22" s="15" t="s">
        <v>844</v>
      </c>
      <c r="J22" s="15" t="s">
        <v>64</v>
      </c>
      <c r="K22" s="15" t="s">
        <v>64</v>
      </c>
      <c r="L22" s="93" t="s">
        <v>64</v>
      </c>
      <c r="M22" s="94" t="s">
        <v>548</v>
      </c>
      <c r="N22" s="15" t="s">
        <v>844</v>
      </c>
      <c r="O22" s="26" t="s">
        <v>1233</v>
      </c>
      <c r="P22" s="157" t="s">
        <v>1233</v>
      </c>
      <c r="Q22" s="26" t="s">
        <v>938</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564</v>
      </c>
      <c r="B23" s="9" t="s">
        <v>721</v>
      </c>
      <c r="C23" s="9" t="s">
        <v>200</v>
      </c>
      <c r="D23" s="15" t="s">
        <v>39</v>
      </c>
      <c r="E23" s="26" t="s">
        <v>39</v>
      </c>
      <c r="F23" s="15" t="s">
        <v>149</v>
      </c>
      <c r="G23" s="15" t="s">
        <v>149</v>
      </c>
      <c r="H23" s="9" t="s">
        <v>68</v>
      </c>
      <c r="I23" s="15" t="s">
        <v>844</v>
      </c>
      <c r="J23" s="15" t="s">
        <v>64</v>
      </c>
      <c r="K23" s="15" t="s">
        <v>64</v>
      </c>
      <c r="L23" s="93" t="s">
        <v>64</v>
      </c>
      <c r="M23" s="94" t="s">
        <v>548</v>
      </c>
      <c r="N23" s="15" t="s">
        <v>64</v>
      </c>
      <c r="O23" s="26" t="s">
        <v>1233</v>
      </c>
      <c r="P23" s="157" t="s">
        <v>1233</v>
      </c>
      <c r="Q23" s="26" t="s">
        <v>938</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565</v>
      </c>
      <c r="B24" s="9" t="s">
        <v>722</v>
      </c>
      <c r="C24" s="9" t="s">
        <v>201</v>
      </c>
      <c r="D24" s="15" t="s">
        <v>39</v>
      </c>
      <c r="E24" s="26" t="s">
        <v>39</v>
      </c>
      <c r="F24" s="15" t="s">
        <v>166</v>
      </c>
      <c r="G24" s="15" t="s">
        <v>149</v>
      </c>
      <c r="H24" s="9" t="s">
        <v>63</v>
      </c>
      <c r="I24" s="15" t="s">
        <v>844</v>
      </c>
      <c r="J24" s="15" t="s">
        <v>64</v>
      </c>
      <c r="K24" s="15" t="s">
        <v>64</v>
      </c>
      <c r="L24" s="93" t="s">
        <v>64</v>
      </c>
      <c r="M24" s="94" t="s">
        <v>548</v>
      </c>
      <c r="N24" s="15" t="s">
        <v>64</v>
      </c>
      <c r="O24" s="26" t="s">
        <v>1233</v>
      </c>
      <c r="P24" s="157" t="s">
        <v>1233</v>
      </c>
      <c r="Q24" s="26" t="s">
        <v>938</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566</v>
      </c>
      <c r="B25" s="9" t="s">
        <v>722</v>
      </c>
      <c r="C25" s="9" t="s">
        <v>202</v>
      </c>
      <c r="D25" s="15" t="s">
        <v>39</v>
      </c>
      <c r="E25" s="26" t="s">
        <v>39</v>
      </c>
      <c r="F25" s="15" t="s">
        <v>166</v>
      </c>
      <c r="G25" s="15" t="s">
        <v>149</v>
      </c>
      <c r="H25" s="9" t="s">
        <v>63</v>
      </c>
      <c r="I25" s="15" t="s">
        <v>844</v>
      </c>
      <c r="J25" s="15" t="s">
        <v>64</v>
      </c>
      <c r="K25" s="15" t="s">
        <v>64</v>
      </c>
      <c r="L25" s="93" t="s">
        <v>64</v>
      </c>
      <c r="M25" s="94" t="s">
        <v>548</v>
      </c>
      <c r="N25" s="15" t="s">
        <v>64</v>
      </c>
      <c r="O25" s="26" t="s">
        <v>1233</v>
      </c>
      <c r="P25" s="157" t="s">
        <v>1233</v>
      </c>
      <c r="Q25" s="26" t="s">
        <v>938</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567</v>
      </c>
      <c r="B26" s="9" t="s">
        <v>722</v>
      </c>
      <c r="C26" s="9" t="s">
        <v>203</v>
      </c>
      <c r="D26" s="15" t="s">
        <v>39</v>
      </c>
      <c r="E26" s="26" t="s">
        <v>39</v>
      </c>
      <c r="F26" s="15" t="s">
        <v>166</v>
      </c>
      <c r="G26" s="15" t="s">
        <v>149</v>
      </c>
      <c r="H26" s="9" t="s">
        <v>63</v>
      </c>
      <c r="I26" s="15" t="s">
        <v>844</v>
      </c>
      <c r="J26" s="15" t="s">
        <v>64</v>
      </c>
      <c r="K26" s="15" t="s">
        <v>64</v>
      </c>
      <c r="L26" s="93" t="s">
        <v>64</v>
      </c>
      <c r="M26" s="94" t="s">
        <v>548</v>
      </c>
      <c r="N26" s="15" t="s">
        <v>64</v>
      </c>
      <c r="O26" s="26" t="s">
        <v>1233</v>
      </c>
      <c r="P26" s="157" t="s">
        <v>1233</v>
      </c>
      <c r="Q26" s="26" t="s">
        <v>938</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568</v>
      </c>
      <c r="B27" s="9" t="s">
        <v>723</v>
      </c>
      <c r="C27" s="9" t="s">
        <v>204</v>
      </c>
      <c r="D27" s="15" t="s">
        <v>39</v>
      </c>
      <c r="E27" s="26" t="s">
        <v>39</v>
      </c>
      <c r="F27" s="15" t="s">
        <v>166</v>
      </c>
      <c r="G27" s="15" t="s">
        <v>149</v>
      </c>
      <c r="H27" s="9" t="s">
        <v>63</v>
      </c>
      <c r="I27" s="15" t="s">
        <v>844</v>
      </c>
      <c r="J27" s="15" t="s">
        <v>64</v>
      </c>
      <c r="K27" s="15" t="s">
        <v>64</v>
      </c>
      <c r="L27" s="93" t="s">
        <v>64</v>
      </c>
      <c r="M27" s="94" t="s">
        <v>548</v>
      </c>
      <c r="N27" s="15" t="s">
        <v>64</v>
      </c>
      <c r="O27" s="26" t="s">
        <v>1233</v>
      </c>
      <c r="P27" s="157" t="s">
        <v>1233</v>
      </c>
      <c r="Q27" s="26" t="s">
        <v>938</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569</v>
      </c>
      <c r="B28" s="9" t="s">
        <v>723</v>
      </c>
      <c r="C28" s="9" t="s">
        <v>205</v>
      </c>
      <c r="D28" s="15" t="s">
        <v>39</v>
      </c>
      <c r="E28" s="26" t="s">
        <v>39</v>
      </c>
      <c r="F28" s="15" t="s">
        <v>166</v>
      </c>
      <c r="G28" s="15" t="s">
        <v>149</v>
      </c>
      <c r="H28" s="9" t="s">
        <v>63</v>
      </c>
      <c r="I28" s="15" t="s">
        <v>844</v>
      </c>
      <c r="J28" s="15" t="s">
        <v>64</v>
      </c>
      <c r="K28" s="15" t="s">
        <v>64</v>
      </c>
      <c r="L28" s="93" t="s">
        <v>64</v>
      </c>
      <c r="M28" s="94" t="s">
        <v>548</v>
      </c>
      <c r="N28" s="15" t="s">
        <v>64</v>
      </c>
      <c r="O28" s="26" t="s">
        <v>1233</v>
      </c>
      <c r="P28" s="157" t="s">
        <v>1233</v>
      </c>
      <c r="Q28" s="26" t="s">
        <v>938</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570</v>
      </c>
      <c r="B29" s="9" t="s">
        <v>724</v>
      </c>
      <c r="C29" s="9" t="s">
        <v>206</v>
      </c>
      <c r="D29" s="15" t="s">
        <v>39</v>
      </c>
      <c r="E29" s="26" t="s">
        <v>39</v>
      </c>
      <c r="F29" s="15" t="s">
        <v>166</v>
      </c>
      <c r="G29" s="15" t="s">
        <v>149</v>
      </c>
      <c r="H29" s="9" t="s">
        <v>73</v>
      </c>
      <c r="I29" s="15" t="s">
        <v>844</v>
      </c>
      <c r="J29" s="15" t="s">
        <v>64</v>
      </c>
      <c r="K29" s="15" t="s">
        <v>64</v>
      </c>
      <c r="L29" s="93" t="s">
        <v>64</v>
      </c>
      <c r="M29" s="94" t="s">
        <v>548</v>
      </c>
      <c r="N29" s="15" t="s">
        <v>64</v>
      </c>
      <c r="O29" s="26" t="s">
        <v>1233</v>
      </c>
      <c r="P29" s="157" t="s">
        <v>1233</v>
      </c>
      <c r="Q29" s="26" t="s">
        <v>938</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571</v>
      </c>
      <c r="B30" s="9" t="s">
        <v>725</v>
      </c>
      <c r="C30" s="9" t="s">
        <v>207</v>
      </c>
      <c r="D30" s="15" t="s">
        <v>39</v>
      </c>
      <c r="E30" s="26" t="s">
        <v>39</v>
      </c>
      <c r="F30" s="15" t="s">
        <v>166</v>
      </c>
      <c r="G30" s="15" t="s">
        <v>149</v>
      </c>
      <c r="H30" s="9" t="s">
        <v>73</v>
      </c>
      <c r="I30" s="15" t="s">
        <v>844</v>
      </c>
      <c r="J30" s="15" t="s">
        <v>64</v>
      </c>
      <c r="K30" s="15" t="s">
        <v>64</v>
      </c>
      <c r="L30" s="93" t="s">
        <v>64</v>
      </c>
      <c r="M30" s="94" t="s">
        <v>548</v>
      </c>
      <c r="N30" s="15" t="s">
        <v>64</v>
      </c>
      <c r="O30" s="26" t="s">
        <v>1233</v>
      </c>
      <c r="P30" s="157" t="s">
        <v>1233</v>
      </c>
      <c r="Q30" s="26" t="s">
        <v>938</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572</v>
      </c>
      <c r="B31" s="9" t="s">
        <v>726</v>
      </c>
      <c r="C31" s="9" t="s">
        <v>208</v>
      </c>
      <c r="D31" s="15" t="s">
        <v>39</v>
      </c>
      <c r="E31" s="26" t="s">
        <v>39</v>
      </c>
      <c r="F31" s="15" t="s">
        <v>166</v>
      </c>
      <c r="G31" s="15" t="s">
        <v>149</v>
      </c>
      <c r="H31" s="9" t="s">
        <v>73</v>
      </c>
      <c r="I31" s="15" t="s">
        <v>844</v>
      </c>
      <c r="J31" s="15" t="s">
        <v>64</v>
      </c>
      <c r="K31" s="15" t="s">
        <v>64</v>
      </c>
      <c r="L31" s="93" t="s">
        <v>64</v>
      </c>
      <c r="M31" s="94" t="s">
        <v>548</v>
      </c>
      <c r="N31" s="15" t="s">
        <v>64</v>
      </c>
      <c r="O31" s="26" t="s">
        <v>1233</v>
      </c>
      <c r="P31" s="157" t="s">
        <v>1233</v>
      </c>
      <c r="Q31" s="26" t="s">
        <v>938</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573</v>
      </c>
      <c r="B32" s="9" t="s">
        <v>727</v>
      </c>
      <c r="C32" s="9" t="s">
        <v>209</v>
      </c>
      <c r="D32" s="15" t="s">
        <v>39</v>
      </c>
      <c r="E32" s="26" t="s">
        <v>39</v>
      </c>
      <c r="F32" s="15" t="s">
        <v>149</v>
      </c>
      <c r="G32" s="15" t="s">
        <v>149</v>
      </c>
      <c r="H32" s="9" t="s">
        <v>67</v>
      </c>
      <c r="I32" s="15" t="s">
        <v>844</v>
      </c>
      <c r="J32" s="15" t="s">
        <v>64</v>
      </c>
      <c r="K32" s="15" t="s">
        <v>64</v>
      </c>
      <c r="L32" s="93" t="s">
        <v>64</v>
      </c>
      <c r="M32" s="94" t="s">
        <v>548</v>
      </c>
      <c r="N32" s="15" t="s">
        <v>64</v>
      </c>
      <c r="O32" s="26" t="s">
        <v>1233</v>
      </c>
      <c r="P32" s="157" t="s">
        <v>1233</v>
      </c>
      <c r="Q32" s="26" t="s">
        <v>938</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728</v>
      </c>
      <c r="C33" s="9" t="s">
        <v>210</v>
      </c>
      <c r="D33" s="15" t="s">
        <v>39</v>
      </c>
      <c r="E33" s="26" t="s">
        <v>39</v>
      </c>
      <c r="F33" s="15" t="s">
        <v>166</v>
      </c>
      <c r="G33" s="15" t="s">
        <v>149</v>
      </c>
      <c r="H33" s="9" t="s">
        <v>68</v>
      </c>
      <c r="I33" s="15" t="s">
        <v>844</v>
      </c>
      <c r="J33" s="15" t="s">
        <v>64</v>
      </c>
      <c r="K33" s="15" t="s">
        <v>64</v>
      </c>
      <c r="L33" s="93" t="s">
        <v>64</v>
      </c>
      <c r="M33" s="94" t="s">
        <v>548</v>
      </c>
      <c r="N33" s="15" t="s">
        <v>64</v>
      </c>
      <c r="O33" s="26" t="s">
        <v>1233</v>
      </c>
      <c r="P33" s="157" t="s">
        <v>1233</v>
      </c>
      <c r="Q33" s="26" t="s">
        <v>938</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574</v>
      </c>
      <c r="B34" s="9" t="s">
        <v>729</v>
      </c>
      <c r="C34" s="9" t="s">
        <v>211</v>
      </c>
      <c r="D34" s="15" t="s">
        <v>39</v>
      </c>
      <c r="E34" s="26" t="s">
        <v>39</v>
      </c>
      <c r="F34" s="15" t="s">
        <v>166</v>
      </c>
      <c r="G34" s="15" t="s">
        <v>149</v>
      </c>
      <c r="H34" s="9" t="s">
        <v>72</v>
      </c>
      <c r="I34" s="15" t="s">
        <v>844</v>
      </c>
      <c r="J34" s="15" t="s">
        <v>64</v>
      </c>
      <c r="K34" s="15" t="s">
        <v>64</v>
      </c>
      <c r="L34" s="93" t="s">
        <v>64</v>
      </c>
      <c r="M34" s="94" t="s">
        <v>548</v>
      </c>
      <c r="N34" s="15" t="s">
        <v>64</v>
      </c>
      <c r="O34" s="26" t="s">
        <v>1233</v>
      </c>
      <c r="P34" s="157" t="s">
        <v>1233</v>
      </c>
      <c r="Q34" s="26" t="s">
        <v>938</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575</v>
      </c>
      <c r="B35" s="9" t="s">
        <v>730</v>
      </c>
      <c r="C35" s="9" t="s">
        <v>212</v>
      </c>
      <c r="D35" s="15" t="s">
        <v>39</v>
      </c>
      <c r="E35" s="26" t="s">
        <v>39</v>
      </c>
      <c r="F35" s="15" t="s">
        <v>149</v>
      </c>
      <c r="G35" s="15" t="s">
        <v>149</v>
      </c>
      <c r="H35" s="9" t="s">
        <v>72</v>
      </c>
      <c r="I35" s="15" t="s">
        <v>844</v>
      </c>
      <c r="J35" s="15" t="s">
        <v>64</v>
      </c>
      <c r="K35" s="15" t="s">
        <v>64</v>
      </c>
      <c r="L35" s="93" t="s">
        <v>64</v>
      </c>
      <c r="M35" s="94" t="s">
        <v>548</v>
      </c>
      <c r="N35" s="15" t="s">
        <v>64</v>
      </c>
      <c r="O35" s="26" t="s">
        <v>1233</v>
      </c>
      <c r="P35" s="157" t="s">
        <v>1233</v>
      </c>
      <c r="Q35" s="26" t="s">
        <v>938</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576</v>
      </c>
      <c r="B36" s="9" t="s">
        <v>731</v>
      </c>
      <c r="C36" s="9" t="s">
        <v>213</v>
      </c>
      <c r="D36" s="15" t="s">
        <v>39</v>
      </c>
      <c r="E36" s="26" t="s">
        <v>39</v>
      </c>
      <c r="F36" s="15" t="s">
        <v>166</v>
      </c>
      <c r="G36" s="15" t="s">
        <v>149</v>
      </c>
      <c r="H36" s="9" t="s">
        <v>75</v>
      </c>
      <c r="I36" s="15" t="s">
        <v>844</v>
      </c>
      <c r="J36" s="15" t="s">
        <v>64</v>
      </c>
      <c r="K36" s="15" t="s">
        <v>64</v>
      </c>
      <c r="L36" s="93" t="s">
        <v>64</v>
      </c>
      <c r="M36" s="94" t="s">
        <v>548</v>
      </c>
      <c r="N36" s="15" t="s">
        <v>64</v>
      </c>
      <c r="O36" s="26" t="s">
        <v>1233</v>
      </c>
      <c r="P36" s="157" t="s">
        <v>1233</v>
      </c>
      <c r="Q36" s="26" t="s">
        <v>938</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732</v>
      </c>
      <c r="C37" s="9" t="s">
        <v>214</v>
      </c>
      <c r="D37" s="15" t="s">
        <v>39</v>
      </c>
      <c r="E37" s="26" t="s">
        <v>39</v>
      </c>
      <c r="F37" s="15" t="s">
        <v>149</v>
      </c>
      <c r="G37" s="15" t="s">
        <v>149</v>
      </c>
      <c r="H37" s="9" t="s">
        <v>68</v>
      </c>
      <c r="I37" s="15" t="s">
        <v>844</v>
      </c>
      <c r="J37" s="15" t="s">
        <v>64</v>
      </c>
      <c r="K37" s="15" t="s">
        <v>64</v>
      </c>
      <c r="L37" s="93" t="s">
        <v>64</v>
      </c>
      <c r="M37" s="94" t="s">
        <v>548</v>
      </c>
      <c r="N37" s="15" t="s">
        <v>937</v>
      </c>
      <c r="O37" s="26" t="s">
        <v>1233</v>
      </c>
      <c r="P37" s="157" t="s">
        <v>1233</v>
      </c>
      <c r="Q37" s="26" t="s">
        <v>938</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577</v>
      </c>
      <c r="B38" s="9" t="s">
        <v>733</v>
      </c>
      <c r="C38" s="9" t="s">
        <v>215</v>
      </c>
      <c r="D38" s="15" t="s">
        <v>39</v>
      </c>
      <c r="E38" s="26" t="s">
        <v>39</v>
      </c>
      <c r="F38" s="15" t="s">
        <v>166</v>
      </c>
      <c r="G38" s="15" t="s">
        <v>149</v>
      </c>
      <c r="H38" s="9" t="s">
        <v>71</v>
      </c>
      <c r="I38" s="15" t="s">
        <v>844</v>
      </c>
      <c r="J38" s="15" t="s">
        <v>64</v>
      </c>
      <c r="K38" s="15" t="s">
        <v>64</v>
      </c>
      <c r="L38" s="93" t="s">
        <v>64</v>
      </c>
      <c r="M38" s="94" t="s">
        <v>548</v>
      </c>
      <c r="N38" s="15" t="s">
        <v>64</v>
      </c>
      <c r="O38" s="26" t="s">
        <v>1233</v>
      </c>
      <c r="P38" s="157" t="s">
        <v>1233</v>
      </c>
      <c r="Q38" s="26" t="s">
        <v>938</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578</v>
      </c>
      <c r="B39" s="9" t="s">
        <v>734</v>
      </c>
      <c r="C39" s="9" t="s">
        <v>216</v>
      </c>
      <c r="D39" s="15" t="s">
        <v>39</v>
      </c>
      <c r="E39" s="26" t="s">
        <v>39</v>
      </c>
      <c r="F39" s="15" t="s">
        <v>149</v>
      </c>
      <c r="G39" s="15" t="s">
        <v>149</v>
      </c>
      <c r="H39" s="9" t="s">
        <v>67</v>
      </c>
      <c r="I39" s="15" t="s">
        <v>844</v>
      </c>
      <c r="J39" s="15" t="s">
        <v>64</v>
      </c>
      <c r="K39" s="15" t="s">
        <v>64</v>
      </c>
      <c r="L39" s="93" t="s">
        <v>64</v>
      </c>
      <c r="M39" s="94" t="s">
        <v>548</v>
      </c>
      <c r="N39" s="15" t="s">
        <v>64</v>
      </c>
      <c r="O39" s="26" t="s">
        <v>1233</v>
      </c>
      <c r="P39" s="157" t="s">
        <v>1233</v>
      </c>
      <c r="Q39" s="26" t="s">
        <v>938</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579</v>
      </c>
      <c r="B40" s="9" t="s">
        <v>735</v>
      </c>
      <c r="C40" s="9" t="s">
        <v>217</v>
      </c>
      <c r="D40" s="15" t="s">
        <v>39</v>
      </c>
      <c r="E40" s="26" t="s">
        <v>39</v>
      </c>
      <c r="F40" s="15" t="s">
        <v>149</v>
      </c>
      <c r="G40" s="15" t="s">
        <v>149</v>
      </c>
      <c r="H40" s="9" t="s">
        <v>67</v>
      </c>
      <c r="I40" s="15" t="s">
        <v>844</v>
      </c>
      <c r="J40" s="15" t="s">
        <v>64</v>
      </c>
      <c r="K40" s="15" t="s">
        <v>64</v>
      </c>
      <c r="L40" s="93" t="s">
        <v>64</v>
      </c>
      <c r="M40" s="94" t="s">
        <v>548</v>
      </c>
      <c r="N40" s="15" t="s">
        <v>64</v>
      </c>
      <c r="O40" s="26" t="s">
        <v>1233</v>
      </c>
      <c r="P40" s="157" t="s">
        <v>1233</v>
      </c>
      <c r="Q40" s="26" t="s">
        <v>938</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580</v>
      </c>
      <c r="B41" s="9" t="s">
        <v>736</v>
      </c>
      <c r="C41" s="9" t="s">
        <v>218</v>
      </c>
      <c r="D41" s="15" t="s">
        <v>39</v>
      </c>
      <c r="E41" s="26" t="s">
        <v>39</v>
      </c>
      <c r="F41" s="15" t="s">
        <v>149</v>
      </c>
      <c r="G41" s="15" t="s">
        <v>149</v>
      </c>
      <c r="H41" s="9" t="s">
        <v>73</v>
      </c>
      <c r="I41" s="15" t="s">
        <v>844</v>
      </c>
      <c r="J41" s="15" t="s">
        <v>64</v>
      </c>
      <c r="K41" s="15" t="s">
        <v>64</v>
      </c>
      <c r="L41" s="93" t="s">
        <v>64</v>
      </c>
      <c r="M41" s="94" t="s">
        <v>548</v>
      </c>
      <c r="N41" s="15" t="s">
        <v>64</v>
      </c>
      <c r="O41" s="26" t="s">
        <v>1233</v>
      </c>
      <c r="P41" s="157" t="s">
        <v>1233</v>
      </c>
      <c r="Q41" s="26" t="s">
        <v>938</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581</v>
      </c>
      <c r="B42" s="9" t="s">
        <v>737</v>
      </c>
      <c r="C42" s="9" t="s">
        <v>219</v>
      </c>
      <c r="D42" s="15" t="s">
        <v>39</v>
      </c>
      <c r="E42" s="26" t="s">
        <v>39</v>
      </c>
      <c r="F42" s="15" t="s">
        <v>166</v>
      </c>
      <c r="G42" s="15" t="s">
        <v>149</v>
      </c>
      <c r="H42" s="9" t="s">
        <v>75</v>
      </c>
      <c r="I42" s="15" t="s">
        <v>844</v>
      </c>
      <c r="J42" s="15" t="s">
        <v>64</v>
      </c>
      <c r="K42" s="15" t="s">
        <v>64</v>
      </c>
      <c r="L42" s="93" t="s">
        <v>64</v>
      </c>
      <c r="M42" s="94" t="s">
        <v>548</v>
      </c>
      <c r="N42" s="15" t="s">
        <v>64</v>
      </c>
      <c r="O42" s="26" t="s">
        <v>1233</v>
      </c>
      <c r="P42" s="157" t="s">
        <v>1233</v>
      </c>
      <c r="Q42" s="26" t="s">
        <v>938</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582</v>
      </c>
      <c r="B43" s="9" t="s">
        <v>738</v>
      </c>
      <c r="C43" s="9" t="s">
        <v>220</v>
      </c>
      <c r="D43" s="15" t="s">
        <v>39</v>
      </c>
      <c r="E43" s="26" t="s">
        <v>39</v>
      </c>
      <c r="F43" s="15" t="s">
        <v>166</v>
      </c>
      <c r="G43" s="15" t="s">
        <v>149</v>
      </c>
      <c r="H43" s="9" t="s">
        <v>67</v>
      </c>
      <c r="I43" s="15" t="s">
        <v>844</v>
      </c>
      <c r="J43" s="15" t="s">
        <v>64</v>
      </c>
      <c r="K43" s="15" t="s">
        <v>64</v>
      </c>
      <c r="L43" s="93" t="s">
        <v>64</v>
      </c>
      <c r="M43" s="94" t="s">
        <v>548</v>
      </c>
      <c r="N43" s="15" t="s">
        <v>64</v>
      </c>
      <c r="O43" s="26" t="s">
        <v>1233</v>
      </c>
      <c r="P43" s="157" t="s">
        <v>1233</v>
      </c>
      <c r="Q43" s="26" t="s">
        <v>938</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583</v>
      </c>
      <c r="B44" s="9" t="s">
        <v>739</v>
      </c>
      <c r="C44" s="9" t="s">
        <v>221</v>
      </c>
      <c r="D44" s="15" t="s">
        <v>39</v>
      </c>
      <c r="E44" s="26" t="s">
        <v>39</v>
      </c>
      <c r="F44" s="15" t="s">
        <v>27</v>
      </c>
      <c r="G44" s="15" t="s">
        <v>149</v>
      </c>
      <c r="H44" s="9" t="s">
        <v>63</v>
      </c>
      <c r="I44" s="15" t="s">
        <v>844</v>
      </c>
      <c r="J44" s="15" t="s">
        <v>64</v>
      </c>
      <c r="K44" s="15" t="s">
        <v>64</v>
      </c>
      <c r="L44" s="93" t="s">
        <v>64</v>
      </c>
      <c r="M44" s="94" t="s">
        <v>548</v>
      </c>
      <c r="N44" s="15" t="s">
        <v>64</v>
      </c>
      <c r="O44" s="26" t="s">
        <v>1233</v>
      </c>
      <c r="P44" s="157" t="s">
        <v>1233</v>
      </c>
      <c r="Q44" s="26" t="s">
        <v>938</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584</v>
      </c>
      <c r="B45" s="9" t="s">
        <v>717</v>
      </c>
      <c r="C45" s="9" t="s">
        <v>222</v>
      </c>
      <c r="D45" s="15" t="s">
        <v>39</v>
      </c>
      <c r="E45" s="26" t="s">
        <v>39</v>
      </c>
      <c r="F45" s="15" t="s">
        <v>166</v>
      </c>
      <c r="G45" s="15" t="s">
        <v>149</v>
      </c>
      <c r="H45" s="9" t="s">
        <v>69</v>
      </c>
      <c r="I45" s="15" t="s">
        <v>844</v>
      </c>
      <c r="J45" s="15" t="s">
        <v>64</v>
      </c>
      <c r="K45" s="15" t="s">
        <v>64</v>
      </c>
      <c r="L45" s="93" t="s">
        <v>64</v>
      </c>
      <c r="M45" s="94" t="s">
        <v>548</v>
      </c>
      <c r="N45" s="15" t="s">
        <v>64</v>
      </c>
      <c r="O45" s="26" t="s">
        <v>1233</v>
      </c>
      <c r="P45" s="157" t="s">
        <v>1233</v>
      </c>
      <c r="Q45" s="26" t="s">
        <v>938</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585</v>
      </c>
      <c r="B46" s="9" t="s">
        <v>740</v>
      </c>
      <c r="C46" s="9" t="s">
        <v>223</v>
      </c>
      <c r="D46" s="15" t="s">
        <v>39</v>
      </c>
      <c r="E46" s="26" t="s">
        <v>39</v>
      </c>
      <c r="F46" s="15" t="s">
        <v>149</v>
      </c>
      <c r="G46" s="15" t="s">
        <v>149</v>
      </c>
      <c r="H46" s="9" t="s">
        <v>67</v>
      </c>
      <c r="I46" s="15" t="s">
        <v>844</v>
      </c>
      <c r="J46" s="15" t="s">
        <v>64</v>
      </c>
      <c r="K46" s="15" t="s">
        <v>64</v>
      </c>
      <c r="L46" s="93" t="s">
        <v>64</v>
      </c>
      <c r="M46" s="94" t="s">
        <v>548</v>
      </c>
      <c r="N46" s="15" t="s">
        <v>64</v>
      </c>
      <c r="O46" s="26" t="s">
        <v>1233</v>
      </c>
      <c r="P46" s="157" t="s">
        <v>1233</v>
      </c>
      <c r="Q46" s="26" t="s">
        <v>938</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586</v>
      </c>
      <c r="B47" s="9" t="s">
        <v>741</v>
      </c>
      <c r="C47" s="9" t="s">
        <v>224</v>
      </c>
      <c r="D47" s="15" t="s">
        <v>39</v>
      </c>
      <c r="E47" s="26" t="s">
        <v>39</v>
      </c>
      <c r="F47" s="15" t="s">
        <v>166</v>
      </c>
      <c r="G47" s="15" t="s">
        <v>149</v>
      </c>
      <c r="H47" s="9" t="s">
        <v>77</v>
      </c>
      <c r="I47" s="15" t="s">
        <v>844</v>
      </c>
      <c r="J47" s="15" t="s">
        <v>64</v>
      </c>
      <c r="K47" s="15" t="s">
        <v>64</v>
      </c>
      <c r="L47" s="93" t="s">
        <v>64</v>
      </c>
      <c r="M47" s="94" t="s">
        <v>548</v>
      </c>
      <c r="N47" s="15" t="s">
        <v>64</v>
      </c>
      <c r="O47" s="26" t="s">
        <v>1233</v>
      </c>
      <c r="P47" s="157" t="s">
        <v>1233</v>
      </c>
      <c r="Q47" s="26" t="s">
        <v>938</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587</v>
      </c>
      <c r="B48" s="9" t="s">
        <v>742</v>
      </c>
      <c r="C48" s="9" t="s">
        <v>225</v>
      </c>
      <c r="D48" s="15" t="s">
        <v>39</v>
      </c>
      <c r="E48" s="26" t="s">
        <v>39</v>
      </c>
      <c r="F48" s="15" t="s">
        <v>166</v>
      </c>
      <c r="G48" s="15" t="s">
        <v>149</v>
      </c>
      <c r="H48" s="9" t="s">
        <v>78</v>
      </c>
      <c r="I48" s="15" t="s">
        <v>844</v>
      </c>
      <c r="J48" s="15" t="s">
        <v>64</v>
      </c>
      <c r="K48" s="15" t="s">
        <v>64</v>
      </c>
      <c r="L48" s="93" t="s">
        <v>64</v>
      </c>
      <c r="M48" s="94" t="s">
        <v>548</v>
      </c>
      <c r="N48" s="15" t="s">
        <v>64</v>
      </c>
      <c r="O48" s="26" t="s">
        <v>1233</v>
      </c>
      <c r="P48" s="157" t="s">
        <v>1233</v>
      </c>
      <c r="Q48" s="26" t="s">
        <v>938</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588</v>
      </c>
      <c r="B49" s="9" t="s">
        <v>743</v>
      </c>
      <c r="C49" s="9" t="s">
        <v>226</v>
      </c>
      <c r="D49" s="15" t="s">
        <v>39</v>
      </c>
      <c r="E49" s="26" t="s">
        <v>39</v>
      </c>
      <c r="F49" s="15" t="s">
        <v>166</v>
      </c>
      <c r="G49" s="15" t="s">
        <v>149</v>
      </c>
      <c r="H49" s="9" t="s">
        <v>77</v>
      </c>
      <c r="I49" s="15" t="s">
        <v>844</v>
      </c>
      <c r="J49" s="15" t="s">
        <v>64</v>
      </c>
      <c r="K49" s="15" t="s">
        <v>64</v>
      </c>
      <c r="L49" s="93" t="s">
        <v>64</v>
      </c>
      <c r="M49" s="94" t="s">
        <v>548</v>
      </c>
      <c r="N49" s="15" t="s">
        <v>64</v>
      </c>
      <c r="O49" s="26" t="s">
        <v>1233</v>
      </c>
      <c r="P49" s="157" t="s">
        <v>1233</v>
      </c>
      <c r="Q49" s="26" t="s">
        <v>938</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589</v>
      </c>
      <c r="B50" s="9" t="s">
        <v>744</v>
      </c>
      <c r="C50" s="9" t="s">
        <v>227</v>
      </c>
      <c r="D50" s="15" t="s">
        <v>39</v>
      </c>
      <c r="E50" s="26" t="s">
        <v>39</v>
      </c>
      <c r="F50" s="15" t="s">
        <v>166</v>
      </c>
      <c r="G50" s="15" t="s">
        <v>149</v>
      </c>
      <c r="H50" s="9" t="s">
        <v>79</v>
      </c>
      <c r="I50" s="15" t="s">
        <v>844</v>
      </c>
      <c r="J50" s="15" t="s">
        <v>64</v>
      </c>
      <c r="K50" s="15" t="s">
        <v>64</v>
      </c>
      <c r="L50" s="93" t="s">
        <v>844</v>
      </c>
      <c r="M50" s="94" t="s">
        <v>548</v>
      </c>
      <c r="N50" s="15" t="s">
        <v>64</v>
      </c>
      <c r="O50" s="26" t="s">
        <v>1233</v>
      </c>
      <c r="P50" s="157" t="s">
        <v>1233</v>
      </c>
      <c r="Q50" s="26" t="s">
        <v>938</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590</v>
      </c>
      <c r="B51" s="9" t="s">
        <v>725</v>
      </c>
      <c r="C51" s="9" t="s">
        <v>228</v>
      </c>
      <c r="D51" s="15" t="s">
        <v>39</v>
      </c>
      <c r="E51" s="26" t="s">
        <v>39</v>
      </c>
      <c r="F51" s="15" t="s">
        <v>166</v>
      </c>
      <c r="G51" s="15" t="s">
        <v>149</v>
      </c>
      <c r="H51" s="9" t="s">
        <v>65</v>
      </c>
      <c r="I51" s="15" t="s">
        <v>844</v>
      </c>
      <c r="J51" s="15" t="s">
        <v>64</v>
      </c>
      <c r="K51" s="15" t="s">
        <v>64</v>
      </c>
      <c r="L51" s="93" t="s">
        <v>64</v>
      </c>
      <c r="M51" s="94" t="s">
        <v>548</v>
      </c>
      <c r="N51" s="15" t="s">
        <v>64</v>
      </c>
      <c r="O51" s="26" t="s">
        <v>1233</v>
      </c>
      <c r="P51" s="157" t="s">
        <v>1233</v>
      </c>
      <c r="Q51" s="26" t="s">
        <v>938</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591</v>
      </c>
      <c r="B52" s="9" t="s">
        <v>717</v>
      </c>
      <c r="C52" s="9" t="s">
        <v>229</v>
      </c>
      <c r="D52" s="15" t="s">
        <v>39</v>
      </c>
      <c r="E52" s="26" t="s">
        <v>39</v>
      </c>
      <c r="F52" s="15" t="s">
        <v>166</v>
      </c>
      <c r="G52" s="15" t="s">
        <v>149</v>
      </c>
      <c r="H52" s="9" t="s">
        <v>69</v>
      </c>
      <c r="I52" s="15" t="s">
        <v>844</v>
      </c>
      <c r="J52" s="15" t="s">
        <v>64</v>
      </c>
      <c r="K52" s="15" t="s">
        <v>64</v>
      </c>
      <c r="L52" s="93" t="s">
        <v>64</v>
      </c>
      <c r="M52" s="94" t="s">
        <v>548</v>
      </c>
      <c r="N52" s="15" t="s">
        <v>64</v>
      </c>
      <c r="O52" s="26" t="s">
        <v>1233</v>
      </c>
      <c r="P52" s="157" t="s">
        <v>1233</v>
      </c>
      <c r="Q52" s="26" t="s">
        <v>938</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592</v>
      </c>
      <c r="B53" s="9" t="s">
        <v>727</v>
      </c>
      <c r="C53" s="9" t="s">
        <v>230</v>
      </c>
      <c r="D53" s="15" t="s">
        <v>39</v>
      </c>
      <c r="E53" s="26" t="s">
        <v>39</v>
      </c>
      <c r="F53" s="15" t="s">
        <v>166</v>
      </c>
      <c r="G53" s="15" t="s">
        <v>149</v>
      </c>
      <c r="H53" s="9" t="s">
        <v>67</v>
      </c>
      <c r="I53" s="15" t="s">
        <v>844</v>
      </c>
      <c r="J53" s="15" t="s">
        <v>64</v>
      </c>
      <c r="K53" s="15" t="s">
        <v>64</v>
      </c>
      <c r="L53" s="93" t="s">
        <v>64</v>
      </c>
      <c r="M53" s="94" t="s">
        <v>548</v>
      </c>
      <c r="N53" s="15" t="s">
        <v>64</v>
      </c>
      <c r="O53" s="26" t="s">
        <v>1233</v>
      </c>
      <c r="P53" s="157" t="s">
        <v>1233</v>
      </c>
      <c r="Q53" s="26" t="s">
        <v>938</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593</v>
      </c>
      <c r="B54" s="9" t="s">
        <v>745</v>
      </c>
      <c r="C54" s="9" t="s">
        <v>231</v>
      </c>
      <c r="D54" s="15" t="s">
        <v>39</v>
      </c>
      <c r="E54" s="26" t="s">
        <v>39</v>
      </c>
      <c r="F54" s="15" t="s">
        <v>149</v>
      </c>
      <c r="G54" s="15" t="s">
        <v>149</v>
      </c>
      <c r="H54" s="9" t="s">
        <v>77</v>
      </c>
      <c r="I54" s="15" t="s">
        <v>844</v>
      </c>
      <c r="J54" s="15" t="s">
        <v>64</v>
      </c>
      <c r="K54" s="15" t="s">
        <v>64</v>
      </c>
      <c r="L54" s="93" t="s">
        <v>64</v>
      </c>
      <c r="M54" s="94" t="s">
        <v>548</v>
      </c>
      <c r="N54" s="15" t="s">
        <v>64</v>
      </c>
      <c r="O54" s="26" t="s">
        <v>1233</v>
      </c>
      <c r="P54" s="157" t="s">
        <v>1233</v>
      </c>
      <c r="Q54" s="26" t="s">
        <v>938</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746</v>
      </c>
      <c r="C55" s="9" t="s">
        <v>232</v>
      </c>
      <c r="D55" s="15" t="s">
        <v>39</v>
      </c>
      <c r="E55" s="26" t="s">
        <v>39</v>
      </c>
      <c r="F55" s="15" t="s">
        <v>149</v>
      </c>
      <c r="G55" s="15" t="s">
        <v>149</v>
      </c>
      <c r="H55" s="9" t="s">
        <v>67</v>
      </c>
      <c r="I55" s="15" t="s">
        <v>844</v>
      </c>
      <c r="J55" s="15" t="s">
        <v>64</v>
      </c>
      <c r="K55" s="15" t="s">
        <v>64</v>
      </c>
      <c r="L55" s="93" t="s">
        <v>64</v>
      </c>
      <c r="M55" s="94" t="s">
        <v>548</v>
      </c>
      <c r="N55" s="15" t="s">
        <v>64</v>
      </c>
      <c r="O55" s="26" t="s">
        <v>1233</v>
      </c>
      <c r="P55" s="157" t="s">
        <v>1233</v>
      </c>
      <c r="Q55" s="26" t="s">
        <v>938</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594</v>
      </c>
      <c r="B56" s="9" t="s">
        <v>747</v>
      </c>
      <c r="C56" s="9" t="s">
        <v>233</v>
      </c>
      <c r="D56" s="15" t="s">
        <v>39</v>
      </c>
      <c r="E56" s="26" t="s">
        <v>39</v>
      </c>
      <c r="F56" s="15" t="s">
        <v>166</v>
      </c>
      <c r="G56" s="15" t="s">
        <v>149</v>
      </c>
      <c r="H56" s="9" t="s">
        <v>72</v>
      </c>
      <c r="I56" s="15" t="s">
        <v>844</v>
      </c>
      <c r="J56" s="15" t="s">
        <v>64</v>
      </c>
      <c r="K56" s="15" t="s">
        <v>64</v>
      </c>
      <c r="L56" s="93" t="s">
        <v>64</v>
      </c>
      <c r="M56" s="94" t="s">
        <v>548</v>
      </c>
      <c r="N56" s="15" t="s">
        <v>64</v>
      </c>
      <c r="O56" s="26" t="s">
        <v>1233</v>
      </c>
      <c r="P56" s="157" t="s">
        <v>1233</v>
      </c>
      <c r="Q56" s="26" t="s">
        <v>938</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748</v>
      </c>
      <c r="C57" s="9" t="s">
        <v>234</v>
      </c>
      <c r="D57" s="15" t="s">
        <v>39</v>
      </c>
      <c r="E57" s="26" t="s">
        <v>39</v>
      </c>
      <c r="F57" s="15" t="s">
        <v>166</v>
      </c>
      <c r="G57" s="15" t="s">
        <v>149</v>
      </c>
      <c r="H57" s="9" t="s">
        <v>72</v>
      </c>
      <c r="I57" s="15" t="s">
        <v>844</v>
      </c>
      <c r="J57" s="15" t="s">
        <v>64</v>
      </c>
      <c r="K57" s="15" t="s">
        <v>64</v>
      </c>
      <c r="L57" s="93" t="s">
        <v>64</v>
      </c>
      <c r="M57" s="94" t="s">
        <v>548</v>
      </c>
      <c r="N57" s="15" t="s">
        <v>64</v>
      </c>
      <c r="O57" s="26" t="s">
        <v>1233</v>
      </c>
      <c r="P57" s="157" t="s">
        <v>1233</v>
      </c>
      <c r="Q57" s="26" t="s">
        <v>938</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595</v>
      </c>
      <c r="B58" s="9" t="s">
        <v>749</v>
      </c>
      <c r="C58" s="9" t="s">
        <v>235</v>
      </c>
      <c r="D58" s="15" t="s">
        <v>39</v>
      </c>
      <c r="E58" s="26" t="s">
        <v>39</v>
      </c>
      <c r="F58" s="15" t="s">
        <v>166</v>
      </c>
      <c r="G58" s="15" t="s">
        <v>149</v>
      </c>
      <c r="H58" s="9" t="s">
        <v>72</v>
      </c>
      <c r="I58" s="15" t="s">
        <v>844</v>
      </c>
      <c r="J58" s="15" t="s">
        <v>64</v>
      </c>
      <c r="K58" s="15" t="s">
        <v>64</v>
      </c>
      <c r="L58" s="93" t="s">
        <v>64</v>
      </c>
      <c r="M58" s="94" t="s">
        <v>548</v>
      </c>
      <c r="N58" s="15" t="s">
        <v>64</v>
      </c>
      <c r="O58" s="26" t="s">
        <v>1233</v>
      </c>
      <c r="P58" s="157" t="s">
        <v>1233</v>
      </c>
      <c r="Q58" s="26" t="s">
        <v>938</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596</v>
      </c>
      <c r="B59" s="9" t="s">
        <v>722</v>
      </c>
      <c r="C59" s="9" t="s">
        <v>236</v>
      </c>
      <c r="D59" s="15" t="s">
        <v>39</v>
      </c>
      <c r="E59" s="26" t="s">
        <v>39</v>
      </c>
      <c r="F59" s="15" t="s">
        <v>166</v>
      </c>
      <c r="G59" s="15" t="s">
        <v>149</v>
      </c>
      <c r="H59" s="9" t="s">
        <v>63</v>
      </c>
      <c r="I59" s="15" t="s">
        <v>844</v>
      </c>
      <c r="J59" s="15" t="s">
        <v>64</v>
      </c>
      <c r="K59" s="15" t="s">
        <v>64</v>
      </c>
      <c r="L59" s="93" t="s">
        <v>64</v>
      </c>
      <c r="M59" s="94" t="s">
        <v>548</v>
      </c>
      <c r="N59" s="15" t="s">
        <v>64</v>
      </c>
      <c r="O59" s="26" t="s">
        <v>1233</v>
      </c>
      <c r="P59" s="157" t="s">
        <v>1233</v>
      </c>
      <c r="Q59" s="26" t="s">
        <v>938</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597</v>
      </c>
      <c r="B60" s="9" t="s">
        <v>750</v>
      </c>
      <c r="C60" s="9" t="s">
        <v>237</v>
      </c>
      <c r="D60" s="15" t="s">
        <v>39</v>
      </c>
      <c r="E60" s="26" t="s">
        <v>39</v>
      </c>
      <c r="F60" s="15" t="s">
        <v>166</v>
      </c>
      <c r="G60" s="15" t="s">
        <v>149</v>
      </c>
      <c r="H60" s="9" t="s">
        <v>79</v>
      </c>
      <c r="I60" s="15" t="s">
        <v>844</v>
      </c>
      <c r="J60" s="15" t="s">
        <v>64</v>
      </c>
      <c r="K60" s="15" t="s">
        <v>64</v>
      </c>
      <c r="L60" s="93" t="s">
        <v>64</v>
      </c>
      <c r="M60" s="94" t="s">
        <v>548</v>
      </c>
      <c r="N60" s="15" t="s">
        <v>64</v>
      </c>
      <c r="O60" s="26" t="s">
        <v>1233</v>
      </c>
      <c r="P60" s="157" t="s">
        <v>1233</v>
      </c>
      <c r="Q60" s="26" t="s">
        <v>938</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598</v>
      </c>
      <c r="B61" s="9" t="s">
        <v>743</v>
      </c>
      <c r="C61" s="9" t="s">
        <v>238</v>
      </c>
      <c r="D61" s="15" t="s">
        <v>39</v>
      </c>
      <c r="E61" s="26" t="s">
        <v>39</v>
      </c>
      <c r="F61" s="15" t="s">
        <v>166</v>
      </c>
      <c r="G61" s="15" t="s">
        <v>149</v>
      </c>
      <c r="H61" s="9" t="s">
        <v>77</v>
      </c>
      <c r="I61" s="15" t="s">
        <v>844</v>
      </c>
      <c r="J61" s="15" t="s">
        <v>64</v>
      </c>
      <c r="K61" s="15" t="s">
        <v>64</v>
      </c>
      <c r="L61" s="93" t="s">
        <v>64</v>
      </c>
      <c r="M61" s="94" t="s">
        <v>548</v>
      </c>
      <c r="N61" s="15" t="s">
        <v>64</v>
      </c>
      <c r="O61" s="26" t="s">
        <v>1233</v>
      </c>
      <c r="P61" s="157" t="s">
        <v>1233</v>
      </c>
      <c r="Q61" s="26" t="s">
        <v>938</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599</v>
      </c>
      <c r="B62" s="9" t="s">
        <v>751</v>
      </c>
      <c r="C62" s="9" t="s">
        <v>239</v>
      </c>
      <c r="D62" s="15" t="s">
        <v>39</v>
      </c>
      <c r="E62" s="26" t="s">
        <v>39</v>
      </c>
      <c r="F62" s="15" t="s">
        <v>166</v>
      </c>
      <c r="G62" s="15" t="s">
        <v>149</v>
      </c>
      <c r="H62" s="9" t="s">
        <v>79</v>
      </c>
      <c r="I62" s="15" t="s">
        <v>844</v>
      </c>
      <c r="J62" s="15" t="s">
        <v>64</v>
      </c>
      <c r="K62" s="15" t="s">
        <v>64</v>
      </c>
      <c r="L62" s="93" t="s">
        <v>64</v>
      </c>
      <c r="M62" s="94" t="s">
        <v>548</v>
      </c>
      <c r="N62" s="15" t="s">
        <v>64</v>
      </c>
      <c r="O62" s="26" t="s">
        <v>1233</v>
      </c>
      <c r="P62" s="157" t="s">
        <v>1233</v>
      </c>
      <c r="Q62" s="26" t="s">
        <v>938</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600</v>
      </c>
      <c r="B63" s="9" t="s">
        <v>752</v>
      </c>
      <c r="C63" s="9" t="s">
        <v>240</v>
      </c>
      <c r="D63" s="15" t="s">
        <v>39</v>
      </c>
      <c r="E63" s="26" t="s">
        <v>39</v>
      </c>
      <c r="F63" s="15" t="s">
        <v>166</v>
      </c>
      <c r="G63" s="15" t="s">
        <v>149</v>
      </c>
      <c r="H63" s="9" t="s">
        <v>67</v>
      </c>
      <c r="I63" s="15" t="s">
        <v>844</v>
      </c>
      <c r="J63" s="15" t="s">
        <v>64</v>
      </c>
      <c r="K63" s="15" t="s">
        <v>64</v>
      </c>
      <c r="L63" s="93" t="s">
        <v>64</v>
      </c>
      <c r="M63" s="94" t="s">
        <v>548</v>
      </c>
      <c r="N63" s="15" t="s">
        <v>64</v>
      </c>
      <c r="O63" s="26" t="s">
        <v>1233</v>
      </c>
      <c r="P63" s="157" t="s">
        <v>1233</v>
      </c>
      <c r="Q63" s="26" t="s">
        <v>938</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601</v>
      </c>
      <c r="B64" s="9" t="s">
        <v>753</v>
      </c>
      <c r="C64" s="9" t="s">
        <v>241</v>
      </c>
      <c r="D64" s="15" t="s">
        <v>39</v>
      </c>
      <c r="E64" s="26" t="s">
        <v>39</v>
      </c>
      <c r="F64" s="15" t="s">
        <v>166</v>
      </c>
      <c r="G64" s="15" t="s">
        <v>149</v>
      </c>
      <c r="H64" s="9" t="s">
        <v>68</v>
      </c>
      <c r="I64" s="15" t="s">
        <v>844</v>
      </c>
      <c r="J64" s="15" t="s">
        <v>64</v>
      </c>
      <c r="K64" s="15" t="s">
        <v>64</v>
      </c>
      <c r="L64" s="93" t="s">
        <v>64</v>
      </c>
      <c r="M64" s="94" t="s">
        <v>548</v>
      </c>
      <c r="N64" s="15" t="s">
        <v>844</v>
      </c>
      <c r="O64" s="26" t="s">
        <v>1233</v>
      </c>
      <c r="P64" s="157" t="s">
        <v>1233</v>
      </c>
      <c r="Q64" s="26" t="s">
        <v>938</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602</v>
      </c>
      <c r="B65" s="9" t="s">
        <v>754</v>
      </c>
      <c r="C65" s="9" t="s">
        <v>242</v>
      </c>
      <c r="D65" s="15" t="s">
        <v>39</v>
      </c>
      <c r="E65" s="26" t="s">
        <v>39</v>
      </c>
      <c r="F65" s="15" t="s">
        <v>166</v>
      </c>
      <c r="G65" s="15" t="s">
        <v>149</v>
      </c>
      <c r="H65" s="9" t="s">
        <v>63</v>
      </c>
      <c r="I65" s="15" t="s">
        <v>844</v>
      </c>
      <c r="J65" s="15" t="s">
        <v>64</v>
      </c>
      <c r="K65" s="15" t="s">
        <v>64</v>
      </c>
      <c r="L65" s="93" t="s">
        <v>64</v>
      </c>
      <c r="M65" s="94" t="s">
        <v>548</v>
      </c>
      <c r="N65" s="15" t="s">
        <v>64</v>
      </c>
      <c r="O65" s="26" t="s">
        <v>1233</v>
      </c>
      <c r="P65" s="157" t="s">
        <v>1233</v>
      </c>
      <c r="Q65" s="26" t="s">
        <v>938</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603</v>
      </c>
      <c r="B66" s="9" t="s">
        <v>755</v>
      </c>
      <c r="C66" s="9" t="s">
        <v>243</v>
      </c>
      <c r="D66" s="15" t="s">
        <v>39</v>
      </c>
      <c r="E66" s="26" t="s">
        <v>39</v>
      </c>
      <c r="F66" s="15" t="s">
        <v>166</v>
      </c>
      <c r="G66" s="15" t="s">
        <v>149</v>
      </c>
      <c r="H66" s="9" t="s">
        <v>68</v>
      </c>
      <c r="I66" s="15" t="s">
        <v>844</v>
      </c>
      <c r="J66" s="15" t="s">
        <v>64</v>
      </c>
      <c r="K66" s="15" t="s">
        <v>64</v>
      </c>
      <c r="L66" s="93" t="s">
        <v>64</v>
      </c>
      <c r="M66" s="94" t="s">
        <v>548</v>
      </c>
      <c r="N66" s="15" t="s">
        <v>64</v>
      </c>
      <c r="O66" s="26" t="s">
        <v>1233</v>
      </c>
      <c r="P66" s="157" t="s">
        <v>1233</v>
      </c>
      <c r="Q66" s="26" t="s">
        <v>938</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604</v>
      </c>
      <c r="B67" s="77" t="s">
        <v>756</v>
      </c>
      <c r="C67" s="9" t="s">
        <v>244</v>
      </c>
      <c r="D67" s="15" t="s">
        <v>39</v>
      </c>
      <c r="E67" s="26" t="s">
        <v>39</v>
      </c>
      <c r="F67" s="15" t="s">
        <v>166</v>
      </c>
      <c r="G67" s="15" t="s">
        <v>149</v>
      </c>
      <c r="H67" s="9" t="s">
        <v>82</v>
      </c>
      <c r="I67" s="15" t="s">
        <v>844</v>
      </c>
      <c r="J67" s="15" t="s">
        <v>64</v>
      </c>
      <c r="K67" s="15" t="s">
        <v>64</v>
      </c>
      <c r="L67" s="93" t="s">
        <v>64</v>
      </c>
      <c r="M67" s="94" t="s">
        <v>548</v>
      </c>
      <c r="N67" s="15" t="s">
        <v>64</v>
      </c>
      <c r="O67" s="26" t="s">
        <v>1233</v>
      </c>
      <c r="P67" s="157" t="s">
        <v>1233</v>
      </c>
      <c r="Q67" s="26" t="s">
        <v>938</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605</v>
      </c>
      <c r="B68" s="9" t="s">
        <v>757</v>
      </c>
      <c r="C68" s="9" t="s">
        <v>245</v>
      </c>
      <c r="D68" s="15" t="s">
        <v>39</v>
      </c>
      <c r="E68" s="26" t="s">
        <v>39</v>
      </c>
      <c r="F68" s="15" t="s">
        <v>166</v>
      </c>
      <c r="G68" s="15" t="s">
        <v>149</v>
      </c>
      <c r="H68" s="9" t="s">
        <v>63</v>
      </c>
      <c r="I68" s="15" t="s">
        <v>844</v>
      </c>
      <c r="J68" s="15" t="s">
        <v>64</v>
      </c>
      <c r="K68" s="15" t="s">
        <v>64</v>
      </c>
      <c r="L68" s="93" t="s">
        <v>64</v>
      </c>
      <c r="M68" s="94" t="s">
        <v>548</v>
      </c>
      <c r="N68" s="15" t="s">
        <v>64</v>
      </c>
      <c r="O68" s="26" t="s">
        <v>1233</v>
      </c>
      <c r="P68" s="157" t="s">
        <v>1233</v>
      </c>
      <c r="Q68" s="26" t="s">
        <v>938</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606</v>
      </c>
      <c r="B69" s="9" t="s">
        <v>758</v>
      </c>
      <c r="C69" s="9" t="s">
        <v>246</v>
      </c>
      <c r="D69" s="15" t="s">
        <v>39</v>
      </c>
      <c r="E69" s="26" t="s">
        <v>39</v>
      </c>
      <c r="F69" s="15" t="s">
        <v>166</v>
      </c>
      <c r="G69" s="15" t="s">
        <v>149</v>
      </c>
      <c r="H69" s="9" t="s">
        <v>83</v>
      </c>
      <c r="I69" s="15" t="s">
        <v>844</v>
      </c>
      <c r="J69" s="15" t="s">
        <v>64</v>
      </c>
      <c r="K69" s="15" t="s">
        <v>64</v>
      </c>
      <c r="L69" s="93" t="s">
        <v>844</v>
      </c>
      <c r="M69" s="94" t="s">
        <v>548</v>
      </c>
      <c r="N69" s="15" t="s">
        <v>64</v>
      </c>
      <c r="O69" s="26" t="s">
        <v>1233</v>
      </c>
      <c r="P69" s="157" t="s">
        <v>1233</v>
      </c>
      <c r="Q69" s="26" t="s">
        <v>938</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607</v>
      </c>
      <c r="B70" s="9" t="s">
        <v>746</v>
      </c>
      <c r="C70" s="9" t="s">
        <v>247</v>
      </c>
      <c r="D70" s="15" t="s">
        <v>39</v>
      </c>
      <c r="E70" s="26" t="s">
        <v>39</v>
      </c>
      <c r="F70" s="15" t="s">
        <v>166</v>
      </c>
      <c r="G70" s="15" t="s">
        <v>149</v>
      </c>
      <c r="H70" s="9" t="s">
        <v>67</v>
      </c>
      <c r="I70" s="15" t="s">
        <v>844</v>
      </c>
      <c r="J70" s="15" t="s">
        <v>64</v>
      </c>
      <c r="K70" s="15" t="s">
        <v>64</v>
      </c>
      <c r="L70" s="93" t="s">
        <v>64</v>
      </c>
      <c r="M70" s="94" t="s">
        <v>548</v>
      </c>
      <c r="N70" s="15" t="s">
        <v>64</v>
      </c>
      <c r="O70" s="26" t="s">
        <v>1233</v>
      </c>
      <c r="P70" s="157" t="s">
        <v>1233</v>
      </c>
      <c r="Q70" s="26" t="s">
        <v>938</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1427</v>
      </c>
      <c r="B71" s="9" t="s">
        <v>759</v>
      </c>
      <c r="C71" s="9" t="s">
        <v>1426</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608</v>
      </c>
      <c r="B72" s="9" t="s">
        <v>760</v>
      </c>
      <c r="C72" s="9" t="s">
        <v>248</v>
      </c>
      <c r="D72" s="15" t="s">
        <v>39</v>
      </c>
      <c r="E72" s="26" t="s">
        <v>39</v>
      </c>
      <c r="F72" s="15" t="s">
        <v>166</v>
      </c>
      <c r="G72" s="15" t="s">
        <v>149</v>
      </c>
      <c r="H72" s="9" t="s">
        <v>71</v>
      </c>
      <c r="I72" s="15" t="s">
        <v>844</v>
      </c>
      <c r="J72" s="15" t="s">
        <v>64</v>
      </c>
      <c r="K72" s="15" t="s">
        <v>64</v>
      </c>
      <c r="L72" s="93" t="s">
        <v>64</v>
      </c>
      <c r="M72" s="94" t="s">
        <v>548</v>
      </c>
      <c r="N72" s="15" t="s">
        <v>64</v>
      </c>
      <c r="O72" s="26" t="s">
        <v>1233</v>
      </c>
      <c r="P72" s="157" t="s">
        <v>1233</v>
      </c>
      <c r="Q72" s="26" t="s">
        <v>938</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609</v>
      </c>
      <c r="B73" s="9" t="s">
        <v>761</v>
      </c>
      <c r="C73" s="9" t="s">
        <v>249</v>
      </c>
      <c r="D73" s="15" t="s">
        <v>39</v>
      </c>
      <c r="E73" s="26" t="s">
        <v>39</v>
      </c>
      <c r="F73" s="15" t="s">
        <v>166</v>
      </c>
      <c r="G73" s="15" t="s">
        <v>149</v>
      </c>
      <c r="H73" s="9" t="s">
        <v>84</v>
      </c>
      <c r="I73" s="15" t="s">
        <v>844</v>
      </c>
      <c r="J73" s="15" t="s">
        <v>64</v>
      </c>
      <c r="K73" s="15" t="s">
        <v>64</v>
      </c>
      <c r="L73" s="93" t="s">
        <v>64</v>
      </c>
      <c r="M73" s="94" t="s">
        <v>548</v>
      </c>
      <c r="N73" s="15" t="s">
        <v>64</v>
      </c>
      <c r="O73" s="26" t="s">
        <v>1233</v>
      </c>
      <c r="P73" s="157" t="s">
        <v>1233</v>
      </c>
      <c r="Q73" s="26" t="s">
        <v>938</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610</v>
      </c>
      <c r="B74" s="9" t="s">
        <v>762</v>
      </c>
      <c r="C74" s="9" t="s">
        <v>250</v>
      </c>
      <c r="D74" s="15" t="s">
        <v>39</v>
      </c>
      <c r="E74" s="26" t="s">
        <v>39</v>
      </c>
      <c r="F74" s="15" t="s">
        <v>166</v>
      </c>
      <c r="G74" s="15" t="s">
        <v>149</v>
      </c>
      <c r="H74" s="9" t="s">
        <v>83</v>
      </c>
      <c r="I74" s="15" t="s">
        <v>844</v>
      </c>
      <c r="J74" s="15" t="s">
        <v>64</v>
      </c>
      <c r="K74" s="15" t="s">
        <v>64</v>
      </c>
      <c r="L74" s="93" t="s">
        <v>844</v>
      </c>
      <c r="M74" s="94" t="s">
        <v>548</v>
      </c>
      <c r="N74" s="15" t="s">
        <v>64</v>
      </c>
      <c r="O74" s="26" t="s">
        <v>1233</v>
      </c>
      <c r="P74" s="157" t="s">
        <v>1233</v>
      </c>
      <c r="Q74" s="26" t="s">
        <v>938</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611</v>
      </c>
      <c r="B75" s="9" t="s">
        <v>763</v>
      </c>
      <c r="C75" s="9" t="s">
        <v>251</v>
      </c>
      <c r="D75" s="15" t="s">
        <v>39</v>
      </c>
      <c r="E75" s="26" t="s">
        <v>39</v>
      </c>
      <c r="F75" s="15" t="s">
        <v>166</v>
      </c>
      <c r="G75" s="15" t="s">
        <v>149</v>
      </c>
      <c r="H75" s="9" t="s">
        <v>85</v>
      </c>
      <c r="I75" s="15" t="s">
        <v>844</v>
      </c>
      <c r="J75" s="15" t="s">
        <v>64</v>
      </c>
      <c r="K75" s="15" t="s">
        <v>64</v>
      </c>
      <c r="L75" s="93" t="s">
        <v>64</v>
      </c>
      <c r="M75" s="94" t="s">
        <v>548</v>
      </c>
      <c r="N75" s="15" t="s">
        <v>64</v>
      </c>
      <c r="O75" s="26" t="s">
        <v>1233</v>
      </c>
      <c r="P75" s="157" t="s">
        <v>1233</v>
      </c>
      <c r="Q75" s="26" t="s">
        <v>938</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612</v>
      </c>
      <c r="B76" s="9" t="s">
        <v>764</v>
      </c>
      <c r="C76" s="9" t="s">
        <v>252</v>
      </c>
      <c r="D76" s="15" t="s">
        <v>39</v>
      </c>
      <c r="E76" s="26" t="s">
        <v>39</v>
      </c>
      <c r="F76" s="15" t="s">
        <v>166</v>
      </c>
      <c r="G76" s="15" t="s">
        <v>149</v>
      </c>
      <c r="H76" s="9" t="s">
        <v>75</v>
      </c>
      <c r="I76" s="15" t="s">
        <v>844</v>
      </c>
      <c r="J76" s="15" t="s">
        <v>64</v>
      </c>
      <c r="K76" s="15" t="s">
        <v>64</v>
      </c>
      <c r="L76" s="93" t="s">
        <v>64</v>
      </c>
      <c r="M76" s="94" t="s">
        <v>548</v>
      </c>
      <c r="N76" s="15" t="s">
        <v>64</v>
      </c>
      <c r="O76" s="26" t="s">
        <v>1233</v>
      </c>
      <c r="P76" s="157" t="s">
        <v>1233</v>
      </c>
      <c r="Q76" s="26" t="s">
        <v>938</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613</v>
      </c>
      <c r="B77" s="9" t="s">
        <v>719</v>
      </c>
      <c r="C77" s="9" t="s">
        <v>253</v>
      </c>
      <c r="D77" s="15" t="s">
        <v>39</v>
      </c>
      <c r="E77" s="26" t="s">
        <v>39</v>
      </c>
      <c r="F77" s="15" t="s">
        <v>166</v>
      </c>
      <c r="G77" s="15" t="s">
        <v>149</v>
      </c>
      <c r="H77" s="9" t="s">
        <v>68</v>
      </c>
      <c r="I77" s="15" t="s">
        <v>844</v>
      </c>
      <c r="J77" s="15" t="s">
        <v>64</v>
      </c>
      <c r="K77" s="15" t="s">
        <v>64</v>
      </c>
      <c r="L77" s="93" t="s">
        <v>64</v>
      </c>
      <c r="M77" s="94" t="s">
        <v>548</v>
      </c>
      <c r="N77" s="15" t="s">
        <v>64</v>
      </c>
      <c r="O77" s="26" t="s">
        <v>1233</v>
      </c>
      <c r="P77" s="157" t="s">
        <v>1233</v>
      </c>
      <c r="Q77" s="26" t="s">
        <v>938</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614</v>
      </c>
      <c r="B78" s="9" t="s">
        <v>765</v>
      </c>
      <c r="C78" s="9" t="s">
        <v>254</v>
      </c>
      <c r="D78" s="15" t="s">
        <v>39</v>
      </c>
      <c r="E78" s="26" t="s">
        <v>39</v>
      </c>
      <c r="F78" s="15" t="s">
        <v>166</v>
      </c>
      <c r="G78" s="15" t="s">
        <v>149</v>
      </c>
      <c r="H78" s="9" t="s">
        <v>85</v>
      </c>
      <c r="I78" s="15" t="s">
        <v>844</v>
      </c>
      <c r="J78" s="15" t="s">
        <v>64</v>
      </c>
      <c r="K78" s="15" t="s">
        <v>64</v>
      </c>
      <c r="L78" s="93" t="s">
        <v>64</v>
      </c>
      <c r="M78" s="94" t="s">
        <v>548</v>
      </c>
      <c r="N78" s="15" t="s">
        <v>64</v>
      </c>
      <c r="O78" s="26" t="s">
        <v>1233</v>
      </c>
      <c r="P78" s="157" t="s">
        <v>1233</v>
      </c>
      <c r="Q78" s="26" t="s">
        <v>938</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615</v>
      </c>
      <c r="B79" s="9" t="s">
        <v>766</v>
      </c>
      <c r="C79" s="9" t="s">
        <v>255</v>
      </c>
      <c r="D79" s="15" t="s">
        <v>39</v>
      </c>
      <c r="E79" s="26" t="s">
        <v>39</v>
      </c>
      <c r="F79" s="15" t="s">
        <v>166</v>
      </c>
      <c r="G79" s="15" t="s">
        <v>149</v>
      </c>
      <c r="H79" s="9" t="s">
        <v>65</v>
      </c>
      <c r="I79" s="15" t="s">
        <v>844</v>
      </c>
      <c r="J79" s="15" t="s">
        <v>64</v>
      </c>
      <c r="K79" s="15" t="s">
        <v>64</v>
      </c>
      <c r="L79" s="93" t="s">
        <v>64</v>
      </c>
      <c r="M79" s="94" t="s">
        <v>548</v>
      </c>
      <c r="N79" s="15" t="s">
        <v>64</v>
      </c>
      <c r="O79" s="26" t="s">
        <v>1233</v>
      </c>
      <c r="P79" s="157" t="s">
        <v>1233</v>
      </c>
      <c r="Q79" s="26" t="s">
        <v>938</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616</v>
      </c>
      <c r="B80" s="9" t="s">
        <v>767</v>
      </c>
      <c r="C80" s="9" t="s">
        <v>256</v>
      </c>
      <c r="D80" s="15" t="s">
        <v>39</v>
      </c>
      <c r="E80" s="26" t="s">
        <v>39</v>
      </c>
      <c r="F80" s="15" t="s">
        <v>166</v>
      </c>
      <c r="G80" s="15" t="s">
        <v>149</v>
      </c>
      <c r="H80" s="9" t="s">
        <v>65</v>
      </c>
      <c r="I80" s="15" t="s">
        <v>844</v>
      </c>
      <c r="J80" s="15" t="s">
        <v>64</v>
      </c>
      <c r="K80" s="15" t="s">
        <v>64</v>
      </c>
      <c r="L80" s="93" t="s">
        <v>64</v>
      </c>
      <c r="M80" s="94" t="s">
        <v>548</v>
      </c>
      <c r="N80" s="15" t="s">
        <v>64</v>
      </c>
      <c r="O80" s="26" t="s">
        <v>1233</v>
      </c>
      <c r="P80" s="157" t="s">
        <v>1233</v>
      </c>
      <c r="Q80" s="26" t="s">
        <v>938</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617</v>
      </c>
      <c r="B81" s="9" t="s">
        <v>767</v>
      </c>
      <c r="C81" s="9" t="s">
        <v>257</v>
      </c>
      <c r="D81" s="15" t="s">
        <v>39</v>
      </c>
      <c r="E81" s="26" t="s">
        <v>39</v>
      </c>
      <c r="F81" s="15" t="s">
        <v>149</v>
      </c>
      <c r="G81" s="15" t="s">
        <v>149</v>
      </c>
      <c r="H81" s="9" t="s">
        <v>65</v>
      </c>
      <c r="I81" s="15" t="s">
        <v>844</v>
      </c>
      <c r="J81" s="15" t="s">
        <v>64</v>
      </c>
      <c r="K81" s="15" t="s">
        <v>64</v>
      </c>
      <c r="L81" s="93" t="s">
        <v>64</v>
      </c>
      <c r="M81" s="94" t="s">
        <v>548</v>
      </c>
      <c r="N81" s="15" t="s">
        <v>64</v>
      </c>
      <c r="O81" s="26" t="s">
        <v>1233</v>
      </c>
      <c r="P81" s="157" t="s">
        <v>1233</v>
      </c>
      <c r="Q81" s="26" t="s">
        <v>938</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618</v>
      </c>
      <c r="B82" s="9" t="s">
        <v>768</v>
      </c>
      <c r="C82" s="9" t="s">
        <v>258</v>
      </c>
      <c r="D82" s="15" t="s">
        <v>39</v>
      </c>
      <c r="E82" s="26" t="s">
        <v>39</v>
      </c>
      <c r="F82" s="15" t="s">
        <v>166</v>
      </c>
      <c r="G82" s="15" t="s">
        <v>149</v>
      </c>
      <c r="H82" s="9" t="s">
        <v>77</v>
      </c>
      <c r="I82" s="15" t="s">
        <v>844</v>
      </c>
      <c r="J82" s="15" t="s">
        <v>64</v>
      </c>
      <c r="K82" s="15" t="s">
        <v>64</v>
      </c>
      <c r="L82" s="93" t="s">
        <v>844</v>
      </c>
      <c r="M82" s="94" t="s">
        <v>548</v>
      </c>
      <c r="N82" s="15" t="s">
        <v>64</v>
      </c>
      <c r="O82" s="26" t="s">
        <v>1233</v>
      </c>
      <c r="P82" s="157" t="s">
        <v>1233</v>
      </c>
      <c r="Q82" s="26" t="s">
        <v>938</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619</v>
      </c>
      <c r="B83" s="9" t="s">
        <v>754</v>
      </c>
      <c r="C83" s="9" t="s">
        <v>259</v>
      </c>
      <c r="D83" s="15" t="s">
        <v>39</v>
      </c>
      <c r="E83" s="26" t="s">
        <v>39</v>
      </c>
      <c r="F83" s="15" t="s">
        <v>166</v>
      </c>
      <c r="G83" s="15" t="s">
        <v>149</v>
      </c>
      <c r="H83" s="9" t="s">
        <v>63</v>
      </c>
      <c r="I83" s="15" t="s">
        <v>844</v>
      </c>
      <c r="J83" s="15" t="s">
        <v>64</v>
      </c>
      <c r="K83" s="15" t="s">
        <v>64</v>
      </c>
      <c r="L83" s="93" t="s">
        <v>64</v>
      </c>
      <c r="M83" s="94" t="s">
        <v>548</v>
      </c>
      <c r="N83" s="15" t="s">
        <v>64</v>
      </c>
      <c r="O83" s="26" t="s">
        <v>1233</v>
      </c>
      <c r="P83" s="157" t="s">
        <v>1233</v>
      </c>
      <c r="Q83" s="26" t="s">
        <v>938</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620</v>
      </c>
      <c r="B84" s="9" t="s">
        <v>769</v>
      </c>
      <c r="C84" s="9" t="s">
        <v>260</v>
      </c>
      <c r="D84" s="15" t="s">
        <v>39</v>
      </c>
      <c r="E84" s="26" t="s">
        <v>39</v>
      </c>
      <c r="F84" s="15" t="s">
        <v>166</v>
      </c>
      <c r="G84" s="15" t="s">
        <v>149</v>
      </c>
      <c r="H84" s="9" t="s">
        <v>68</v>
      </c>
      <c r="I84" s="15" t="s">
        <v>844</v>
      </c>
      <c r="J84" s="15" t="s">
        <v>64</v>
      </c>
      <c r="K84" s="15" t="s">
        <v>64</v>
      </c>
      <c r="L84" s="93" t="s">
        <v>64</v>
      </c>
      <c r="M84" s="94" t="s">
        <v>548</v>
      </c>
      <c r="N84" s="15" t="s">
        <v>64</v>
      </c>
      <c r="O84" s="26" t="s">
        <v>1233</v>
      </c>
      <c r="P84" s="157" t="s">
        <v>1233</v>
      </c>
      <c r="Q84" s="26" t="s">
        <v>938</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621</v>
      </c>
      <c r="B85" s="9" t="s">
        <v>732</v>
      </c>
      <c r="C85" s="9" t="s">
        <v>261</v>
      </c>
      <c r="D85" s="15" t="s">
        <v>39</v>
      </c>
      <c r="E85" s="26" t="e">
        <f ca="1">[2]!getdirpath(C85)</f>
        <v>#NAME?</v>
      </c>
      <c r="F85" s="15" t="s">
        <v>149</v>
      </c>
      <c r="G85" s="15" t="s">
        <v>149</v>
      </c>
      <c r="H85" s="9" t="s">
        <v>68</v>
      </c>
      <c r="I85" s="15" t="s">
        <v>844</v>
      </c>
      <c r="J85" s="15" t="s">
        <v>64</v>
      </c>
      <c r="K85" s="15" t="s">
        <v>64</v>
      </c>
      <c r="L85" s="93" t="s">
        <v>64</v>
      </c>
      <c r="M85" s="94" t="s">
        <v>548</v>
      </c>
      <c r="N85" s="15" t="s">
        <v>64</v>
      </c>
      <c r="O85" s="26" t="s">
        <v>1233</v>
      </c>
      <c r="P85" s="157" t="s">
        <v>1233</v>
      </c>
      <c r="Q85" s="26" t="s">
        <v>938</v>
      </c>
      <c r="R85" s="9" t="str">
        <f t="shared" si="13"/>
        <v/>
      </c>
      <c r="S85" s="9" t="str">
        <f t="shared" si="9"/>
        <v/>
      </c>
      <c r="T85" s="13" t="e">
        <f ca="1">IF(
  AND($A85&lt;&gt;"",$I85="○"),
  (
    "mkdir """&amp;V85&amp;""" &amp; "
  )&amp;(
    """"&amp;shortcut設定!$F$7&amp;""""&amp;
    " """&amp;V85&amp;"\"&amp;$A85&amp;"（"&amp;$B85&amp;"）.lnk"""&amp;
    " """&amp;$C85&amp;""""&amp;
    IF($D85="-"," """""," """&amp;$D85&amp;"""")&amp;
    IF($E85="-"," """""," """&amp;$E85&amp;"""")
  ),
  ""
)</f>
        <v>#NAME?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622</v>
      </c>
      <c r="B86" s="9" t="s">
        <v>754</v>
      </c>
      <c r="C86" s="9" t="s">
        <v>262</v>
      </c>
      <c r="D86" s="15" t="s">
        <v>39</v>
      </c>
      <c r="E86" s="26" t="s">
        <v>39</v>
      </c>
      <c r="F86" s="15" t="s">
        <v>166</v>
      </c>
      <c r="G86" s="15" t="s">
        <v>149</v>
      </c>
      <c r="H86" s="9" t="s">
        <v>63</v>
      </c>
      <c r="I86" s="15" t="s">
        <v>844</v>
      </c>
      <c r="J86" s="15" t="s">
        <v>64</v>
      </c>
      <c r="K86" s="15" t="s">
        <v>64</v>
      </c>
      <c r="L86" s="93" t="s">
        <v>64</v>
      </c>
      <c r="M86" s="94" t="s">
        <v>548</v>
      </c>
      <c r="N86" s="15" t="s">
        <v>64</v>
      </c>
      <c r="O86" s="26" t="s">
        <v>1233</v>
      </c>
      <c r="P86" s="157" t="s">
        <v>1233</v>
      </c>
      <c r="Q86" s="26" t="s">
        <v>938</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623</v>
      </c>
      <c r="B87" s="9" t="s">
        <v>770</v>
      </c>
      <c r="C87" s="9" t="s">
        <v>263</v>
      </c>
      <c r="D87" s="15" t="s">
        <v>39</v>
      </c>
      <c r="E87" s="26" t="s">
        <v>39</v>
      </c>
      <c r="F87" s="15" t="s">
        <v>166</v>
      </c>
      <c r="G87" s="15" t="s">
        <v>149</v>
      </c>
      <c r="H87" s="9" t="s">
        <v>72</v>
      </c>
      <c r="I87" s="15" t="s">
        <v>844</v>
      </c>
      <c r="J87" s="15" t="s">
        <v>64</v>
      </c>
      <c r="K87" s="15" t="s">
        <v>64</v>
      </c>
      <c r="L87" s="93" t="s">
        <v>64</v>
      </c>
      <c r="M87" s="94" t="s">
        <v>548</v>
      </c>
      <c r="N87" s="15" t="s">
        <v>64</v>
      </c>
      <c r="O87" s="26" t="s">
        <v>1233</v>
      </c>
      <c r="P87" s="157" t="s">
        <v>1233</v>
      </c>
      <c r="Q87" s="26" t="s">
        <v>938</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624</v>
      </c>
      <c r="B88" s="9" t="s">
        <v>771</v>
      </c>
      <c r="C88" s="9" t="s">
        <v>264</v>
      </c>
      <c r="D88" s="15" t="s">
        <v>39</v>
      </c>
      <c r="E88" s="26" t="s">
        <v>39</v>
      </c>
      <c r="F88" s="15" t="s">
        <v>166</v>
      </c>
      <c r="G88" s="15" t="s">
        <v>149</v>
      </c>
      <c r="H88" s="9" t="s">
        <v>85</v>
      </c>
      <c r="I88" s="15" t="s">
        <v>844</v>
      </c>
      <c r="J88" s="15" t="s">
        <v>64</v>
      </c>
      <c r="K88" s="15" t="s">
        <v>64</v>
      </c>
      <c r="L88" s="93" t="s">
        <v>64</v>
      </c>
      <c r="M88" s="94" t="s">
        <v>548</v>
      </c>
      <c r="N88" s="15" t="s">
        <v>64</v>
      </c>
      <c r="O88" s="26" t="s">
        <v>1233</v>
      </c>
      <c r="P88" s="157" t="s">
        <v>1233</v>
      </c>
      <c r="Q88" s="26" t="s">
        <v>938</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625</v>
      </c>
      <c r="B89" s="9" t="s">
        <v>745</v>
      </c>
      <c r="C89" s="9" t="s">
        <v>265</v>
      </c>
      <c r="D89" s="15" t="s">
        <v>39</v>
      </c>
      <c r="E89" s="26" t="s">
        <v>39</v>
      </c>
      <c r="F89" s="15" t="s">
        <v>166</v>
      </c>
      <c r="G89" s="15" t="s">
        <v>149</v>
      </c>
      <c r="H89" s="9" t="s">
        <v>77</v>
      </c>
      <c r="I89" s="15" t="s">
        <v>844</v>
      </c>
      <c r="J89" s="15" t="s">
        <v>64</v>
      </c>
      <c r="K89" s="15" t="s">
        <v>64</v>
      </c>
      <c r="L89" s="93" t="s">
        <v>64</v>
      </c>
      <c r="M89" s="94" t="s">
        <v>548</v>
      </c>
      <c r="N89" s="15" t="s">
        <v>64</v>
      </c>
      <c r="O89" s="26" t="s">
        <v>1233</v>
      </c>
      <c r="P89" s="157" t="s">
        <v>1233</v>
      </c>
      <c r="Q89" s="26" t="s">
        <v>938</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626</v>
      </c>
      <c r="B90" s="9" t="s">
        <v>772</v>
      </c>
      <c r="C90" s="9" t="s">
        <v>266</v>
      </c>
      <c r="D90" s="15" t="s">
        <v>39</v>
      </c>
      <c r="E90" s="26" t="s">
        <v>39</v>
      </c>
      <c r="F90" s="15" t="s">
        <v>166</v>
      </c>
      <c r="G90" s="15" t="s">
        <v>149</v>
      </c>
      <c r="H90" s="9" t="s">
        <v>75</v>
      </c>
      <c r="I90" s="15" t="s">
        <v>844</v>
      </c>
      <c r="J90" s="15" t="s">
        <v>64</v>
      </c>
      <c r="K90" s="15" t="s">
        <v>64</v>
      </c>
      <c r="L90" s="93" t="s">
        <v>64</v>
      </c>
      <c r="M90" s="94" t="s">
        <v>548</v>
      </c>
      <c r="N90" s="15" t="s">
        <v>64</v>
      </c>
      <c r="O90" s="26" t="s">
        <v>1233</v>
      </c>
      <c r="P90" s="157" t="s">
        <v>1233</v>
      </c>
      <c r="Q90" s="26" t="s">
        <v>938</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627</v>
      </c>
      <c r="B91" s="9" t="s">
        <v>773</v>
      </c>
      <c r="C91" s="9" t="s">
        <v>267</v>
      </c>
      <c r="D91" s="15" t="s">
        <v>39</v>
      </c>
      <c r="E91" s="26" t="s">
        <v>39</v>
      </c>
      <c r="F91" s="15" t="s">
        <v>166</v>
      </c>
      <c r="G91" s="15" t="s">
        <v>149</v>
      </c>
      <c r="H91" s="9" t="s">
        <v>79</v>
      </c>
      <c r="I91" s="15" t="s">
        <v>844</v>
      </c>
      <c r="J91" s="15" t="s">
        <v>64</v>
      </c>
      <c r="K91" s="15" t="s">
        <v>64</v>
      </c>
      <c r="L91" s="93" t="s">
        <v>844</v>
      </c>
      <c r="M91" s="94" t="s">
        <v>548</v>
      </c>
      <c r="N91" s="15" t="s">
        <v>64</v>
      </c>
      <c r="O91" s="26" t="s">
        <v>1233</v>
      </c>
      <c r="P91" s="157" t="s">
        <v>1233</v>
      </c>
      <c r="Q91" s="26" t="s">
        <v>938</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628</v>
      </c>
      <c r="B92" s="9" t="s">
        <v>774</v>
      </c>
      <c r="C92" s="9" t="s">
        <v>268</v>
      </c>
      <c r="D92" s="15" t="s">
        <v>39</v>
      </c>
      <c r="E92" s="26" t="s">
        <v>39</v>
      </c>
      <c r="F92" s="15" t="s">
        <v>166</v>
      </c>
      <c r="G92" s="15" t="s">
        <v>149</v>
      </c>
      <c r="H92" s="9" t="s">
        <v>69</v>
      </c>
      <c r="I92" s="15" t="s">
        <v>844</v>
      </c>
      <c r="J92" s="15" t="s">
        <v>64</v>
      </c>
      <c r="K92" s="15" t="s">
        <v>64</v>
      </c>
      <c r="L92" s="93" t="s">
        <v>64</v>
      </c>
      <c r="M92" s="94" t="s">
        <v>548</v>
      </c>
      <c r="N92" s="15" t="s">
        <v>64</v>
      </c>
      <c r="O92" s="26" t="s">
        <v>1233</v>
      </c>
      <c r="P92" s="157" t="s">
        <v>1233</v>
      </c>
      <c r="Q92" s="26" t="s">
        <v>938</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862</v>
      </c>
      <c r="B93" s="9" t="s">
        <v>754</v>
      </c>
      <c r="C93" s="9" t="s">
        <v>269</v>
      </c>
      <c r="D93" s="15" t="s">
        <v>39</v>
      </c>
      <c r="E93" s="26" t="s">
        <v>39</v>
      </c>
      <c r="F93" s="15" t="s">
        <v>166</v>
      </c>
      <c r="G93" s="15" t="s">
        <v>149</v>
      </c>
      <c r="H93" s="9" t="s">
        <v>63</v>
      </c>
      <c r="I93" s="15" t="s">
        <v>844</v>
      </c>
      <c r="J93" s="15" t="s">
        <v>64</v>
      </c>
      <c r="K93" s="15" t="s">
        <v>64</v>
      </c>
      <c r="L93" s="93" t="s">
        <v>64</v>
      </c>
      <c r="M93" s="94" t="s">
        <v>548</v>
      </c>
      <c r="N93" s="15" t="s">
        <v>64</v>
      </c>
      <c r="O93" s="26" t="s">
        <v>1233</v>
      </c>
      <c r="P93" s="157" t="s">
        <v>1233</v>
      </c>
      <c r="Q93" s="26" t="s">
        <v>938</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629</v>
      </c>
      <c r="B94" s="9" t="s">
        <v>775</v>
      </c>
      <c r="C94" s="9" t="s">
        <v>270</v>
      </c>
      <c r="D94" s="15" t="s">
        <v>39</v>
      </c>
      <c r="E94" s="26" t="s">
        <v>39</v>
      </c>
      <c r="F94" s="15" t="s">
        <v>149</v>
      </c>
      <c r="G94" s="15" t="s">
        <v>149</v>
      </c>
      <c r="H94" s="9" t="s">
        <v>77</v>
      </c>
      <c r="I94" s="15" t="s">
        <v>844</v>
      </c>
      <c r="J94" s="15" t="s">
        <v>64</v>
      </c>
      <c r="K94" s="15" t="s">
        <v>64</v>
      </c>
      <c r="L94" s="93" t="s">
        <v>64</v>
      </c>
      <c r="M94" s="94" t="s">
        <v>548</v>
      </c>
      <c r="N94" s="15" t="s">
        <v>64</v>
      </c>
      <c r="O94" s="26" t="s">
        <v>1233</v>
      </c>
      <c r="P94" s="157" t="s">
        <v>1233</v>
      </c>
      <c r="Q94" s="26" t="s">
        <v>938</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630</v>
      </c>
      <c r="B95" s="9" t="s">
        <v>760</v>
      </c>
      <c r="C95" s="9" t="s">
        <v>271</v>
      </c>
      <c r="D95" s="15" t="s">
        <v>39</v>
      </c>
      <c r="E95" s="26" t="s">
        <v>39</v>
      </c>
      <c r="F95" s="15" t="s">
        <v>166</v>
      </c>
      <c r="G95" s="15" t="s">
        <v>149</v>
      </c>
      <c r="H95" s="9" t="s">
        <v>71</v>
      </c>
      <c r="I95" s="15" t="s">
        <v>844</v>
      </c>
      <c r="J95" s="15" t="s">
        <v>64</v>
      </c>
      <c r="K95" s="15" t="s">
        <v>64</v>
      </c>
      <c r="L95" s="93" t="s">
        <v>64</v>
      </c>
      <c r="M95" s="94" t="s">
        <v>548</v>
      </c>
      <c r="N95" s="15" t="s">
        <v>64</v>
      </c>
      <c r="O95" s="26" t="s">
        <v>1233</v>
      </c>
      <c r="P95" s="157" t="s">
        <v>1233</v>
      </c>
      <c r="Q95" s="26" t="s">
        <v>938</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631</v>
      </c>
      <c r="B96" s="9" t="s">
        <v>711</v>
      </c>
      <c r="C96" s="9" t="s">
        <v>272</v>
      </c>
      <c r="D96" s="15" t="s">
        <v>39</v>
      </c>
      <c r="E96" s="26" t="s">
        <v>39</v>
      </c>
      <c r="F96" s="15" t="s">
        <v>166</v>
      </c>
      <c r="G96" s="15" t="s">
        <v>149</v>
      </c>
      <c r="H96" s="9" t="s">
        <v>65</v>
      </c>
      <c r="I96" s="15" t="s">
        <v>844</v>
      </c>
      <c r="J96" s="15" t="s">
        <v>64</v>
      </c>
      <c r="K96" s="15" t="s">
        <v>64</v>
      </c>
      <c r="L96" s="93" t="s">
        <v>64</v>
      </c>
      <c r="M96" s="94" t="s">
        <v>548</v>
      </c>
      <c r="N96" s="15" t="s">
        <v>64</v>
      </c>
      <c r="O96" s="26" t="s">
        <v>1233</v>
      </c>
      <c r="P96" s="157" t="s">
        <v>1233</v>
      </c>
      <c r="Q96" s="26" t="s">
        <v>938</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632</v>
      </c>
      <c r="B97" s="9" t="s">
        <v>771</v>
      </c>
      <c r="C97" s="9" t="s">
        <v>273</v>
      </c>
      <c r="D97" s="15" t="s">
        <v>39</v>
      </c>
      <c r="E97" s="26" t="s">
        <v>39</v>
      </c>
      <c r="F97" s="15" t="s">
        <v>149</v>
      </c>
      <c r="G97" s="15" t="s">
        <v>149</v>
      </c>
      <c r="H97" s="9" t="s">
        <v>85</v>
      </c>
      <c r="I97" s="15" t="s">
        <v>844</v>
      </c>
      <c r="J97" s="15" t="s">
        <v>64</v>
      </c>
      <c r="K97" s="15" t="s">
        <v>64</v>
      </c>
      <c r="L97" s="93" t="s">
        <v>64</v>
      </c>
      <c r="M97" s="94" t="s">
        <v>548</v>
      </c>
      <c r="N97" s="15" t="s">
        <v>64</v>
      </c>
      <c r="O97" s="26" t="s">
        <v>1233</v>
      </c>
      <c r="P97" s="157" t="s">
        <v>1233</v>
      </c>
      <c r="Q97" s="26" t="s">
        <v>938</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633</v>
      </c>
      <c r="B98" s="9" t="s">
        <v>717</v>
      </c>
      <c r="C98" s="9" t="s">
        <v>274</v>
      </c>
      <c r="D98" s="15" t="s">
        <v>39</v>
      </c>
      <c r="E98" s="26" t="s">
        <v>39</v>
      </c>
      <c r="F98" s="15" t="s">
        <v>166</v>
      </c>
      <c r="G98" s="15" t="s">
        <v>149</v>
      </c>
      <c r="H98" s="9" t="s">
        <v>69</v>
      </c>
      <c r="I98" s="15" t="s">
        <v>844</v>
      </c>
      <c r="J98" s="15" t="s">
        <v>64</v>
      </c>
      <c r="K98" s="15" t="s">
        <v>64</v>
      </c>
      <c r="L98" s="93" t="s">
        <v>64</v>
      </c>
      <c r="M98" s="94" t="s">
        <v>548</v>
      </c>
      <c r="N98" s="15" t="s">
        <v>64</v>
      </c>
      <c r="O98" s="26" t="s">
        <v>1233</v>
      </c>
      <c r="P98" s="157" t="s">
        <v>1233</v>
      </c>
      <c r="Q98" s="26" t="s">
        <v>938</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634</v>
      </c>
      <c r="B99" s="9" t="s">
        <v>746</v>
      </c>
      <c r="C99" s="9" t="s">
        <v>275</v>
      </c>
      <c r="D99" s="15" t="s">
        <v>39</v>
      </c>
      <c r="E99" s="26" t="s">
        <v>39</v>
      </c>
      <c r="F99" s="15" t="s">
        <v>149</v>
      </c>
      <c r="G99" s="15" t="s">
        <v>149</v>
      </c>
      <c r="H99" s="9" t="s">
        <v>67</v>
      </c>
      <c r="I99" s="15" t="s">
        <v>844</v>
      </c>
      <c r="J99" s="15" t="s">
        <v>64</v>
      </c>
      <c r="K99" s="15" t="s">
        <v>64</v>
      </c>
      <c r="L99" s="93" t="s">
        <v>64</v>
      </c>
      <c r="M99" s="94" t="s">
        <v>548</v>
      </c>
      <c r="N99" s="15" t="s">
        <v>64</v>
      </c>
      <c r="O99" s="26" t="s">
        <v>1233</v>
      </c>
      <c r="P99" s="157" t="s">
        <v>1233</v>
      </c>
      <c r="Q99" s="26" t="s">
        <v>938</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776</v>
      </c>
      <c r="C100" s="9" t="s">
        <v>276</v>
      </c>
      <c r="D100" s="15" t="s">
        <v>39</v>
      </c>
      <c r="E100" s="26" t="s">
        <v>39</v>
      </c>
      <c r="F100" s="15" t="s">
        <v>166</v>
      </c>
      <c r="G100" s="15" t="s">
        <v>149</v>
      </c>
      <c r="H100" s="9" t="s">
        <v>68</v>
      </c>
      <c r="I100" s="15" t="s">
        <v>844</v>
      </c>
      <c r="J100" s="15" t="s">
        <v>64</v>
      </c>
      <c r="K100" s="15" t="s">
        <v>64</v>
      </c>
      <c r="L100" s="93" t="s">
        <v>64</v>
      </c>
      <c r="M100" s="94" t="s">
        <v>548</v>
      </c>
      <c r="N100" s="15" t="s">
        <v>0</v>
      </c>
      <c r="O100" s="26" t="s">
        <v>1233</v>
      </c>
      <c r="P100" s="157" t="s">
        <v>1233</v>
      </c>
      <c r="Q100" s="26" t="s">
        <v>938</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635</v>
      </c>
      <c r="B101" s="9" t="s">
        <v>777</v>
      </c>
      <c r="C101" s="9" t="s">
        <v>277</v>
      </c>
      <c r="D101" s="15" t="s">
        <v>39</v>
      </c>
      <c r="E101" s="26" t="s">
        <v>39</v>
      </c>
      <c r="F101" s="15" t="s">
        <v>166</v>
      </c>
      <c r="G101" s="15" t="s">
        <v>149</v>
      </c>
      <c r="H101" s="9" t="s">
        <v>75</v>
      </c>
      <c r="I101" s="15" t="s">
        <v>844</v>
      </c>
      <c r="J101" s="15" t="s">
        <v>64</v>
      </c>
      <c r="K101" s="15" t="s">
        <v>64</v>
      </c>
      <c r="L101" s="93" t="s">
        <v>64</v>
      </c>
      <c r="M101" s="94" t="s">
        <v>548</v>
      </c>
      <c r="N101" s="15" t="s">
        <v>64</v>
      </c>
      <c r="O101" s="26" t="s">
        <v>1233</v>
      </c>
      <c r="P101" s="157" t="s">
        <v>1233</v>
      </c>
      <c r="Q101" s="26" t="s">
        <v>938</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636</v>
      </c>
      <c r="B102" s="9" t="s">
        <v>778</v>
      </c>
      <c r="C102" s="9" t="s">
        <v>278</v>
      </c>
      <c r="D102" s="15" t="s">
        <v>39</v>
      </c>
      <c r="E102" s="26" t="s">
        <v>39</v>
      </c>
      <c r="F102" s="15" t="s">
        <v>166</v>
      </c>
      <c r="G102" s="15" t="s">
        <v>149</v>
      </c>
      <c r="H102" s="9" t="s">
        <v>68</v>
      </c>
      <c r="I102" s="15" t="s">
        <v>844</v>
      </c>
      <c r="J102" s="15" t="s">
        <v>64</v>
      </c>
      <c r="K102" s="15" t="s">
        <v>64</v>
      </c>
      <c r="L102" s="93" t="s">
        <v>64</v>
      </c>
      <c r="M102" s="94" t="s">
        <v>548</v>
      </c>
      <c r="N102" s="15" t="s">
        <v>64</v>
      </c>
      <c r="O102" s="26" t="s">
        <v>1233</v>
      </c>
      <c r="P102" s="157" t="s">
        <v>1233</v>
      </c>
      <c r="Q102" s="26" t="s">
        <v>938</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637</v>
      </c>
      <c r="B103" s="9" t="s">
        <v>779</v>
      </c>
      <c r="C103" s="9" t="s">
        <v>279</v>
      </c>
      <c r="D103" s="15" t="s">
        <v>39</v>
      </c>
      <c r="E103" s="26" t="s">
        <v>39</v>
      </c>
      <c r="F103" s="15" t="s">
        <v>166</v>
      </c>
      <c r="G103" s="15" t="s">
        <v>149</v>
      </c>
      <c r="H103" s="9" t="s">
        <v>68</v>
      </c>
      <c r="I103" s="15" t="s">
        <v>844</v>
      </c>
      <c r="J103" s="15" t="s">
        <v>64</v>
      </c>
      <c r="K103" s="15" t="s">
        <v>64</v>
      </c>
      <c r="L103" s="93" t="s">
        <v>64</v>
      </c>
      <c r="M103" s="94" t="s">
        <v>548</v>
      </c>
      <c r="N103" s="15" t="s">
        <v>64</v>
      </c>
      <c r="O103" s="26" t="s">
        <v>1233</v>
      </c>
      <c r="P103" s="157" t="s">
        <v>1233</v>
      </c>
      <c r="Q103" s="26" t="s">
        <v>938</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638</v>
      </c>
      <c r="B104" s="9" t="s">
        <v>745</v>
      </c>
      <c r="C104" s="9" t="s">
        <v>280</v>
      </c>
      <c r="D104" s="15" t="s">
        <v>39</v>
      </c>
      <c r="E104" s="26" t="s">
        <v>39</v>
      </c>
      <c r="F104" s="15" t="s">
        <v>149</v>
      </c>
      <c r="G104" s="15" t="s">
        <v>149</v>
      </c>
      <c r="H104" s="9" t="s">
        <v>77</v>
      </c>
      <c r="I104" s="15" t="s">
        <v>844</v>
      </c>
      <c r="J104" s="15" t="s">
        <v>64</v>
      </c>
      <c r="K104" s="15" t="s">
        <v>64</v>
      </c>
      <c r="L104" s="93" t="s">
        <v>0</v>
      </c>
      <c r="M104" s="94" t="s">
        <v>1147</v>
      </c>
      <c r="N104" s="15" t="s">
        <v>64</v>
      </c>
      <c r="O104" s="26" t="s">
        <v>1233</v>
      </c>
      <c r="P104" s="157" t="s">
        <v>1233</v>
      </c>
      <c r="Q104" s="26" t="s">
        <v>938</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639</v>
      </c>
      <c r="B105" s="9" t="s">
        <v>745</v>
      </c>
      <c r="C105" s="9" t="s">
        <v>281</v>
      </c>
      <c r="D105" s="15" t="s">
        <v>39</v>
      </c>
      <c r="E105" s="26" t="s">
        <v>39</v>
      </c>
      <c r="F105" s="15" t="s">
        <v>149</v>
      </c>
      <c r="G105" s="15" t="s">
        <v>149</v>
      </c>
      <c r="H105" s="9" t="s">
        <v>77</v>
      </c>
      <c r="I105" s="15" t="s">
        <v>844</v>
      </c>
      <c r="J105" s="15" t="s">
        <v>64</v>
      </c>
      <c r="K105" s="15" t="s">
        <v>64</v>
      </c>
      <c r="L105" s="93" t="s">
        <v>0</v>
      </c>
      <c r="M105" s="94" t="s">
        <v>1148</v>
      </c>
      <c r="N105" s="15" t="s">
        <v>64</v>
      </c>
      <c r="O105" s="26" t="s">
        <v>1233</v>
      </c>
      <c r="P105" s="157" t="s">
        <v>1233</v>
      </c>
      <c r="Q105" s="26" t="s">
        <v>938</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640</v>
      </c>
      <c r="B106" s="9" t="s">
        <v>722</v>
      </c>
      <c r="C106" s="9" t="s">
        <v>282</v>
      </c>
      <c r="D106" s="15" t="s">
        <v>39</v>
      </c>
      <c r="E106" s="26" t="s">
        <v>39</v>
      </c>
      <c r="F106" s="15" t="s">
        <v>166</v>
      </c>
      <c r="G106" s="15" t="s">
        <v>149</v>
      </c>
      <c r="H106" s="9" t="s">
        <v>63</v>
      </c>
      <c r="I106" s="15" t="s">
        <v>844</v>
      </c>
      <c r="J106" s="15" t="s">
        <v>64</v>
      </c>
      <c r="K106" s="15" t="s">
        <v>64</v>
      </c>
      <c r="L106" s="93" t="s">
        <v>64</v>
      </c>
      <c r="M106" s="94" t="s">
        <v>548</v>
      </c>
      <c r="N106" s="15" t="s">
        <v>64</v>
      </c>
      <c r="O106" s="26" t="s">
        <v>1233</v>
      </c>
      <c r="P106" s="157" t="s">
        <v>1233</v>
      </c>
      <c r="Q106" s="26" t="s">
        <v>938</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641</v>
      </c>
      <c r="B107" s="9" t="s">
        <v>780</v>
      </c>
      <c r="C107" s="9" t="s">
        <v>283</v>
      </c>
      <c r="D107" s="15" t="s">
        <v>39</v>
      </c>
      <c r="E107" s="26" t="s">
        <v>39</v>
      </c>
      <c r="F107" s="15" t="s">
        <v>166</v>
      </c>
      <c r="G107" s="15" t="s">
        <v>149</v>
      </c>
      <c r="H107" s="9" t="s">
        <v>72</v>
      </c>
      <c r="I107" s="15" t="s">
        <v>844</v>
      </c>
      <c r="J107" s="15" t="s">
        <v>64</v>
      </c>
      <c r="K107" s="15" t="s">
        <v>64</v>
      </c>
      <c r="L107" s="93" t="s">
        <v>64</v>
      </c>
      <c r="M107" s="94" t="s">
        <v>548</v>
      </c>
      <c r="N107" s="15" t="s">
        <v>64</v>
      </c>
      <c r="O107" s="26" t="s">
        <v>1233</v>
      </c>
      <c r="P107" s="157" t="s">
        <v>1233</v>
      </c>
      <c r="Q107" s="26" t="s">
        <v>938</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642</v>
      </c>
      <c r="B108" s="9" t="s">
        <v>781</v>
      </c>
      <c r="C108" s="9" t="s">
        <v>284</v>
      </c>
      <c r="D108" s="15" t="s">
        <v>39</v>
      </c>
      <c r="E108" s="26" t="s">
        <v>39</v>
      </c>
      <c r="F108" s="15" t="s">
        <v>149</v>
      </c>
      <c r="G108" s="15" t="s">
        <v>149</v>
      </c>
      <c r="H108" s="9" t="s">
        <v>77</v>
      </c>
      <c r="I108" s="15" t="s">
        <v>844</v>
      </c>
      <c r="J108" s="15" t="s">
        <v>64</v>
      </c>
      <c r="K108" s="15" t="s">
        <v>64</v>
      </c>
      <c r="L108" s="93" t="s">
        <v>64</v>
      </c>
      <c r="M108" s="94" t="s">
        <v>548</v>
      </c>
      <c r="N108" s="15" t="s">
        <v>64</v>
      </c>
      <c r="O108" s="26" t="s">
        <v>1233</v>
      </c>
      <c r="P108" s="157" t="s">
        <v>1233</v>
      </c>
      <c r="Q108" s="26" t="s">
        <v>938</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643</v>
      </c>
      <c r="B109" s="9" t="s">
        <v>782</v>
      </c>
      <c r="C109" s="9" t="s">
        <v>285</v>
      </c>
      <c r="D109" s="15" t="s">
        <v>39</v>
      </c>
      <c r="E109" s="26" t="s">
        <v>39</v>
      </c>
      <c r="F109" s="15" t="s">
        <v>149</v>
      </c>
      <c r="G109" s="15" t="s">
        <v>149</v>
      </c>
      <c r="H109" s="9" t="s">
        <v>65</v>
      </c>
      <c r="I109" s="15" t="s">
        <v>844</v>
      </c>
      <c r="J109" s="15" t="s">
        <v>64</v>
      </c>
      <c r="K109" s="15" t="s">
        <v>64</v>
      </c>
      <c r="L109" s="93" t="s">
        <v>64</v>
      </c>
      <c r="M109" s="94" t="s">
        <v>548</v>
      </c>
      <c r="N109" s="15" t="s">
        <v>64</v>
      </c>
      <c r="O109" s="26" t="s">
        <v>1233</v>
      </c>
      <c r="P109" s="157" t="s">
        <v>1233</v>
      </c>
      <c r="Q109" s="26" t="s">
        <v>938</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644</v>
      </c>
      <c r="B110" s="9" t="s">
        <v>732</v>
      </c>
      <c r="C110" s="9" t="s">
        <v>286</v>
      </c>
      <c r="D110" s="15" t="s">
        <v>39</v>
      </c>
      <c r="E110" s="26" t="s">
        <v>39</v>
      </c>
      <c r="F110" s="15" t="s">
        <v>149</v>
      </c>
      <c r="G110" s="15" t="s">
        <v>149</v>
      </c>
      <c r="H110" s="9" t="s">
        <v>68</v>
      </c>
      <c r="I110" s="15" t="s">
        <v>844</v>
      </c>
      <c r="J110" s="15" t="s">
        <v>64</v>
      </c>
      <c r="K110" s="15" t="s">
        <v>64</v>
      </c>
      <c r="L110" s="93" t="s">
        <v>64</v>
      </c>
      <c r="M110" s="94" t="s">
        <v>548</v>
      </c>
      <c r="N110" s="15" t="s">
        <v>64</v>
      </c>
      <c r="O110" s="26" t="s">
        <v>1233</v>
      </c>
      <c r="P110" s="157" t="s">
        <v>1233</v>
      </c>
      <c r="Q110" s="26" t="s">
        <v>938</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645</v>
      </c>
      <c r="B111" s="9" t="s">
        <v>783</v>
      </c>
      <c r="C111" s="9" t="s">
        <v>287</v>
      </c>
      <c r="D111" s="15" t="s">
        <v>39</v>
      </c>
      <c r="E111" s="26" t="s">
        <v>39</v>
      </c>
      <c r="F111" s="15" t="s">
        <v>166</v>
      </c>
      <c r="G111" s="15" t="s">
        <v>149</v>
      </c>
      <c r="H111" s="9" t="s">
        <v>68</v>
      </c>
      <c r="I111" s="15" t="s">
        <v>844</v>
      </c>
      <c r="J111" s="15" t="s">
        <v>64</v>
      </c>
      <c r="K111" s="15" t="s">
        <v>64</v>
      </c>
      <c r="L111" s="93" t="s">
        <v>64</v>
      </c>
      <c r="M111" s="94" t="s">
        <v>548</v>
      </c>
      <c r="N111" s="15" t="s">
        <v>64</v>
      </c>
      <c r="O111" s="26" t="s">
        <v>1233</v>
      </c>
      <c r="P111" s="157" t="s">
        <v>1233</v>
      </c>
      <c r="Q111" s="26" t="s">
        <v>938</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646</v>
      </c>
      <c r="B112" s="9" t="s">
        <v>711</v>
      </c>
      <c r="C112" s="9" t="s">
        <v>1365</v>
      </c>
      <c r="D112" s="15" t="s">
        <v>39</v>
      </c>
      <c r="E112" s="26" t="s">
        <v>39</v>
      </c>
      <c r="F112" s="15" t="s">
        <v>149</v>
      </c>
      <c r="G112" s="15" t="s">
        <v>149</v>
      </c>
      <c r="H112" s="9" t="s">
        <v>65</v>
      </c>
      <c r="I112" s="15" t="s">
        <v>844</v>
      </c>
      <c r="J112" s="15" t="s">
        <v>64</v>
      </c>
      <c r="K112" s="15" t="s">
        <v>64</v>
      </c>
      <c r="L112" s="93" t="s">
        <v>64</v>
      </c>
      <c r="M112" s="94" t="s">
        <v>548</v>
      </c>
      <c r="N112" s="15" t="s">
        <v>0</v>
      </c>
      <c r="O112" s="26" t="s">
        <v>1233</v>
      </c>
      <c r="P112" s="157" t="s">
        <v>1233</v>
      </c>
      <c r="Q112" s="26" t="s">
        <v>938</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647</v>
      </c>
      <c r="B113" s="9" t="s">
        <v>784</v>
      </c>
      <c r="C113" s="9" t="s">
        <v>288</v>
      </c>
      <c r="D113" s="15" t="s">
        <v>39</v>
      </c>
      <c r="E113" s="26" t="s">
        <v>39</v>
      </c>
      <c r="F113" s="15" t="s">
        <v>166</v>
      </c>
      <c r="G113" s="15" t="s">
        <v>149</v>
      </c>
      <c r="H113" s="9" t="s">
        <v>85</v>
      </c>
      <c r="I113" s="15" t="s">
        <v>844</v>
      </c>
      <c r="J113" s="15" t="s">
        <v>64</v>
      </c>
      <c r="K113" s="15" t="s">
        <v>64</v>
      </c>
      <c r="L113" s="93" t="s">
        <v>64</v>
      </c>
      <c r="M113" s="94" t="s">
        <v>548</v>
      </c>
      <c r="N113" s="15" t="s">
        <v>64</v>
      </c>
      <c r="O113" s="26" t="s">
        <v>1233</v>
      </c>
      <c r="P113" s="157" t="s">
        <v>1233</v>
      </c>
      <c r="Q113" s="26" t="s">
        <v>938</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648</v>
      </c>
      <c r="B114" s="9" t="s">
        <v>785</v>
      </c>
      <c r="C114" s="9" t="s">
        <v>289</v>
      </c>
      <c r="D114" s="15" t="s">
        <v>39</v>
      </c>
      <c r="E114" s="26" t="s">
        <v>39</v>
      </c>
      <c r="F114" s="15" t="s">
        <v>166</v>
      </c>
      <c r="G114" s="15" t="s">
        <v>149</v>
      </c>
      <c r="H114" s="9" t="s">
        <v>68</v>
      </c>
      <c r="I114" s="15" t="s">
        <v>844</v>
      </c>
      <c r="J114" s="15" t="s">
        <v>64</v>
      </c>
      <c r="K114" s="15" t="s">
        <v>64</v>
      </c>
      <c r="L114" s="93" t="s">
        <v>64</v>
      </c>
      <c r="M114" s="94" t="s">
        <v>548</v>
      </c>
      <c r="N114" s="15" t="s">
        <v>64</v>
      </c>
      <c r="O114" s="26" t="s">
        <v>1233</v>
      </c>
      <c r="P114" s="157" t="s">
        <v>1233</v>
      </c>
      <c r="Q114" s="26" t="s">
        <v>938</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1116</v>
      </c>
      <c r="B115" s="9" t="s">
        <v>1114</v>
      </c>
      <c r="C115" s="9" t="s">
        <v>1113</v>
      </c>
      <c r="D115" s="15" t="s">
        <v>937</v>
      </c>
      <c r="E115" s="26" t="s">
        <v>39</v>
      </c>
      <c r="F115" s="15" t="s">
        <v>0</v>
      </c>
      <c r="G115" s="15" t="s">
        <v>0</v>
      </c>
      <c r="H115" s="9" t="s">
        <v>85</v>
      </c>
      <c r="I115" s="15" t="s">
        <v>0</v>
      </c>
      <c r="J115" s="15" t="s">
        <v>1115</v>
      </c>
      <c r="K115" s="15" t="s">
        <v>1115</v>
      </c>
      <c r="L115" s="93" t="s">
        <v>1115</v>
      </c>
      <c r="M115" s="94" t="s">
        <v>1115</v>
      </c>
      <c r="N115" s="15" t="s">
        <v>1115</v>
      </c>
      <c r="O115" s="26" t="s">
        <v>1233</v>
      </c>
      <c r="P115" s="157" t="s">
        <v>1233</v>
      </c>
      <c r="Q115" s="26" t="s">
        <v>1115</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1163</v>
      </c>
      <c r="B116" s="9" t="s">
        <v>1164</v>
      </c>
      <c r="C116" s="9" t="s">
        <v>1162</v>
      </c>
      <c r="D116" s="15" t="s">
        <v>1165</v>
      </c>
      <c r="E116" s="26" t="s">
        <v>1165</v>
      </c>
      <c r="F116" s="15" t="s">
        <v>0</v>
      </c>
      <c r="G116" s="15" t="s">
        <v>0</v>
      </c>
      <c r="H116" s="9" t="s">
        <v>72</v>
      </c>
      <c r="I116" s="15" t="s">
        <v>0</v>
      </c>
      <c r="J116" s="15" t="s">
        <v>937</v>
      </c>
      <c r="K116" s="15" t="s">
        <v>937</v>
      </c>
      <c r="L116" s="93" t="s">
        <v>937</v>
      </c>
      <c r="M116" s="94" t="s">
        <v>937</v>
      </c>
      <c r="N116" s="15" t="s">
        <v>0</v>
      </c>
      <c r="O116" s="26" t="s">
        <v>1233</v>
      </c>
      <c r="P116" s="157" t="s">
        <v>1233</v>
      </c>
      <c r="Q116" s="26" t="s">
        <v>1165</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1180</v>
      </c>
      <c r="B117" s="9" t="s">
        <v>1181</v>
      </c>
      <c r="C117" s="9" t="s">
        <v>1263</v>
      </c>
      <c r="D117" s="15" t="s">
        <v>937</v>
      </c>
      <c r="E117" s="26" t="s">
        <v>1182</v>
      </c>
      <c r="F117" s="15" t="s">
        <v>0</v>
      </c>
      <c r="G117" s="15" t="s">
        <v>27</v>
      </c>
      <c r="H117" s="9" t="s">
        <v>63</v>
      </c>
      <c r="I117" s="15" t="s">
        <v>0</v>
      </c>
      <c r="J117" s="15" t="s">
        <v>937</v>
      </c>
      <c r="K117" s="15" t="s">
        <v>937</v>
      </c>
      <c r="L117" s="93" t="s">
        <v>937</v>
      </c>
      <c r="M117" s="94" t="s">
        <v>937</v>
      </c>
      <c r="N117" s="15" t="s">
        <v>937</v>
      </c>
      <c r="O117" s="26" t="s">
        <v>1233</v>
      </c>
      <c r="P117" s="157" t="s">
        <v>1233</v>
      </c>
      <c r="Q117" s="26" t="s">
        <v>937</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1264</v>
      </c>
      <c r="B118" s="9" t="s">
        <v>1262</v>
      </c>
      <c r="C118" s="9" t="s">
        <v>1261</v>
      </c>
      <c r="D118" s="15" t="s">
        <v>937</v>
      </c>
      <c r="E118" s="26" t="s">
        <v>39</v>
      </c>
      <c r="F118" s="15" t="s">
        <v>0</v>
      </c>
      <c r="G118" s="15" t="s">
        <v>27</v>
      </c>
      <c r="H118" s="9" t="s">
        <v>63</v>
      </c>
      <c r="I118" s="15" t="s">
        <v>0</v>
      </c>
      <c r="J118" s="15" t="s">
        <v>937</v>
      </c>
      <c r="K118" s="15" t="s">
        <v>937</v>
      </c>
      <c r="L118" s="93" t="s">
        <v>937</v>
      </c>
      <c r="M118" s="94" t="s">
        <v>937</v>
      </c>
      <c r="N118" s="15" t="s">
        <v>937</v>
      </c>
      <c r="O118" s="26" t="s">
        <v>39</v>
      </c>
      <c r="P118" s="157" t="s">
        <v>39</v>
      </c>
      <c r="Q118" s="26" t="s">
        <v>937</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1406</v>
      </c>
      <c r="B119" s="9" t="s">
        <v>1407</v>
      </c>
      <c r="C119" s="9" t="s">
        <v>1405</v>
      </c>
      <c r="D119" s="15" t="s">
        <v>1408</v>
      </c>
      <c r="E119" s="26" t="s">
        <v>1408</v>
      </c>
      <c r="F119" s="15" t="s">
        <v>27</v>
      </c>
      <c r="G119" s="15" t="s">
        <v>0</v>
      </c>
      <c r="H119" s="9" t="s">
        <v>63</v>
      </c>
      <c r="I119" s="15" t="s">
        <v>0</v>
      </c>
      <c r="J119" s="15" t="s">
        <v>1408</v>
      </c>
      <c r="K119" s="15" t="s">
        <v>1408</v>
      </c>
      <c r="L119" s="93" t="s">
        <v>1408</v>
      </c>
      <c r="M119" s="94" t="s">
        <v>1408</v>
      </c>
      <c r="N119" s="15" t="s">
        <v>1408</v>
      </c>
      <c r="O119" s="26" t="s">
        <v>1408</v>
      </c>
      <c r="P119" s="157" t="s">
        <v>1408</v>
      </c>
      <c r="Q119" s="26" t="s">
        <v>1408</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1247</v>
      </c>
      <c r="B120" s="9" t="s">
        <v>1248</v>
      </c>
      <c r="C120" s="9" t="s">
        <v>1246</v>
      </c>
      <c r="D120" s="15" t="s">
        <v>1249</v>
      </c>
      <c r="E120" s="26" t="s">
        <v>1249</v>
      </c>
      <c r="F120" s="15" t="s">
        <v>27</v>
      </c>
      <c r="G120" s="15" t="s">
        <v>0</v>
      </c>
      <c r="H120" s="9" t="s">
        <v>82</v>
      </c>
      <c r="I120" s="15" t="s">
        <v>0</v>
      </c>
      <c r="J120" s="15" t="s">
        <v>1249</v>
      </c>
      <c r="K120" s="15" t="s">
        <v>1249</v>
      </c>
      <c r="L120" s="93" t="s">
        <v>1249</v>
      </c>
      <c r="M120" s="94" t="s">
        <v>1249</v>
      </c>
      <c r="N120" s="15" t="s">
        <v>1249</v>
      </c>
      <c r="O120" s="26" t="s">
        <v>1249</v>
      </c>
      <c r="P120" s="157" t="s">
        <v>1249</v>
      </c>
      <c r="Q120" s="26" t="s">
        <v>1249</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1275</v>
      </c>
      <c r="B121" s="9" t="s">
        <v>1276</v>
      </c>
      <c r="C121" s="9" t="s">
        <v>1274</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1374</v>
      </c>
      <c r="B122" s="9" t="s">
        <v>1375</v>
      </c>
      <c r="C122" s="9" t="s">
        <v>1373</v>
      </c>
      <c r="D122" s="15" t="s">
        <v>1376</v>
      </c>
      <c r="E122" s="26" t="s">
        <v>1376</v>
      </c>
      <c r="F122" s="15" t="s">
        <v>149</v>
      </c>
      <c r="G122" s="15" t="s">
        <v>149</v>
      </c>
      <c r="H122" s="9" t="s">
        <v>77</v>
      </c>
      <c r="I122" s="15" t="s">
        <v>0</v>
      </c>
      <c r="J122" s="15" t="s">
        <v>1376</v>
      </c>
      <c r="K122" s="15" t="s">
        <v>1376</v>
      </c>
      <c r="L122" s="93" t="s">
        <v>1376</v>
      </c>
      <c r="M122" s="94" t="s">
        <v>1376</v>
      </c>
      <c r="N122" s="15" t="s">
        <v>1376</v>
      </c>
      <c r="O122" s="26" t="s">
        <v>1376</v>
      </c>
      <c r="P122" s="157" t="s">
        <v>1376</v>
      </c>
      <c r="Q122" s="26" t="s">
        <v>1376</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1378</v>
      </c>
      <c r="B123" s="9" t="s">
        <v>1380</v>
      </c>
      <c r="C123" s="9" t="s">
        <v>1377</v>
      </c>
      <c r="D123" s="15" t="s">
        <v>1379</v>
      </c>
      <c r="E123" s="26" t="s">
        <v>1379</v>
      </c>
      <c r="F123" s="15" t="s">
        <v>0</v>
      </c>
      <c r="G123" s="15" t="s">
        <v>27</v>
      </c>
      <c r="H123" s="9" t="s">
        <v>79</v>
      </c>
      <c r="I123" s="15" t="s">
        <v>0</v>
      </c>
      <c r="J123" s="15" t="s">
        <v>1379</v>
      </c>
      <c r="K123" s="15" t="s">
        <v>1379</v>
      </c>
      <c r="L123" s="93" t="s">
        <v>1379</v>
      </c>
      <c r="M123" s="94" t="s">
        <v>1379</v>
      </c>
      <c r="N123" s="15" t="s">
        <v>1379</v>
      </c>
      <c r="O123" s="26" t="s">
        <v>1379</v>
      </c>
      <c r="P123" s="157" t="s">
        <v>1379</v>
      </c>
      <c r="Q123" s="26" t="s">
        <v>1379</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1399</v>
      </c>
      <c r="B124" s="9" t="s">
        <v>1400</v>
      </c>
      <c r="C124" s="9" t="s">
        <v>1398</v>
      </c>
      <c r="D124" s="15" t="s">
        <v>1401</v>
      </c>
      <c r="E124" s="26" t="s">
        <v>1401</v>
      </c>
      <c r="F124" s="15" t="s">
        <v>0</v>
      </c>
      <c r="G124" s="15" t="s">
        <v>27</v>
      </c>
      <c r="H124" s="9" t="s">
        <v>72</v>
      </c>
      <c r="I124" s="15" t="s">
        <v>0</v>
      </c>
      <c r="J124" s="15" t="s">
        <v>1401</v>
      </c>
      <c r="K124" s="15" t="s">
        <v>1401</v>
      </c>
      <c r="L124" s="93" t="s">
        <v>1401</v>
      </c>
      <c r="M124" s="94" t="s">
        <v>1401</v>
      </c>
      <c r="N124" s="15" t="s">
        <v>1401</v>
      </c>
      <c r="O124" s="26" t="s">
        <v>1401</v>
      </c>
      <c r="P124" s="157" t="s">
        <v>1401</v>
      </c>
      <c r="Q124" s="26" t="s">
        <v>1401</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1410</v>
      </c>
      <c r="B125" s="9" t="s">
        <v>1411</v>
      </c>
      <c r="C125" s="9" t="s">
        <v>1409</v>
      </c>
      <c r="D125" s="15" t="s">
        <v>1412</v>
      </c>
      <c r="E125" s="26" t="s">
        <v>1412</v>
      </c>
      <c r="F125" s="15" t="s">
        <v>27</v>
      </c>
      <c r="G125" s="15" t="s">
        <v>0</v>
      </c>
      <c r="H125" s="9" t="s">
        <v>84</v>
      </c>
      <c r="I125" s="15" t="s">
        <v>0</v>
      </c>
      <c r="J125" s="15" t="s">
        <v>1412</v>
      </c>
      <c r="K125" s="15" t="s">
        <v>1412</v>
      </c>
      <c r="L125" s="93" t="s">
        <v>1412</v>
      </c>
      <c r="M125" s="94" t="s">
        <v>1412</v>
      </c>
      <c r="N125" s="15" t="s">
        <v>1412</v>
      </c>
      <c r="O125" s="26" t="s">
        <v>1412</v>
      </c>
      <c r="P125" s="157" t="s">
        <v>1412</v>
      </c>
      <c r="Q125" s="26" t="s">
        <v>1412</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1418</v>
      </c>
      <c r="B126" s="9" t="s">
        <v>1419</v>
      </c>
      <c r="C126" s="9" t="s">
        <v>1417</v>
      </c>
      <c r="D126" s="15" t="s">
        <v>1420</v>
      </c>
      <c r="E126" s="26" t="s">
        <v>1420</v>
      </c>
      <c r="F126" s="15" t="s">
        <v>27</v>
      </c>
      <c r="G126" s="15" t="s">
        <v>0</v>
      </c>
      <c r="H126" s="9" t="s">
        <v>72</v>
      </c>
      <c r="I126" s="15" t="s">
        <v>0</v>
      </c>
      <c r="J126" s="15" t="s">
        <v>1420</v>
      </c>
      <c r="K126" s="15" t="s">
        <v>1420</v>
      </c>
      <c r="L126" s="93" t="s">
        <v>1420</v>
      </c>
      <c r="M126" s="94" t="s">
        <v>1420</v>
      </c>
      <c r="N126" s="15" t="s">
        <v>1420</v>
      </c>
      <c r="O126" s="26" t="s">
        <v>1420</v>
      </c>
      <c r="P126" s="157" t="s">
        <v>1420</v>
      </c>
      <c r="Q126" s="26" t="s">
        <v>1420</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1429</v>
      </c>
      <c r="B127" s="9" t="s">
        <v>1430</v>
      </c>
      <c r="C127" s="9" t="s">
        <v>1428</v>
      </c>
      <c r="D127" s="15" t="s">
        <v>1431</v>
      </c>
      <c r="E127" s="26" t="s">
        <v>1431</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1443</v>
      </c>
      <c r="B128" s="9" t="s">
        <v>1114</v>
      </c>
      <c r="C128" s="9" t="s">
        <v>1442</v>
      </c>
      <c r="D128" s="15" t="s">
        <v>1444</v>
      </c>
      <c r="E128" s="26" t="s">
        <v>1444</v>
      </c>
      <c r="F128" s="15" t="s">
        <v>1445</v>
      </c>
      <c r="G128" s="15" t="s">
        <v>0</v>
      </c>
      <c r="H128" s="9" t="s">
        <v>85</v>
      </c>
      <c r="I128" s="15" t="s">
        <v>0</v>
      </c>
      <c r="J128" s="15" t="s">
        <v>1444</v>
      </c>
      <c r="K128" s="15" t="s">
        <v>1444</v>
      </c>
      <c r="L128" s="93" t="s">
        <v>1444</v>
      </c>
      <c r="M128" s="94" t="s">
        <v>1444</v>
      </c>
      <c r="N128" s="15" t="s">
        <v>1444</v>
      </c>
      <c r="O128" s="26" t="s">
        <v>1444</v>
      </c>
      <c r="P128" s="157" t="s">
        <v>1444</v>
      </c>
      <c r="Q128" s="26" t="s">
        <v>1444</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1513</v>
      </c>
      <c r="B129" s="9" t="s">
        <v>1512</v>
      </c>
      <c r="C129" s="9" t="s">
        <v>1511</v>
      </c>
      <c r="D129" s="15" t="s">
        <v>1514</v>
      </c>
      <c r="E129" s="26" t="s">
        <v>1514</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1519</v>
      </c>
      <c r="B130" s="9" t="s">
        <v>1520</v>
      </c>
      <c r="C130" s="9" t="s">
        <v>1518</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650</v>
      </c>
      <c r="B131" s="9" t="s">
        <v>787</v>
      </c>
      <c r="C131" s="9" t="s">
        <v>159</v>
      </c>
      <c r="D131" s="15" t="s">
        <v>39</v>
      </c>
      <c r="E131" s="26" t="s">
        <v>39</v>
      </c>
      <c r="F131" s="15" t="s">
        <v>166</v>
      </c>
      <c r="G131" s="15" t="s">
        <v>149</v>
      </c>
      <c r="H131" s="9" t="s">
        <v>77</v>
      </c>
      <c r="I131" s="15" t="s">
        <v>844</v>
      </c>
      <c r="J131" s="15" t="s">
        <v>64</v>
      </c>
      <c r="K131" s="15" t="s">
        <v>64</v>
      </c>
      <c r="L131" s="93" t="s">
        <v>64</v>
      </c>
      <c r="M131" s="94" t="s">
        <v>548</v>
      </c>
      <c r="N131" s="15" t="s">
        <v>64</v>
      </c>
      <c r="O131" s="26" t="s">
        <v>1233</v>
      </c>
      <c r="P131" s="157" t="s">
        <v>1233</v>
      </c>
      <c r="Q131" s="26" t="s">
        <v>938</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742</v>
      </c>
      <c r="C132" s="9" t="s">
        <v>160</v>
      </c>
      <c r="D132" s="15" t="s">
        <v>39</v>
      </c>
      <c r="E132" s="26" t="s">
        <v>39</v>
      </c>
      <c r="F132" s="15" t="s">
        <v>166</v>
      </c>
      <c r="G132" s="15" t="s">
        <v>149</v>
      </c>
      <c r="H132" s="9" t="s">
        <v>78</v>
      </c>
      <c r="I132" s="15" t="s">
        <v>844</v>
      </c>
      <c r="J132" s="15" t="s">
        <v>64</v>
      </c>
      <c r="K132" s="15" t="s">
        <v>64</v>
      </c>
      <c r="L132" s="93" t="s">
        <v>64</v>
      </c>
      <c r="M132" s="94" t="s">
        <v>548</v>
      </c>
      <c r="N132" s="15" t="s">
        <v>64</v>
      </c>
      <c r="O132" s="26" t="s">
        <v>1233</v>
      </c>
      <c r="P132" s="157" t="s">
        <v>1233</v>
      </c>
      <c r="Q132" s="26" t="s">
        <v>938</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790</v>
      </c>
      <c r="C133" s="9" t="s">
        <v>88</v>
      </c>
      <c r="D133" s="15" t="s">
        <v>39</v>
      </c>
      <c r="E133" s="26" t="s">
        <v>39</v>
      </c>
      <c r="F133" s="15" t="s">
        <v>166</v>
      </c>
      <c r="G133" s="15" t="s">
        <v>149</v>
      </c>
      <c r="H133" s="9" t="s">
        <v>68</v>
      </c>
      <c r="I133" s="15" t="s">
        <v>844</v>
      </c>
      <c r="J133" s="15" t="s">
        <v>64</v>
      </c>
      <c r="K133" s="15" t="s">
        <v>64</v>
      </c>
      <c r="L133" s="93" t="s">
        <v>64</v>
      </c>
      <c r="M133" s="94" t="s">
        <v>548</v>
      </c>
      <c r="N133" s="15" t="s">
        <v>64</v>
      </c>
      <c r="O133" s="26" t="s">
        <v>1233</v>
      </c>
      <c r="P133" s="157" t="s">
        <v>1233</v>
      </c>
      <c r="Q133" s="26" t="s">
        <v>938</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653</v>
      </c>
      <c r="B134" s="9" t="s">
        <v>791</v>
      </c>
      <c r="C134" s="9" t="s">
        <v>296</v>
      </c>
      <c r="D134" s="15" t="s">
        <v>39</v>
      </c>
      <c r="E134" s="26" t="s">
        <v>39</v>
      </c>
      <c r="F134" s="15" t="s">
        <v>166</v>
      </c>
      <c r="G134" s="15" t="s">
        <v>149</v>
      </c>
      <c r="H134" s="9" t="s">
        <v>77</v>
      </c>
      <c r="I134" s="15" t="s">
        <v>844</v>
      </c>
      <c r="J134" s="15" t="s">
        <v>64</v>
      </c>
      <c r="K134" s="15" t="s">
        <v>64</v>
      </c>
      <c r="L134" s="93" t="s">
        <v>64</v>
      </c>
      <c r="M134" s="94" t="s">
        <v>548</v>
      </c>
      <c r="N134" s="15" t="s">
        <v>64</v>
      </c>
      <c r="O134" s="26" t="s">
        <v>1233</v>
      </c>
      <c r="P134" s="157" t="s">
        <v>1233</v>
      </c>
      <c r="Q134" s="26" t="s">
        <v>938</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654</v>
      </c>
      <c r="B135" s="9" t="s">
        <v>792</v>
      </c>
      <c r="C135" s="9" t="s">
        <v>297</v>
      </c>
      <c r="D135" s="15" t="s">
        <v>39</v>
      </c>
      <c r="E135" s="26" t="s">
        <v>39</v>
      </c>
      <c r="F135" s="15" t="s">
        <v>166</v>
      </c>
      <c r="G135" s="15" t="s">
        <v>149</v>
      </c>
      <c r="H135" s="9" t="s">
        <v>77</v>
      </c>
      <c r="I135" s="15" t="s">
        <v>844</v>
      </c>
      <c r="J135" s="15" t="s">
        <v>64</v>
      </c>
      <c r="K135" s="15" t="s">
        <v>64</v>
      </c>
      <c r="L135" s="93" t="s">
        <v>64</v>
      </c>
      <c r="M135" s="94" t="s">
        <v>548</v>
      </c>
      <c r="N135" s="15" t="s">
        <v>64</v>
      </c>
      <c r="O135" s="26" t="s">
        <v>1233</v>
      </c>
      <c r="P135" s="157" t="s">
        <v>1233</v>
      </c>
      <c r="Q135" s="26" t="s">
        <v>938</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1367</v>
      </c>
      <c r="B136" s="9" t="s">
        <v>1368</v>
      </c>
      <c r="C136" s="9" t="s">
        <v>1366</v>
      </c>
      <c r="D136" s="15" t="s">
        <v>39</v>
      </c>
      <c r="E136" s="26" t="s">
        <v>39</v>
      </c>
      <c r="F136" s="15" t="s">
        <v>27</v>
      </c>
      <c r="G136" s="15" t="s">
        <v>0</v>
      </c>
      <c r="H136" s="9" t="s">
        <v>63</v>
      </c>
      <c r="I136" s="15" t="s">
        <v>0</v>
      </c>
      <c r="J136" s="15" t="s">
        <v>937</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1382</v>
      </c>
      <c r="B137" s="9" t="s">
        <v>1381</v>
      </c>
      <c r="C137" s="9" t="s">
        <v>1393</v>
      </c>
      <c r="D137" s="15" t="s">
        <v>1379</v>
      </c>
      <c r="E137" s="26" t="s">
        <v>1379</v>
      </c>
      <c r="F137" s="15" t="s">
        <v>27</v>
      </c>
      <c r="G137" s="15" t="s">
        <v>0</v>
      </c>
      <c r="H137" s="9" t="s">
        <v>77</v>
      </c>
      <c r="I137" s="15" t="s">
        <v>0</v>
      </c>
      <c r="J137" s="15" t="s">
        <v>1379</v>
      </c>
      <c r="K137" s="15" t="s">
        <v>1379</v>
      </c>
      <c r="L137" s="93" t="s">
        <v>1379</v>
      </c>
      <c r="M137" s="94" t="s">
        <v>1379</v>
      </c>
      <c r="N137" s="15" t="s">
        <v>1379</v>
      </c>
      <c r="O137" s="26" t="s">
        <v>1379</v>
      </c>
      <c r="P137" s="157" t="s">
        <v>1379</v>
      </c>
      <c r="Q137" s="26" t="s">
        <v>1379</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1390</v>
      </c>
      <c r="B138" s="9" t="s">
        <v>1391</v>
      </c>
      <c r="C138" s="9" t="s">
        <v>1389</v>
      </c>
      <c r="D138" s="15" t="s">
        <v>1392</v>
      </c>
      <c r="E138" s="26" t="s">
        <v>1392</v>
      </c>
      <c r="F138" s="15" t="s">
        <v>0</v>
      </c>
      <c r="G138" s="15" t="s">
        <v>0</v>
      </c>
      <c r="H138" s="9" t="s">
        <v>77</v>
      </c>
      <c r="I138" s="15" t="s">
        <v>0</v>
      </c>
      <c r="J138" s="15" t="s">
        <v>1392</v>
      </c>
      <c r="K138" s="15" t="s">
        <v>1392</v>
      </c>
      <c r="L138" s="93" t="s">
        <v>1392</v>
      </c>
      <c r="M138" s="94" t="s">
        <v>1392</v>
      </c>
      <c r="N138" s="15" t="s">
        <v>1392</v>
      </c>
      <c r="O138" s="26" t="s">
        <v>1392</v>
      </c>
      <c r="P138" s="157" t="s">
        <v>1392</v>
      </c>
      <c r="Q138" s="26" t="s">
        <v>1392</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1395</v>
      </c>
      <c r="B139" s="9" t="s">
        <v>1396</v>
      </c>
      <c r="C139" s="9" t="s">
        <v>1394</v>
      </c>
      <c r="D139" s="15" t="s">
        <v>1397</v>
      </c>
      <c r="E139" s="26" t="s">
        <v>1397</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1439</v>
      </c>
      <c r="B140" s="9" t="s">
        <v>1440</v>
      </c>
      <c r="C140" s="9" t="s">
        <v>1438</v>
      </c>
      <c r="D140" s="15" t="s">
        <v>1441</v>
      </c>
      <c r="E140" s="26" t="s">
        <v>1441</v>
      </c>
      <c r="F140" s="15" t="s">
        <v>0</v>
      </c>
      <c r="G140" s="15" t="s">
        <v>0</v>
      </c>
      <c r="H140" s="9" t="s">
        <v>72</v>
      </c>
      <c r="I140" s="15" t="s">
        <v>0</v>
      </c>
      <c r="J140" s="15" t="s">
        <v>1441</v>
      </c>
      <c r="K140" s="15" t="s">
        <v>1441</v>
      </c>
      <c r="L140" s="93" t="s">
        <v>1441</v>
      </c>
      <c r="M140" s="94" t="s">
        <v>1441</v>
      </c>
      <c r="N140" s="15" t="s">
        <v>1441</v>
      </c>
      <c r="O140" s="26" t="s">
        <v>1441</v>
      </c>
      <c r="P140" s="157" t="s">
        <v>1441</v>
      </c>
      <c r="Q140" s="26" t="s">
        <v>1441</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1370</v>
      </c>
      <c r="B141" s="9" t="s">
        <v>743</v>
      </c>
      <c r="C141" s="9" t="s">
        <v>1369</v>
      </c>
      <c r="D141" s="15" t="s">
        <v>1371</v>
      </c>
      <c r="E141" s="26" t="s">
        <v>1371</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1457</v>
      </c>
      <c r="B142" s="9" t="s">
        <v>1458</v>
      </c>
      <c r="C142" s="9" t="s">
        <v>1456</v>
      </c>
      <c r="D142" s="15" t="s">
        <v>1459</v>
      </c>
      <c r="E142" s="26" t="s">
        <v>1459</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1522</v>
      </c>
      <c r="B143" s="9" t="s">
        <v>1523</v>
      </c>
      <c r="C143" s="9" t="s">
        <v>1521</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655</v>
      </c>
      <c r="B144" s="9" t="s">
        <v>717</v>
      </c>
      <c r="C144" s="9" t="s">
        <v>87</v>
      </c>
      <c r="D144" s="15" t="s">
        <v>39</v>
      </c>
      <c r="E144" s="26" t="s">
        <v>39</v>
      </c>
      <c r="F144" s="15" t="s">
        <v>149</v>
      </c>
      <c r="G144" s="15" t="s">
        <v>149</v>
      </c>
      <c r="H144" s="9" t="s">
        <v>69</v>
      </c>
      <c r="I144" s="15" t="s">
        <v>844</v>
      </c>
      <c r="J144" s="15" t="s">
        <v>64</v>
      </c>
      <c r="K144" s="15" t="s">
        <v>64</v>
      </c>
      <c r="L144" s="93" t="s">
        <v>64</v>
      </c>
      <c r="M144" s="94" t="s">
        <v>548</v>
      </c>
      <c r="N144" s="15" t="s">
        <v>844</v>
      </c>
      <c r="O144" s="26" t="s">
        <v>1233</v>
      </c>
      <c r="P144" s="157" t="s">
        <v>1233</v>
      </c>
      <c r="Q144" s="26" t="s">
        <v>938</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656</v>
      </c>
      <c r="B145" s="9" t="s">
        <v>793</v>
      </c>
      <c r="C145" s="77" t="s">
        <v>89</v>
      </c>
      <c r="D145" s="15" t="s">
        <v>864</v>
      </c>
      <c r="E145" s="26" t="s">
        <v>39</v>
      </c>
      <c r="F145" s="15" t="s">
        <v>149</v>
      </c>
      <c r="G145" s="15" t="s">
        <v>149</v>
      </c>
      <c r="H145" s="9" t="s">
        <v>77</v>
      </c>
      <c r="I145" s="15" t="s">
        <v>844</v>
      </c>
      <c r="J145" s="15" t="s">
        <v>64</v>
      </c>
      <c r="K145" s="15" t="s">
        <v>64</v>
      </c>
      <c r="L145" s="93" t="s">
        <v>0</v>
      </c>
      <c r="M145" s="94" t="s">
        <v>548</v>
      </c>
      <c r="N145" s="15" t="s">
        <v>64</v>
      </c>
      <c r="O145" s="26" t="s">
        <v>1233</v>
      </c>
      <c r="P145" s="157" t="s">
        <v>1233</v>
      </c>
      <c r="Q145" s="26" t="s">
        <v>938</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657</v>
      </c>
      <c r="B146" s="9" t="s">
        <v>793</v>
      </c>
      <c r="C146" s="9" t="s">
        <v>90</v>
      </c>
      <c r="D146" s="15" t="s">
        <v>39</v>
      </c>
      <c r="E146" s="26" t="s">
        <v>39</v>
      </c>
      <c r="F146" s="15" t="s">
        <v>149</v>
      </c>
      <c r="G146" s="15" t="s">
        <v>149</v>
      </c>
      <c r="H146" s="9" t="s">
        <v>77</v>
      </c>
      <c r="I146" s="15" t="s">
        <v>844</v>
      </c>
      <c r="J146" s="15" t="s">
        <v>64</v>
      </c>
      <c r="K146" s="15" t="s">
        <v>64</v>
      </c>
      <c r="L146" s="93" t="s">
        <v>64</v>
      </c>
      <c r="M146" s="94" t="s">
        <v>548</v>
      </c>
      <c r="N146" s="15" t="s">
        <v>64</v>
      </c>
      <c r="O146" s="26" t="s">
        <v>1233</v>
      </c>
      <c r="P146" s="157" t="s">
        <v>1233</v>
      </c>
      <c r="Q146" s="26" t="s">
        <v>938</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658</v>
      </c>
      <c r="B147" s="9" t="s">
        <v>793</v>
      </c>
      <c r="C147" s="9" t="s">
        <v>91</v>
      </c>
      <c r="D147" s="15" t="s">
        <v>39</v>
      </c>
      <c r="E147" s="26" t="s">
        <v>39</v>
      </c>
      <c r="F147" s="15" t="s">
        <v>149</v>
      </c>
      <c r="G147" s="15" t="s">
        <v>149</v>
      </c>
      <c r="H147" s="9" t="s">
        <v>77</v>
      </c>
      <c r="I147" s="15" t="s">
        <v>844</v>
      </c>
      <c r="J147" s="15" t="s">
        <v>64</v>
      </c>
      <c r="K147" s="15" t="s">
        <v>64</v>
      </c>
      <c r="L147" s="93" t="s">
        <v>64</v>
      </c>
      <c r="M147" s="94" t="s">
        <v>548</v>
      </c>
      <c r="N147" s="15" t="s">
        <v>64</v>
      </c>
      <c r="O147" s="26" t="s">
        <v>1233</v>
      </c>
      <c r="P147" s="157" t="s">
        <v>1233</v>
      </c>
      <c r="Q147" s="26" t="s">
        <v>938</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659</v>
      </c>
      <c r="B148" s="9" t="s">
        <v>794</v>
      </c>
      <c r="C148" s="9" t="s">
        <v>92</v>
      </c>
      <c r="D148" s="15" t="s">
        <v>39</v>
      </c>
      <c r="E148" s="26" t="s">
        <v>39</v>
      </c>
      <c r="F148" s="15" t="s">
        <v>149</v>
      </c>
      <c r="G148" s="15" t="s">
        <v>149</v>
      </c>
      <c r="H148" s="9" t="s">
        <v>69</v>
      </c>
      <c r="I148" s="15" t="s">
        <v>844</v>
      </c>
      <c r="J148" s="15" t="s">
        <v>64</v>
      </c>
      <c r="K148" s="15" t="s">
        <v>64</v>
      </c>
      <c r="L148" s="93" t="s">
        <v>64</v>
      </c>
      <c r="M148" s="94" t="s">
        <v>548</v>
      </c>
      <c r="N148" s="15" t="s">
        <v>64</v>
      </c>
      <c r="O148" s="26" t="s">
        <v>1233</v>
      </c>
      <c r="P148" s="157" t="s">
        <v>1233</v>
      </c>
      <c r="Q148" s="26" t="s">
        <v>938</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660</v>
      </c>
      <c r="B149" s="9" t="s">
        <v>795</v>
      </c>
      <c r="C149" s="9" t="s">
        <v>854</v>
      </c>
      <c r="D149" s="15" t="s">
        <v>39</v>
      </c>
      <c r="E149" s="26" t="s">
        <v>39</v>
      </c>
      <c r="F149" s="15" t="s">
        <v>166</v>
      </c>
      <c r="G149" s="15" t="s">
        <v>149</v>
      </c>
      <c r="H149" s="9" t="s">
        <v>79</v>
      </c>
      <c r="I149" s="15" t="s">
        <v>844</v>
      </c>
      <c r="J149" s="15" t="s">
        <v>64</v>
      </c>
      <c r="K149" s="15" t="s">
        <v>64</v>
      </c>
      <c r="L149" s="93" t="s">
        <v>64</v>
      </c>
      <c r="M149" s="94" t="s">
        <v>548</v>
      </c>
      <c r="N149" s="15" t="s">
        <v>64</v>
      </c>
      <c r="O149" s="26" t="s">
        <v>1233</v>
      </c>
      <c r="P149" s="157" t="s">
        <v>1233</v>
      </c>
      <c r="Q149" s="26" t="s">
        <v>938</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852</v>
      </c>
      <c r="B150" s="9" t="s">
        <v>853</v>
      </c>
      <c r="C150" s="9" t="s">
        <v>855</v>
      </c>
      <c r="D150" s="15" t="s">
        <v>39</v>
      </c>
      <c r="E150" s="26" t="s">
        <v>39</v>
      </c>
      <c r="F150" s="15" t="s">
        <v>27</v>
      </c>
      <c r="G150" s="15" t="s">
        <v>0</v>
      </c>
      <c r="H150" s="9" t="s">
        <v>65</v>
      </c>
      <c r="I150" s="15" t="s">
        <v>0</v>
      </c>
      <c r="J150" s="15" t="s">
        <v>552</v>
      </c>
      <c r="K150" s="15" t="s">
        <v>39</v>
      </c>
      <c r="L150" s="93" t="s">
        <v>552</v>
      </c>
      <c r="M150" s="94" t="s">
        <v>552</v>
      </c>
      <c r="N150" s="15" t="s">
        <v>552</v>
      </c>
      <c r="O150" s="26" t="s">
        <v>1233</v>
      </c>
      <c r="P150" s="157" t="s">
        <v>1233</v>
      </c>
      <c r="Q150" s="26" t="s">
        <v>938</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857</v>
      </c>
      <c r="B151" s="9" t="s">
        <v>859</v>
      </c>
      <c r="C151" s="9" t="s">
        <v>856</v>
      </c>
      <c r="D151" s="15" t="s">
        <v>39</v>
      </c>
      <c r="E151" s="26" t="s">
        <v>39</v>
      </c>
      <c r="F151" s="15" t="s">
        <v>27</v>
      </c>
      <c r="G151" s="15" t="s">
        <v>0</v>
      </c>
      <c r="H151" s="9" t="s">
        <v>69</v>
      </c>
      <c r="I151" s="15" t="s">
        <v>0</v>
      </c>
      <c r="J151" s="15" t="s">
        <v>552</v>
      </c>
      <c r="K151" s="15" t="s">
        <v>39</v>
      </c>
      <c r="L151" s="93" t="s">
        <v>552</v>
      </c>
      <c r="M151" s="94" t="s">
        <v>552</v>
      </c>
      <c r="N151" s="15" t="s">
        <v>552</v>
      </c>
      <c r="O151" s="26" t="s">
        <v>1233</v>
      </c>
      <c r="P151" s="157" t="s">
        <v>1233</v>
      </c>
      <c r="Q151" s="26" t="s">
        <v>938</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1433</v>
      </c>
      <c r="B152" s="9" t="s">
        <v>1434</v>
      </c>
      <c r="C152" s="9" t="s">
        <v>1436</v>
      </c>
      <c r="D152" s="15" t="s">
        <v>1435</v>
      </c>
      <c r="E152" s="26" t="s">
        <v>1435</v>
      </c>
      <c r="F152" s="15" t="s">
        <v>0</v>
      </c>
      <c r="G152" s="15" t="s">
        <v>0</v>
      </c>
      <c r="H152" s="9" t="s">
        <v>1437</v>
      </c>
      <c r="I152" s="15" t="s">
        <v>0</v>
      </c>
      <c r="J152" s="15" t="s">
        <v>1435</v>
      </c>
      <c r="K152" s="15" t="s">
        <v>1435</v>
      </c>
      <c r="L152" s="93" t="s">
        <v>1435</v>
      </c>
      <c r="M152" s="94" t="s">
        <v>1435</v>
      </c>
      <c r="N152" s="15" t="s">
        <v>1435</v>
      </c>
      <c r="O152" s="26" t="s">
        <v>1435</v>
      </c>
      <c r="P152" s="157" t="s">
        <v>1435</v>
      </c>
      <c r="Q152" s="26" t="s">
        <v>1435</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858</v>
      </c>
      <c r="B153" s="9" t="s">
        <v>859</v>
      </c>
      <c r="C153" s="9" t="s">
        <v>1452</v>
      </c>
      <c r="D153" s="15" t="s">
        <v>39</v>
      </c>
      <c r="E153" s="26" t="s">
        <v>39</v>
      </c>
      <c r="F153" s="15" t="s">
        <v>0</v>
      </c>
      <c r="G153" s="15" t="s">
        <v>27</v>
      </c>
      <c r="H153" s="9" t="s">
        <v>69</v>
      </c>
      <c r="I153" s="15" t="s">
        <v>0</v>
      </c>
      <c r="J153" s="15" t="s">
        <v>552</v>
      </c>
      <c r="K153" s="15" t="s">
        <v>39</v>
      </c>
      <c r="L153" s="93" t="s">
        <v>552</v>
      </c>
      <c r="M153" s="94" t="s">
        <v>552</v>
      </c>
      <c r="N153" s="15" t="s">
        <v>552</v>
      </c>
      <c r="O153" s="26" t="s">
        <v>1233</v>
      </c>
      <c r="P153" s="157" t="s">
        <v>1233</v>
      </c>
      <c r="Q153" s="26" t="s">
        <v>938</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1127</v>
      </c>
      <c r="B154" s="9" t="s">
        <v>1129</v>
      </c>
      <c r="C154" s="9" t="s">
        <v>1126</v>
      </c>
      <c r="D154" s="15" t="s">
        <v>39</v>
      </c>
      <c r="E154" s="26" t="s">
        <v>1158</v>
      </c>
      <c r="F154" s="15" t="s">
        <v>0</v>
      </c>
      <c r="G154" s="15" t="s">
        <v>0</v>
      </c>
      <c r="H154" s="9" t="s">
        <v>68</v>
      </c>
      <c r="I154" s="15" t="s">
        <v>0</v>
      </c>
      <c r="J154" s="15" t="s">
        <v>1128</v>
      </c>
      <c r="K154" s="15" t="s">
        <v>39</v>
      </c>
      <c r="L154" s="93" t="s">
        <v>39</v>
      </c>
      <c r="M154" s="94" t="s">
        <v>39</v>
      </c>
      <c r="N154" s="15" t="s">
        <v>39</v>
      </c>
      <c r="O154" s="26" t="s">
        <v>1233</v>
      </c>
      <c r="P154" s="157" t="s">
        <v>1233</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1127</v>
      </c>
      <c r="B155" s="9" t="s">
        <v>1160</v>
      </c>
      <c r="C155" s="9" t="s">
        <v>1159</v>
      </c>
      <c r="D155" s="15" t="s">
        <v>1161</v>
      </c>
      <c r="E155" s="26" t="s">
        <v>39</v>
      </c>
      <c r="F155" s="15" t="s">
        <v>0</v>
      </c>
      <c r="G155" s="15" t="s">
        <v>0</v>
      </c>
      <c r="H155" s="9" t="s">
        <v>68</v>
      </c>
      <c r="I155" s="15" t="s">
        <v>0</v>
      </c>
      <c r="J155" s="15" t="s">
        <v>1128</v>
      </c>
      <c r="K155" s="15" t="s">
        <v>39</v>
      </c>
      <c r="L155" s="93" t="s">
        <v>39</v>
      </c>
      <c r="M155" s="94" t="s">
        <v>39</v>
      </c>
      <c r="N155" s="15" t="s">
        <v>39</v>
      </c>
      <c r="O155" s="26" t="s">
        <v>1233</v>
      </c>
      <c r="P155" s="157" t="s">
        <v>1233</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1510</v>
      </c>
      <c r="B156" s="9" t="s">
        <v>796</v>
      </c>
      <c r="C156" s="9" t="s">
        <v>1509</v>
      </c>
      <c r="D156" s="15" t="s">
        <v>39</v>
      </c>
      <c r="E156" s="26" t="s">
        <v>39</v>
      </c>
      <c r="F156" s="15" t="s">
        <v>0</v>
      </c>
      <c r="G156" s="15" t="s">
        <v>0</v>
      </c>
      <c r="H156" s="9" t="s">
        <v>523</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1505</v>
      </c>
      <c r="B157" s="9" t="s">
        <v>1506</v>
      </c>
      <c r="C157" s="9" t="s">
        <v>1504</v>
      </c>
      <c r="D157" s="15" t="s">
        <v>1507</v>
      </c>
      <c r="E157" s="26" t="s">
        <v>1507</v>
      </c>
      <c r="F157" s="15" t="s">
        <v>0</v>
      </c>
      <c r="G157" s="15" t="s">
        <v>0</v>
      </c>
      <c r="H157" s="9" t="s">
        <v>523</v>
      </c>
      <c r="I157" s="15" t="s">
        <v>1507</v>
      </c>
      <c r="J157" s="15" t="s">
        <v>1507</v>
      </c>
      <c r="K157" s="15" t="s">
        <v>1507</v>
      </c>
      <c r="L157" s="93" t="s">
        <v>1507</v>
      </c>
      <c r="M157" s="94" t="s">
        <v>1507</v>
      </c>
      <c r="N157" s="15" t="s">
        <v>1508</v>
      </c>
      <c r="O157" s="26" t="s">
        <v>1507</v>
      </c>
      <c r="P157" s="157" t="s">
        <v>1507</v>
      </c>
      <c r="Q157" s="26" t="s">
        <v>1507</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661</v>
      </c>
      <c r="B158" s="9" t="s">
        <v>797</v>
      </c>
      <c r="C158" s="9" t="s">
        <v>545</v>
      </c>
      <c r="D158" s="15" t="s">
        <v>39</v>
      </c>
      <c r="E158" s="26" t="s">
        <v>39</v>
      </c>
      <c r="F158" s="15" t="s">
        <v>0</v>
      </c>
      <c r="G158" s="15" t="s">
        <v>0</v>
      </c>
      <c r="H158" s="9" t="s">
        <v>523</v>
      </c>
      <c r="I158" s="15" t="s">
        <v>64</v>
      </c>
      <c r="J158" s="15" t="s">
        <v>64</v>
      </c>
      <c r="K158" s="15" t="s">
        <v>64</v>
      </c>
      <c r="L158" s="93" t="s">
        <v>844</v>
      </c>
      <c r="M158" s="94" t="s">
        <v>548</v>
      </c>
      <c r="N158" s="15" t="s">
        <v>64</v>
      </c>
      <c r="O158" s="26" t="s">
        <v>1233</v>
      </c>
      <c r="P158" s="157" t="s">
        <v>1233</v>
      </c>
      <c r="Q158" s="26" t="s">
        <v>938</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662</v>
      </c>
      <c r="B159" s="9" t="s">
        <v>798</v>
      </c>
      <c r="C159" s="9" t="s">
        <v>94</v>
      </c>
      <c r="D159" s="15" t="s">
        <v>39</v>
      </c>
      <c r="E159" s="26" t="s">
        <v>39</v>
      </c>
      <c r="F159" s="15" t="s">
        <v>0</v>
      </c>
      <c r="G159" s="15" t="s">
        <v>0</v>
      </c>
      <c r="H159" s="9" t="s">
        <v>523</v>
      </c>
      <c r="I159" s="15" t="s">
        <v>64</v>
      </c>
      <c r="J159" s="15" t="s">
        <v>64</v>
      </c>
      <c r="K159" s="15" t="s">
        <v>64</v>
      </c>
      <c r="L159" s="93" t="s">
        <v>844</v>
      </c>
      <c r="M159" s="94" t="s">
        <v>548</v>
      </c>
      <c r="N159" s="15" t="s">
        <v>64</v>
      </c>
      <c r="O159" s="26" t="s">
        <v>1233</v>
      </c>
      <c r="P159" s="157" t="s">
        <v>1233</v>
      </c>
      <c r="Q159" s="26" t="s">
        <v>938</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663</v>
      </c>
      <c r="B160" s="9" t="s">
        <v>799</v>
      </c>
      <c r="C160" s="9" t="s">
        <v>95</v>
      </c>
      <c r="D160" s="15" t="s">
        <v>39</v>
      </c>
      <c r="E160" s="26" t="s">
        <v>39</v>
      </c>
      <c r="F160" s="15" t="s">
        <v>0</v>
      </c>
      <c r="G160" s="15" t="s">
        <v>0</v>
      </c>
      <c r="H160" s="9" t="s">
        <v>523</v>
      </c>
      <c r="I160" s="15" t="s">
        <v>64</v>
      </c>
      <c r="J160" s="15" t="s">
        <v>64</v>
      </c>
      <c r="K160" s="15" t="s">
        <v>64</v>
      </c>
      <c r="L160" s="93" t="s">
        <v>844</v>
      </c>
      <c r="M160" s="94" t="s">
        <v>548</v>
      </c>
      <c r="N160" s="15" t="s">
        <v>64</v>
      </c>
      <c r="O160" s="26" t="s">
        <v>1233</v>
      </c>
      <c r="P160" s="157" t="s">
        <v>1233</v>
      </c>
      <c r="Q160" s="26" t="s">
        <v>938</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664</v>
      </c>
      <c r="B161" s="9" t="s">
        <v>800</v>
      </c>
      <c r="C161" s="9" t="s">
        <v>96</v>
      </c>
      <c r="D161" s="15" t="s">
        <v>39</v>
      </c>
      <c r="E161" s="26" t="s">
        <v>39</v>
      </c>
      <c r="F161" s="15" t="s">
        <v>0</v>
      </c>
      <c r="G161" s="15" t="s">
        <v>0</v>
      </c>
      <c r="H161" s="9" t="s">
        <v>523</v>
      </c>
      <c r="I161" s="15" t="s">
        <v>64</v>
      </c>
      <c r="J161" s="15" t="s">
        <v>64</v>
      </c>
      <c r="K161" s="15" t="s">
        <v>64</v>
      </c>
      <c r="L161" s="93" t="s">
        <v>844</v>
      </c>
      <c r="M161" s="94" t="s">
        <v>548</v>
      </c>
      <c r="N161" s="15" t="s">
        <v>64</v>
      </c>
      <c r="O161" s="26" t="s">
        <v>1233</v>
      </c>
      <c r="P161" s="157" t="s">
        <v>1233</v>
      </c>
      <c r="Q161" s="26" t="s">
        <v>938</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665</v>
      </c>
      <c r="B162" s="9" t="s">
        <v>801</v>
      </c>
      <c r="C162" s="9" t="s">
        <v>97</v>
      </c>
      <c r="D162" s="15" t="s">
        <v>39</v>
      </c>
      <c r="E162" s="26" t="s">
        <v>39</v>
      </c>
      <c r="F162" s="15" t="s">
        <v>0</v>
      </c>
      <c r="G162" s="15" t="s">
        <v>0</v>
      </c>
      <c r="H162" s="9" t="s">
        <v>523</v>
      </c>
      <c r="I162" s="15" t="s">
        <v>64</v>
      </c>
      <c r="J162" s="15" t="s">
        <v>64</v>
      </c>
      <c r="K162" s="15" t="s">
        <v>64</v>
      </c>
      <c r="L162" s="93" t="s">
        <v>844</v>
      </c>
      <c r="M162" s="94" t="s">
        <v>548</v>
      </c>
      <c r="N162" s="15" t="s">
        <v>64</v>
      </c>
      <c r="O162" s="26" t="s">
        <v>1233</v>
      </c>
      <c r="P162" s="157" t="s">
        <v>1233</v>
      </c>
      <c r="Q162" s="26" t="s">
        <v>938</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666</v>
      </c>
      <c r="B163" s="9" t="s">
        <v>802</v>
      </c>
      <c r="C163" s="9" t="s">
        <v>99</v>
      </c>
      <c r="D163" s="15" t="s">
        <v>39</v>
      </c>
      <c r="E163" s="26" t="s">
        <v>39</v>
      </c>
      <c r="F163" s="15" t="s">
        <v>0</v>
      </c>
      <c r="G163" s="15" t="s">
        <v>0</v>
      </c>
      <c r="H163" s="9" t="s">
        <v>523</v>
      </c>
      <c r="I163" s="15" t="s">
        <v>64</v>
      </c>
      <c r="J163" s="15" t="s">
        <v>64</v>
      </c>
      <c r="K163" s="15" t="s">
        <v>64</v>
      </c>
      <c r="L163" s="93" t="s">
        <v>64</v>
      </c>
      <c r="M163" s="94" t="s">
        <v>548</v>
      </c>
      <c r="N163" s="15" t="s">
        <v>64</v>
      </c>
      <c r="O163" s="26" t="s">
        <v>1233</v>
      </c>
      <c r="P163" s="157" t="s">
        <v>1233</v>
      </c>
      <c r="Q163" s="26" t="s">
        <v>938</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667</v>
      </c>
      <c r="B164" s="9" t="s">
        <v>803</v>
      </c>
      <c r="C164" s="9" t="s">
        <v>100</v>
      </c>
      <c r="D164" s="15" t="s">
        <v>39</v>
      </c>
      <c r="E164" s="26" t="s">
        <v>39</v>
      </c>
      <c r="F164" s="15" t="s">
        <v>0</v>
      </c>
      <c r="G164" s="15" t="s">
        <v>0</v>
      </c>
      <c r="H164" s="9" t="s">
        <v>523</v>
      </c>
      <c r="I164" s="15" t="s">
        <v>64</v>
      </c>
      <c r="J164" s="15" t="s">
        <v>64</v>
      </c>
      <c r="K164" s="15" t="s">
        <v>64</v>
      </c>
      <c r="L164" s="93" t="s">
        <v>64</v>
      </c>
      <c r="M164" s="94" t="s">
        <v>548</v>
      </c>
      <c r="N164" s="15" t="s">
        <v>64</v>
      </c>
      <c r="O164" s="26" t="s">
        <v>1233</v>
      </c>
      <c r="P164" s="157" t="s">
        <v>1233</v>
      </c>
      <c r="Q164" s="26" t="s">
        <v>938</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668</v>
      </c>
      <c r="B165" s="9" t="s">
        <v>804</v>
      </c>
      <c r="C165" s="9" t="s">
        <v>101</v>
      </c>
      <c r="D165" s="15" t="s">
        <v>39</v>
      </c>
      <c r="E165" s="26" t="s">
        <v>39</v>
      </c>
      <c r="F165" s="15" t="s">
        <v>0</v>
      </c>
      <c r="G165" s="15" t="s">
        <v>0</v>
      </c>
      <c r="H165" s="9" t="s">
        <v>523</v>
      </c>
      <c r="I165" s="15" t="s">
        <v>64</v>
      </c>
      <c r="J165" s="15" t="s">
        <v>64</v>
      </c>
      <c r="K165" s="15" t="s">
        <v>64</v>
      </c>
      <c r="L165" s="93" t="s">
        <v>64</v>
      </c>
      <c r="M165" s="94" t="s">
        <v>548</v>
      </c>
      <c r="N165" s="15" t="s">
        <v>64</v>
      </c>
      <c r="O165" s="26" t="s">
        <v>1233</v>
      </c>
      <c r="P165" s="157" t="s">
        <v>1233</v>
      </c>
      <c r="Q165" s="26" t="s">
        <v>938</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669</v>
      </c>
      <c r="B166" s="9" t="s">
        <v>805</v>
      </c>
      <c r="C166" s="9" t="s">
        <v>107</v>
      </c>
      <c r="D166" s="15" t="s">
        <v>39</v>
      </c>
      <c r="E166" s="26" t="s">
        <v>39</v>
      </c>
      <c r="F166" s="15" t="s">
        <v>0</v>
      </c>
      <c r="G166" s="15" t="s">
        <v>0</v>
      </c>
      <c r="H166" s="9" t="s">
        <v>523</v>
      </c>
      <c r="I166" s="15" t="s">
        <v>64</v>
      </c>
      <c r="J166" s="15" t="s">
        <v>64</v>
      </c>
      <c r="K166" s="15" t="s">
        <v>64</v>
      </c>
      <c r="L166" s="93" t="s">
        <v>64</v>
      </c>
      <c r="M166" s="94" t="s">
        <v>548</v>
      </c>
      <c r="N166" s="15" t="s">
        <v>64</v>
      </c>
      <c r="O166" s="26" t="s">
        <v>1233</v>
      </c>
      <c r="P166" s="157" t="s">
        <v>1233</v>
      </c>
      <c r="Q166" s="26" t="s">
        <v>938</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670</v>
      </c>
      <c r="B167" s="9" t="s">
        <v>806</v>
      </c>
      <c r="C167" s="9" t="s">
        <v>108</v>
      </c>
      <c r="D167" s="15" t="s">
        <v>39</v>
      </c>
      <c r="E167" s="26" t="s">
        <v>39</v>
      </c>
      <c r="F167" s="15" t="s">
        <v>0</v>
      </c>
      <c r="G167" s="15" t="s">
        <v>0</v>
      </c>
      <c r="H167" s="9" t="s">
        <v>523</v>
      </c>
      <c r="I167" s="15" t="s">
        <v>64</v>
      </c>
      <c r="J167" s="15" t="s">
        <v>64</v>
      </c>
      <c r="K167" s="15" t="s">
        <v>64</v>
      </c>
      <c r="L167" s="93" t="s">
        <v>64</v>
      </c>
      <c r="M167" s="94" t="s">
        <v>548</v>
      </c>
      <c r="N167" s="15" t="s">
        <v>64</v>
      </c>
      <c r="O167" s="26" t="s">
        <v>1233</v>
      </c>
      <c r="P167" s="157" t="s">
        <v>1233</v>
      </c>
      <c r="Q167" s="26" t="s">
        <v>938</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671</v>
      </c>
      <c r="B168" s="9" t="s">
        <v>807</v>
      </c>
      <c r="C168" s="9" t="s">
        <v>109</v>
      </c>
      <c r="D168" s="15" t="s">
        <v>39</v>
      </c>
      <c r="E168" s="26" t="s">
        <v>39</v>
      </c>
      <c r="F168" s="15" t="s">
        <v>0</v>
      </c>
      <c r="G168" s="15" t="s">
        <v>0</v>
      </c>
      <c r="H168" s="9" t="s">
        <v>523</v>
      </c>
      <c r="I168" s="15" t="s">
        <v>64</v>
      </c>
      <c r="J168" s="15" t="s">
        <v>64</v>
      </c>
      <c r="K168" s="15" t="s">
        <v>64</v>
      </c>
      <c r="L168" s="93" t="s">
        <v>64</v>
      </c>
      <c r="M168" s="94" t="s">
        <v>548</v>
      </c>
      <c r="N168" s="15" t="s">
        <v>64</v>
      </c>
      <c r="O168" s="26" t="s">
        <v>1233</v>
      </c>
      <c r="P168" s="157" t="s">
        <v>1233</v>
      </c>
      <c r="Q168" s="26" t="s">
        <v>938</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672</v>
      </c>
      <c r="B169" s="9" t="s">
        <v>808</v>
      </c>
      <c r="C169" s="9" t="s">
        <v>29</v>
      </c>
      <c r="D169" s="15" t="s">
        <v>39</v>
      </c>
      <c r="E169" s="26" t="s">
        <v>39</v>
      </c>
      <c r="F169" s="15" t="s">
        <v>0</v>
      </c>
      <c r="G169" s="15" t="s">
        <v>0</v>
      </c>
      <c r="H169" s="9" t="s">
        <v>523</v>
      </c>
      <c r="I169" s="15" t="s">
        <v>64</v>
      </c>
      <c r="J169" s="15" t="s">
        <v>64</v>
      </c>
      <c r="K169" s="15" t="s">
        <v>64</v>
      </c>
      <c r="L169" s="93" t="s">
        <v>844</v>
      </c>
      <c r="M169" s="94" t="s">
        <v>548</v>
      </c>
      <c r="N169" s="15" t="s">
        <v>64</v>
      </c>
      <c r="O169" s="26" t="s">
        <v>1233</v>
      </c>
      <c r="P169" s="157" t="s">
        <v>1233</v>
      </c>
      <c r="Q169" s="26" t="s">
        <v>938</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673</v>
      </c>
      <c r="B170" s="9" t="s">
        <v>809</v>
      </c>
      <c r="C170" s="9" t="s">
        <v>30</v>
      </c>
      <c r="D170" s="15" t="s">
        <v>39</v>
      </c>
      <c r="E170" s="26" t="s">
        <v>39</v>
      </c>
      <c r="F170" s="15" t="s">
        <v>0</v>
      </c>
      <c r="G170" s="15" t="s">
        <v>0</v>
      </c>
      <c r="H170" s="9" t="s">
        <v>523</v>
      </c>
      <c r="I170" s="15" t="s">
        <v>64</v>
      </c>
      <c r="J170" s="15" t="s">
        <v>64</v>
      </c>
      <c r="K170" s="15" t="s">
        <v>64</v>
      </c>
      <c r="L170" s="93" t="s">
        <v>844</v>
      </c>
      <c r="M170" s="94" t="s">
        <v>548</v>
      </c>
      <c r="N170" s="15" t="s">
        <v>64</v>
      </c>
      <c r="O170" s="26" t="s">
        <v>1233</v>
      </c>
      <c r="P170" s="157" t="s">
        <v>1233</v>
      </c>
      <c r="Q170" s="26" t="s">
        <v>938</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674</v>
      </c>
      <c r="B171" s="9" t="s">
        <v>810</v>
      </c>
      <c r="C171" s="9" t="s">
        <v>102</v>
      </c>
      <c r="D171" s="15" t="s">
        <v>39</v>
      </c>
      <c r="E171" s="26" t="s">
        <v>39</v>
      </c>
      <c r="F171" s="15" t="s">
        <v>0</v>
      </c>
      <c r="G171" s="15" t="s">
        <v>0</v>
      </c>
      <c r="H171" s="9" t="s">
        <v>523</v>
      </c>
      <c r="I171" s="15" t="s">
        <v>64</v>
      </c>
      <c r="J171" s="15" t="s">
        <v>64</v>
      </c>
      <c r="K171" s="15" t="s">
        <v>64</v>
      </c>
      <c r="L171" s="93" t="s">
        <v>844</v>
      </c>
      <c r="M171" s="94" t="s">
        <v>548</v>
      </c>
      <c r="N171" s="15" t="s">
        <v>64</v>
      </c>
      <c r="O171" s="26" t="s">
        <v>1233</v>
      </c>
      <c r="P171" s="157" t="s">
        <v>1233</v>
      </c>
      <c r="Q171" s="26" t="s">
        <v>938</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675</v>
      </c>
      <c r="B172" s="77" t="s">
        <v>811</v>
      </c>
      <c r="C172" s="9" t="s">
        <v>103</v>
      </c>
      <c r="D172" s="15" t="s">
        <v>39</v>
      </c>
      <c r="E172" s="26" t="s">
        <v>39</v>
      </c>
      <c r="F172" s="15" t="s">
        <v>0</v>
      </c>
      <c r="G172" s="15" t="s">
        <v>0</v>
      </c>
      <c r="H172" s="9" t="s">
        <v>523</v>
      </c>
      <c r="I172" s="15" t="s">
        <v>64</v>
      </c>
      <c r="J172" s="15" t="s">
        <v>64</v>
      </c>
      <c r="K172" s="15" t="s">
        <v>64</v>
      </c>
      <c r="L172" s="93" t="s">
        <v>64</v>
      </c>
      <c r="M172" s="94" t="s">
        <v>548</v>
      </c>
      <c r="N172" s="15" t="s">
        <v>64</v>
      </c>
      <c r="O172" s="26" t="s">
        <v>1233</v>
      </c>
      <c r="P172" s="157" t="s">
        <v>1233</v>
      </c>
      <c r="Q172" s="26" t="s">
        <v>938</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676</v>
      </c>
      <c r="B173" s="9" t="s">
        <v>812</v>
      </c>
      <c r="C173" s="9" t="s">
        <v>98</v>
      </c>
      <c r="D173" s="15" t="s">
        <v>39</v>
      </c>
      <c r="E173" s="26" t="s">
        <v>39</v>
      </c>
      <c r="F173" s="15" t="s">
        <v>0</v>
      </c>
      <c r="G173" s="15" t="s">
        <v>0</v>
      </c>
      <c r="H173" s="9" t="s">
        <v>523</v>
      </c>
      <c r="I173" s="15" t="s">
        <v>64</v>
      </c>
      <c r="J173" s="15" t="s">
        <v>64</v>
      </c>
      <c r="K173" s="15" t="s">
        <v>64</v>
      </c>
      <c r="L173" s="93" t="s">
        <v>844</v>
      </c>
      <c r="M173" s="94" t="s">
        <v>548</v>
      </c>
      <c r="N173" s="15" t="s">
        <v>64</v>
      </c>
      <c r="O173" s="26" t="s">
        <v>1233</v>
      </c>
      <c r="P173" s="157" t="s">
        <v>1233</v>
      </c>
      <c r="Q173" s="26" t="s">
        <v>938</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677</v>
      </c>
      <c r="B174" s="9" t="s">
        <v>813</v>
      </c>
      <c r="C174" s="9" t="s">
        <v>104</v>
      </c>
      <c r="D174" s="15" t="s">
        <v>39</v>
      </c>
      <c r="E174" s="26" t="s">
        <v>39</v>
      </c>
      <c r="F174" s="15" t="s">
        <v>0</v>
      </c>
      <c r="G174" s="15" t="s">
        <v>0</v>
      </c>
      <c r="H174" s="9" t="s">
        <v>523</v>
      </c>
      <c r="I174" s="15" t="s">
        <v>64</v>
      </c>
      <c r="J174" s="15" t="s">
        <v>64</v>
      </c>
      <c r="K174" s="15" t="s">
        <v>64</v>
      </c>
      <c r="L174" s="93" t="s">
        <v>64</v>
      </c>
      <c r="M174" s="94" t="s">
        <v>548</v>
      </c>
      <c r="N174" s="15" t="s">
        <v>64</v>
      </c>
      <c r="O174" s="26" t="s">
        <v>1233</v>
      </c>
      <c r="P174" s="157" t="s">
        <v>1233</v>
      </c>
      <c r="Q174" s="26" t="s">
        <v>938</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678</v>
      </c>
      <c r="B175" s="9" t="s">
        <v>814</v>
      </c>
      <c r="C175" s="9" t="s">
        <v>105</v>
      </c>
      <c r="D175" s="15" t="s">
        <v>39</v>
      </c>
      <c r="E175" s="26" t="s">
        <v>39</v>
      </c>
      <c r="F175" s="15" t="s">
        <v>543</v>
      </c>
      <c r="G175" s="15" t="s">
        <v>0</v>
      </c>
      <c r="H175" s="9" t="s">
        <v>523</v>
      </c>
      <c r="I175" s="15" t="s">
        <v>64</v>
      </c>
      <c r="J175" s="15" t="s">
        <v>64</v>
      </c>
      <c r="K175" s="15" t="s">
        <v>64</v>
      </c>
      <c r="L175" s="93" t="s">
        <v>64</v>
      </c>
      <c r="M175" s="94" t="s">
        <v>548</v>
      </c>
      <c r="N175" s="15" t="s">
        <v>64</v>
      </c>
      <c r="O175" s="26" t="s">
        <v>1233</v>
      </c>
      <c r="P175" s="157" t="s">
        <v>1233</v>
      </c>
      <c r="Q175" s="26" t="s">
        <v>938</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679</v>
      </c>
      <c r="B176" s="9" t="s">
        <v>815</v>
      </c>
      <c r="C176" s="9" t="s">
        <v>106</v>
      </c>
      <c r="D176" s="15" t="s">
        <v>39</v>
      </c>
      <c r="E176" s="26" t="s">
        <v>39</v>
      </c>
      <c r="F176" s="15" t="s">
        <v>543</v>
      </c>
      <c r="G176" s="15" t="s">
        <v>0</v>
      </c>
      <c r="H176" s="9" t="s">
        <v>523</v>
      </c>
      <c r="I176" s="15" t="s">
        <v>64</v>
      </c>
      <c r="J176" s="15" t="s">
        <v>64</v>
      </c>
      <c r="K176" s="15" t="s">
        <v>64</v>
      </c>
      <c r="L176" s="93" t="s">
        <v>64</v>
      </c>
      <c r="M176" s="94" t="s">
        <v>548</v>
      </c>
      <c r="N176" s="15" t="s">
        <v>64</v>
      </c>
      <c r="O176" s="26" t="s">
        <v>1233</v>
      </c>
      <c r="P176" s="157" t="s">
        <v>1233</v>
      </c>
      <c r="Q176" s="26" t="s">
        <v>938</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680</v>
      </c>
      <c r="B177" s="9" t="s">
        <v>816</v>
      </c>
      <c r="C177" s="9" t="s">
        <v>110</v>
      </c>
      <c r="D177" s="15" t="s">
        <v>39</v>
      </c>
      <c r="E177" s="26" t="s">
        <v>39</v>
      </c>
      <c r="F177" s="15" t="s">
        <v>0</v>
      </c>
      <c r="G177" s="15" t="s">
        <v>0</v>
      </c>
      <c r="H177" s="9" t="s">
        <v>523</v>
      </c>
      <c r="I177" s="15" t="s">
        <v>64</v>
      </c>
      <c r="J177" s="15" t="s">
        <v>64</v>
      </c>
      <c r="K177" s="15" t="s">
        <v>64</v>
      </c>
      <c r="L177" s="93" t="s">
        <v>64</v>
      </c>
      <c r="M177" s="94" t="s">
        <v>548</v>
      </c>
      <c r="N177" s="15" t="s">
        <v>64</v>
      </c>
      <c r="O177" s="26" t="s">
        <v>1233</v>
      </c>
      <c r="P177" s="157" t="s">
        <v>1233</v>
      </c>
      <c r="Q177" s="26" t="s">
        <v>938</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681</v>
      </c>
      <c r="B178" s="9" t="s">
        <v>817</v>
      </c>
      <c r="C178" s="9" t="s">
        <v>112</v>
      </c>
      <c r="D178" s="15" t="s">
        <v>39</v>
      </c>
      <c r="E178" s="26" t="s">
        <v>39</v>
      </c>
      <c r="F178" s="15" t="s">
        <v>0</v>
      </c>
      <c r="G178" s="15" t="s">
        <v>0</v>
      </c>
      <c r="H178" s="9" t="s">
        <v>523</v>
      </c>
      <c r="I178" s="15" t="s">
        <v>64</v>
      </c>
      <c r="J178" s="15" t="s">
        <v>64</v>
      </c>
      <c r="K178" s="15" t="s">
        <v>64</v>
      </c>
      <c r="L178" s="93" t="s">
        <v>64</v>
      </c>
      <c r="M178" s="94" t="s">
        <v>548</v>
      </c>
      <c r="N178" s="15" t="s">
        <v>64</v>
      </c>
      <c r="O178" s="26" t="s">
        <v>1233</v>
      </c>
      <c r="P178" s="157" t="s">
        <v>1233</v>
      </c>
      <c r="Q178" s="26" t="s">
        <v>938</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682</v>
      </c>
      <c r="B179" s="9" t="s">
        <v>818</v>
      </c>
      <c r="C179" s="9" t="s">
        <v>111</v>
      </c>
      <c r="D179" s="15" t="s">
        <v>39</v>
      </c>
      <c r="E179" s="26" t="s">
        <v>39</v>
      </c>
      <c r="F179" s="15" t="s">
        <v>0</v>
      </c>
      <c r="G179" s="15" t="s">
        <v>0</v>
      </c>
      <c r="H179" s="9" t="s">
        <v>523</v>
      </c>
      <c r="I179" s="15" t="s">
        <v>64</v>
      </c>
      <c r="J179" s="15" t="s">
        <v>64</v>
      </c>
      <c r="K179" s="15" t="s">
        <v>64</v>
      </c>
      <c r="L179" s="93" t="s">
        <v>64</v>
      </c>
      <c r="M179" s="94" t="s">
        <v>548</v>
      </c>
      <c r="N179" s="15" t="s">
        <v>64</v>
      </c>
      <c r="O179" s="26" t="s">
        <v>1233</v>
      </c>
      <c r="P179" s="157" t="s">
        <v>1233</v>
      </c>
      <c r="Q179" s="26" t="s">
        <v>938</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1481</v>
      </c>
      <c r="B180" s="9" t="s">
        <v>819</v>
      </c>
      <c r="C180" s="9" t="s">
        <v>1480</v>
      </c>
      <c r="D180" s="15" t="s">
        <v>39</v>
      </c>
      <c r="E180" s="26" t="s">
        <v>39</v>
      </c>
      <c r="F180" s="15" t="s">
        <v>0</v>
      </c>
      <c r="G180" s="15" t="s">
        <v>0</v>
      </c>
      <c r="H180" s="9" t="s">
        <v>523</v>
      </c>
      <c r="I180" s="15" t="s">
        <v>64</v>
      </c>
      <c r="J180" s="15" t="s">
        <v>64</v>
      </c>
      <c r="K180" s="15" t="s">
        <v>64</v>
      </c>
      <c r="L180" s="93" t="s">
        <v>64</v>
      </c>
      <c r="M180" s="94" t="s">
        <v>548</v>
      </c>
      <c r="N180" s="15" t="s">
        <v>64</v>
      </c>
      <c r="O180" s="26" t="s">
        <v>1233</v>
      </c>
      <c r="P180" s="157" t="s">
        <v>1233</v>
      </c>
      <c r="Q180" s="26" t="s">
        <v>938</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683</v>
      </c>
      <c r="B181" s="9" t="s">
        <v>820</v>
      </c>
      <c r="C181" s="9" t="s">
        <v>113</v>
      </c>
      <c r="D181" s="15" t="s">
        <v>39</v>
      </c>
      <c r="E181" s="26" t="s">
        <v>39</v>
      </c>
      <c r="F181" s="15" t="s">
        <v>0</v>
      </c>
      <c r="G181" s="15" t="s">
        <v>0</v>
      </c>
      <c r="H181" s="9" t="s">
        <v>523</v>
      </c>
      <c r="I181" s="15" t="s">
        <v>64</v>
      </c>
      <c r="J181" s="15" t="s">
        <v>64</v>
      </c>
      <c r="K181" s="15" t="s">
        <v>64</v>
      </c>
      <c r="L181" s="93" t="s">
        <v>64</v>
      </c>
      <c r="M181" s="94" t="s">
        <v>548</v>
      </c>
      <c r="N181" s="15" t="s">
        <v>64</v>
      </c>
      <c r="O181" s="26" t="s">
        <v>1233</v>
      </c>
      <c r="P181" s="157" t="s">
        <v>1233</v>
      </c>
      <c r="Q181" s="26" t="s">
        <v>938</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684</v>
      </c>
      <c r="B182" s="9" t="s">
        <v>821</v>
      </c>
      <c r="C182" s="9" t="s">
        <v>114</v>
      </c>
      <c r="D182" s="15" t="s">
        <v>39</v>
      </c>
      <c r="E182" s="26" t="s">
        <v>39</v>
      </c>
      <c r="F182" s="15" t="s">
        <v>0</v>
      </c>
      <c r="G182" s="15" t="s">
        <v>0</v>
      </c>
      <c r="H182" s="9" t="s">
        <v>523</v>
      </c>
      <c r="I182" s="15" t="s">
        <v>64</v>
      </c>
      <c r="J182" s="15" t="s">
        <v>64</v>
      </c>
      <c r="K182" s="15" t="s">
        <v>64</v>
      </c>
      <c r="L182" s="93" t="s">
        <v>844</v>
      </c>
      <c r="M182" s="94" t="s">
        <v>548</v>
      </c>
      <c r="N182" s="15" t="s">
        <v>64</v>
      </c>
      <c r="O182" s="26" t="s">
        <v>1233</v>
      </c>
      <c r="P182" s="157" t="s">
        <v>1233</v>
      </c>
      <c r="Q182" s="26" t="s">
        <v>938</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685</v>
      </c>
      <c r="B183" s="9" t="s">
        <v>822</v>
      </c>
      <c r="C183" s="9" t="s">
        <v>115</v>
      </c>
      <c r="D183" s="15" t="s">
        <v>39</v>
      </c>
      <c r="E183" s="26" t="s">
        <v>39</v>
      </c>
      <c r="F183" s="15" t="s">
        <v>0</v>
      </c>
      <c r="G183" s="15" t="s">
        <v>0</v>
      </c>
      <c r="H183" s="9" t="s">
        <v>523</v>
      </c>
      <c r="I183" s="15" t="s">
        <v>64</v>
      </c>
      <c r="J183" s="15" t="s">
        <v>64</v>
      </c>
      <c r="K183" s="15" t="s">
        <v>64</v>
      </c>
      <c r="L183" s="93" t="s">
        <v>64</v>
      </c>
      <c r="M183" s="94" t="s">
        <v>548</v>
      </c>
      <c r="N183" s="15" t="s">
        <v>64</v>
      </c>
      <c r="O183" s="26" t="s">
        <v>1233</v>
      </c>
      <c r="P183" s="157" t="s">
        <v>1233</v>
      </c>
      <c r="Q183" s="26" t="s">
        <v>938</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686</v>
      </c>
      <c r="B184" s="9" t="s">
        <v>823</v>
      </c>
      <c r="C184" s="9" t="s">
        <v>116</v>
      </c>
      <c r="D184" s="15" t="s">
        <v>39</v>
      </c>
      <c r="E184" s="26" t="s">
        <v>39</v>
      </c>
      <c r="F184" s="15" t="s">
        <v>0</v>
      </c>
      <c r="G184" s="15" t="s">
        <v>0</v>
      </c>
      <c r="H184" s="9" t="s">
        <v>523</v>
      </c>
      <c r="I184" s="15" t="s">
        <v>64</v>
      </c>
      <c r="J184" s="15" t="s">
        <v>64</v>
      </c>
      <c r="K184" s="15" t="s">
        <v>64</v>
      </c>
      <c r="L184" s="93" t="s">
        <v>64</v>
      </c>
      <c r="M184" s="94" t="s">
        <v>548</v>
      </c>
      <c r="N184" s="15" t="s">
        <v>64</v>
      </c>
      <c r="O184" s="26" t="s">
        <v>1233</v>
      </c>
      <c r="P184" s="157" t="s">
        <v>1233</v>
      </c>
      <c r="Q184" s="26" t="s">
        <v>938</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687</v>
      </c>
      <c r="B185" s="9" t="s">
        <v>824</v>
      </c>
      <c r="C185" s="9" t="s">
        <v>117</v>
      </c>
      <c r="D185" s="15" t="s">
        <v>39</v>
      </c>
      <c r="E185" s="26" t="s">
        <v>39</v>
      </c>
      <c r="F185" s="15" t="s">
        <v>0</v>
      </c>
      <c r="G185" s="15" t="s">
        <v>0</v>
      </c>
      <c r="H185" s="9" t="s">
        <v>523</v>
      </c>
      <c r="I185" s="15" t="s">
        <v>64</v>
      </c>
      <c r="J185" s="15" t="s">
        <v>64</v>
      </c>
      <c r="K185" s="15" t="s">
        <v>64</v>
      </c>
      <c r="L185" s="93" t="s">
        <v>64</v>
      </c>
      <c r="M185" s="94" t="s">
        <v>548</v>
      </c>
      <c r="N185" s="15" t="s">
        <v>64</v>
      </c>
      <c r="O185" s="26" t="s">
        <v>1233</v>
      </c>
      <c r="P185" s="157" t="s">
        <v>1233</v>
      </c>
      <c r="Q185" s="26" t="s">
        <v>938</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688</v>
      </c>
      <c r="B186" s="9" t="s">
        <v>825</v>
      </c>
      <c r="C186" s="9" t="s">
        <v>118</v>
      </c>
      <c r="D186" s="15" t="s">
        <v>39</v>
      </c>
      <c r="E186" s="26" t="s">
        <v>39</v>
      </c>
      <c r="F186" s="15" t="s">
        <v>0</v>
      </c>
      <c r="G186" s="15" t="s">
        <v>27</v>
      </c>
      <c r="H186" s="9" t="s">
        <v>523</v>
      </c>
      <c r="I186" s="15" t="s">
        <v>64</v>
      </c>
      <c r="J186" s="15" t="s">
        <v>64</v>
      </c>
      <c r="K186" s="15" t="s">
        <v>64</v>
      </c>
      <c r="L186" s="93" t="s">
        <v>64</v>
      </c>
      <c r="M186" s="94" t="s">
        <v>548</v>
      </c>
      <c r="N186" s="15" t="s">
        <v>64</v>
      </c>
      <c r="O186" s="26" t="s">
        <v>1233</v>
      </c>
      <c r="P186" s="157" t="s">
        <v>1233</v>
      </c>
      <c r="Q186" s="26" t="s">
        <v>938</v>
      </c>
      <c r="R186" s="9" t="str">
        <f t="shared" si="22"/>
        <v/>
      </c>
      <c r="S186" s="9" t="str">
        <f t="shared" ref="S186:S225"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3">IF(
  AND($A186&lt;&gt;"",$O186&lt;&gt;"-",$O186&lt;&gt;""),
  (
    "schtasks /create /tn """&amp;$O186&amp;""" /tr """&amp;$C186&amp;""" /sc daily /st "&amp;$P186&amp;" /rl highest"
  ),
  ""
)</f>
        <v/>
      </c>
      <c r="AH186" s="13" t="str">
        <f t="shared" ref="AH186:AH225"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689</v>
      </c>
      <c r="B187" s="9" t="s">
        <v>826</v>
      </c>
      <c r="C187" s="9" t="s">
        <v>119</v>
      </c>
      <c r="D187" s="15" t="s">
        <v>39</v>
      </c>
      <c r="E187" s="26" t="s">
        <v>39</v>
      </c>
      <c r="F187" s="15" t="s">
        <v>0</v>
      </c>
      <c r="G187" s="15" t="s">
        <v>0</v>
      </c>
      <c r="H187" s="9" t="s">
        <v>523</v>
      </c>
      <c r="I187" s="15" t="s">
        <v>64</v>
      </c>
      <c r="J187" s="15" t="s">
        <v>64</v>
      </c>
      <c r="K187" s="15" t="s">
        <v>64</v>
      </c>
      <c r="L187" s="93" t="s">
        <v>844</v>
      </c>
      <c r="M187" s="94" t="s">
        <v>549</v>
      </c>
      <c r="N187" s="15" t="s">
        <v>64</v>
      </c>
      <c r="O187" s="26" t="s">
        <v>1233</v>
      </c>
      <c r="P187" s="157" t="s">
        <v>1233</v>
      </c>
      <c r="Q187" s="26" t="s">
        <v>938</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690</v>
      </c>
      <c r="B188" s="9" t="s">
        <v>827</v>
      </c>
      <c r="C188" s="9" t="s">
        <v>120</v>
      </c>
      <c r="D188" s="15" t="s">
        <v>39</v>
      </c>
      <c r="E188" s="26" t="s">
        <v>39</v>
      </c>
      <c r="F188" s="15" t="s">
        <v>0</v>
      </c>
      <c r="G188" s="15" t="s">
        <v>0</v>
      </c>
      <c r="H188" s="9" t="s">
        <v>523</v>
      </c>
      <c r="I188" s="15" t="s">
        <v>64</v>
      </c>
      <c r="J188" s="15" t="s">
        <v>64</v>
      </c>
      <c r="K188" s="15" t="s">
        <v>64</v>
      </c>
      <c r="L188" s="93" t="s">
        <v>844</v>
      </c>
      <c r="M188" s="94" t="s">
        <v>548</v>
      </c>
      <c r="N188" s="15" t="s">
        <v>64</v>
      </c>
      <c r="O188" s="26" t="s">
        <v>1233</v>
      </c>
      <c r="P188" s="157" t="s">
        <v>1233</v>
      </c>
      <c r="Q188" s="26" t="s">
        <v>938</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691</v>
      </c>
      <c r="B189" s="9" t="s">
        <v>828</v>
      </c>
      <c r="C189" s="9" t="s">
        <v>121</v>
      </c>
      <c r="D189" s="15" t="s">
        <v>39</v>
      </c>
      <c r="E189" s="26" t="s">
        <v>39</v>
      </c>
      <c r="F189" s="15" t="s">
        <v>0</v>
      </c>
      <c r="G189" s="15" t="s">
        <v>0</v>
      </c>
      <c r="H189" s="9" t="s">
        <v>523</v>
      </c>
      <c r="I189" s="15" t="s">
        <v>64</v>
      </c>
      <c r="J189" s="15" t="s">
        <v>64</v>
      </c>
      <c r="K189" s="15" t="s">
        <v>64</v>
      </c>
      <c r="L189" s="93" t="s">
        <v>64</v>
      </c>
      <c r="M189" s="94" t="s">
        <v>548</v>
      </c>
      <c r="N189" s="15" t="s">
        <v>64</v>
      </c>
      <c r="O189" s="26" t="s">
        <v>1233</v>
      </c>
      <c r="P189" s="157" t="s">
        <v>1233</v>
      </c>
      <c r="Q189" s="26" t="s">
        <v>938</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692</v>
      </c>
      <c r="B190" s="9" t="s">
        <v>829</v>
      </c>
      <c r="C190" s="9" t="s">
        <v>122</v>
      </c>
      <c r="D190" s="15" t="s">
        <v>39</v>
      </c>
      <c r="E190" s="26" t="s">
        <v>39</v>
      </c>
      <c r="F190" s="15" t="s">
        <v>0</v>
      </c>
      <c r="G190" s="15" t="s">
        <v>0</v>
      </c>
      <c r="H190" s="9" t="s">
        <v>523</v>
      </c>
      <c r="I190" s="15" t="s">
        <v>64</v>
      </c>
      <c r="J190" s="15" t="s">
        <v>64</v>
      </c>
      <c r="K190" s="15" t="s">
        <v>64</v>
      </c>
      <c r="L190" s="93" t="s">
        <v>844</v>
      </c>
      <c r="M190" s="94" t="s">
        <v>550</v>
      </c>
      <c r="N190" s="15" t="s">
        <v>64</v>
      </c>
      <c r="O190" s="26" t="s">
        <v>1233</v>
      </c>
      <c r="P190" s="157" t="s">
        <v>1233</v>
      </c>
      <c r="Q190" s="26" t="s">
        <v>938</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693</v>
      </c>
      <c r="B191" s="9" t="s">
        <v>830</v>
      </c>
      <c r="C191" s="9" t="s">
        <v>123</v>
      </c>
      <c r="D191" s="15" t="s">
        <v>39</v>
      </c>
      <c r="E191" s="26" t="s">
        <v>39</v>
      </c>
      <c r="F191" s="15" t="s">
        <v>0</v>
      </c>
      <c r="G191" s="15" t="s">
        <v>0</v>
      </c>
      <c r="H191" s="9" t="s">
        <v>523</v>
      </c>
      <c r="I191" s="15" t="s">
        <v>64</v>
      </c>
      <c r="J191" s="15" t="s">
        <v>64</v>
      </c>
      <c r="K191" s="15" t="s">
        <v>64</v>
      </c>
      <c r="L191" s="93" t="s">
        <v>844</v>
      </c>
      <c r="M191" s="94" t="s">
        <v>551</v>
      </c>
      <c r="N191" s="15" t="s">
        <v>64</v>
      </c>
      <c r="O191" s="26" t="s">
        <v>1233</v>
      </c>
      <c r="P191" s="157" t="s">
        <v>1233</v>
      </c>
      <c r="Q191" s="26" t="s">
        <v>938</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694</v>
      </c>
      <c r="B192" s="9" t="s">
        <v>831</v>
      </c>
      <c r="C192" s="9" t="s">
        <v>124</v>
      </c>
      <c r="D192" s="15" t="s">
        <v>39</v>
      </c>
      <c r="E192" s="26" t="s">
        <v>39</v>
      </c>
      <c r="F192" s="15" t="s">
        <v>0</v>
      </c>
      <c r="G192" s="15" t="s">
        <v>0</v>
      </c>
      <c r="H192" s="9" t="s">
        <v>523</v>
      </c>
      <c r="I192" s="15" t="s">
        <v>64</v>
      </c>
      <c r="J192" s="15" t="s">
        <v>64</v>
      </c>
      <c r="K192" s="15" t="s">
        <v>64</v>
      </c>
      <c r="L192" s="93" t="s">
        <v>844</v>
      </c>
      <c r="M192" s="94" t="s">
        <v>548</v>
      </c>
      <c r="N192" s="15" t="s">
        <v>64</v>
      </c>
      <c r="O192" s="26" t="s">
        <v>1233</v>
      </c>
      <c r="P192" s="157" t="s">
        <v>1233</v>
      </c>
      <c r="Q192" s="26" t="s">
        <v>938</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695</v>
      </c>
      <c r="B193" s="9" t="s">
        <v>832</v>
      </c>
      <c r="C193" s="9" t="s">
        <v>544</v>
      </c>
      <c r="D193" s="15" t="s">
        <v>39</v>
      </c>
      <c r="E193" s="26" t="s">
        <v>39</v>
      </c>
      <c r="F193" s="15" t="s">
        <v>0</v>
      </c>
      <c r="G193" s="15" t="s">
        <v>0</v>
      </c>
      <c r="H193" s="9" t="s">
        <v>523</v>
      </c>
      <c r="I193" s="15" t="s">
        <v>64</v>
      </c>
      <c r="J193" s="15" t="s">
        <v>64</v>
      </c>
      <c r="K193" s="15" t="s">
        <v>64</v>
      </c>
      <c r="L193" s="93" t="s">
        <v>64</v>
      </c>
      <c r="M193" s="94" t="s">
        <v>548</v>
      </c>
      <c r="N193" s="15" t="s">
        <v>64</v>
      </c>
      <c r="O193" s="26" t="s">
        <v>1233</v>
      </c>
      <c r="P193" s="157" t="s">
        <v>1233</v>
      </c>
      <c r="Q193" s="26" t="s">
        <v>938</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696</v>
      </c>
      <c r="B194" s="9" t="s">
        <v>833</v>
      </c>
      <c r="C194" s="9" t="s">
        <v>529</v>
      </c>
      <c r="D194" s="15" t="s">
        <v>39</v>
      </c>
      <c r="E194" s="26" t="s">
        <v>39</v>
      </c>
      <c r="F194" s="15" t="s">
        <v>27</v>
      </c>
      <c r="G194" s="15" t="s">
        <v>0</v>
      </c>
      <c r="H194" s="9" t="s">
        <v>523</v>
      </c>
      <c r="I194" s="15" t="s">
        <v>64</v>
      </c>
      <c r="J194" s="15" t="s">
        <v>64</v>
      </c>
      <c r="K194" s="15" t="s">
        <v>64</v>
      </c>
      <c r="L194" s="93" t="s">
        <v>64</v>
      </c>
      <c r="M194" s="94" t="s">
        <v>548</v>
      </c>
      <c r="N194" s="15" t="s">
        <v>39</v>
      </c>
      <c r="O194" s="26" t="s">
        <v>1233</v>
      </c>
      <c r="P194" s="157" t="s">
        <v>1233</v>
      </c>
      <c r="Q194" s="26" t="s">
        <v>938</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697</v>
      </c>
      <c r="B195" s="9" t="s">
        <v>834</v>
      </c>
      <c r="C195" s="9" t="s">
        <v>530</v>
      </c>
      <c r="D195" s="15" t="s">
        <v>39</v>
      </c>
      <c r="E195" s="26" t="s">
        <v>39</v>
      </c>
      <c r="F195" s="15" t="s">
        <v>0</v>
      </c>
      <c r="G195" s="15" t="s">
        <v>0</v>
      </c>
      <c r="H195" s="9" t="s">
        <v>523</v>
      </c>
      <c r="I195" s="15" t="s">
        <v>64</v>
      </c>
      <c r="J195" s="15" t="s">
        <v>845</v>
      </c>
      <c r="K195" s="15" t="s">
        <v>64</v>
      </c>
      <c r="L195" s="93" t="s">
        <v>64</v>
      </c>
      <c r="M195" s="94" t="s">
        <v>548</v>
      </c>
      <c r="N195" s="15" t="s">
        <v>64</v>
      </c>
      <c r="O195" s="26" t="s">
        <v>1233</v>
      </c>
      <c r="P195" s="157" t="s">
        <v>1233</v>
      </c>
      <c r="Q195" s="26" t="s">
        <v>938</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1465</v>
      </c>
      <c r="B196" s="9" t="s">
        <v>1466</v>
      </c>
      <c r="C196" s="9" t="s">
        <v>1464</v>
      </c>
      <c r="D196" s="15" t="s">
        <v>39</v>
      </c>
      <c r="E196" s="26" t="s">
        <v>39</v>
      </c>
      <c r="F196" s="15" t="s">
        <v>0</v>
      </c>
      <c r="G196" s="15" t="s">
        <v>0</v>
      </c>
      <c r="H196" s="9" t="s">
        <v>523</v>
      </c>
      <c r="I196" s="15" t="s">
        <v>64</v>
      </c>
      <c r="J196" s="15" t="s">
        <v>1467</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698</v>
      </c>
      <c r="B197" s="9" t="s">
        <v>834</v>
      </c>
      <c r="C197" s="9" t="s">
        <v>125</v>
      </c>
      <c r="D197" s="15" t="s">
        <v>39</v>
      </c>
      <c r="E197" s="26" t="s">
        <v>39</v>
      </c>
      <c r="F197" s="15" t="s">
        <v>0</v>
      </c>
      <c r="G197" s="15" t="s">
        <v>0</v>
      </c>
      <c r="H197" s="9" t="s">
        <v>523</v>
      </c>
      <c r="I197" s="15" t="s">
        <v>64</v>
      </c>
      <c r="J197" s="15" t="s">
        <v>64</v>
      </c>
      <c r="K197" s="15" t="s">
        <v>64</v>
      </c>
      <c r="L197" s="93" t="s">
        <v>64</v>
      </c>
      <c r="M197" s="94" t="s">
        <v>548</v>
      </c>
      <c r="N197" s="15" t="s">
        <v>64</v>
      </c>
      <c r="O197" s="26" t="s">
        <v>1233</v>
      </c>
      <c r="P197" s="157" t="s">
        <v>1233</v>
      </c>
      <c r="Q197" s="26" t="s">
        <v>938</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699</v>
      </c>
      <c r="B198" s="9" t="s">
        <v>835</v>
      </c>
      <c r="C198" s="9" t="s">
        <v>126</v>
      </c>
      <c r="D198" s="15" t="s">
        <v>39</v>
      </c>
      <c r="E198" s="26" t="s">
        <v>39</v>
      </c>
      <c r="F198" s="15" t="s">
        <v>27</v>
      </c>
      <c r="G198" s="15" t="s">
        <v>0</v>
      </c>
      <c r="H198" s="9" t="s">
        <v>523</v>
      </c>
      <c r="I198" s="15" t="s">
        <v>64</v>
      </c>
      <c r="J198" s="15" t="s">
        <v>846</v>
      </c>
      <c r="K198" s="15" t="s">
        <v>64</v>
      </c>
      <c r="L198" s="93" t="s">
        <v>64</v>
      </c>
      <c r="M198" s="94" t="s">
        <v>548</v>
      </c>
      <c r="N198" s="15" t="s">
        <v>64</v>
      </c>
      <c r="O198" s="26" t="s">
        <v>1233</v>
      </c>
      <c r="P198" s="157" t="s">
        <v>1233</v>
      </c>
      <c r="Q198" s="26" t="s">
        <v>938</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700</v>
      </c>
      <c r="B199" s="9" t="s">
        <v>836</v>
      </c>
      <c r="C199" s="9" t="s">
        <v>531</v>
      </c>
      <c r="D199" s="15" t="s">
        <v>39</v>
      </c>
      <c r="E199" s="26" t="s">
        <v>39</v>
      </c>
      <c r="F199" s="15" t="s">
        <v>27</v>
      </c>
      <c r="G199" s="15" t="s">
        <v>0</v>
      </c>
      <c r="H199" s="9" t="s">
        <v>523</v>
      </c>
      <c r="I199" s="15" t="s">
        <v>64</v>
      </c>
      <c r="J199" s="15" t="s">
        <v>847</v>
      </c>
      <c r="K199" s="15" t="s">
        <v>64</v>
      </c>
      <c r="L199" s="93" t="s">
        <v>64</v>
      </c>
      <c r="M199" s="94" t="s">
        <v>548</v>
      </c>
      <c r="N199" s="15" t="s">
        <v>64</v>
      </c>
      <c r="O199" s="26" t="s">
        <v>1233</v>
      </c>
      <c r="P199" s="157" t="s">
        <v>1233</v>
      </c>
      <c r="Q199" s="26" t="s">
        <v>938</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701</v>
      </c>
      <c r="B200" s="9" t="s">
        <v>837</v>
      </c>
      <c r="C200" s="9" t="s">
        <v>532</v>
      </c>
      <c r="D200" s="15" t="s">
        <v>39</v>
      </c>
      <c r="E200" s="26" t="s">
        <v>39</v>
      </c>
      <c r="F200" s="15" t="s">
        <v>27</v>
      </c>
      <c r="G200" s="15" t="s">
        <v>0</v>
      </c>
      <c r="H200" s="9" t="s">
        <v>523</v>
      </c>
      <c r="I200" s="15" t="s">
        <v>64</v>
      </c>
      <c r="J200" s="15" t="s">
        <v>848</v>
      </c>
      <c r="K200" s="15" t="s">
        <v>64</v>
      </c>
      <c r="L200" s="93" t="s">
        <v>64</v>
      </c>
      <c r="M200" s="94" t="s">
        <v>548</v>
      </c>
      <c r="N200" s="15" t="s">
        <v>64</v>
      </c>
      <c r="O200" s="26" t="s">
        <v>1233</v>
      </c>
      <c r="P200" s="157" t="s">
        <v>1233</v>
      </c>
      <c r="Q200" s="26" t="s">
        <v>938</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702</v>
      </c>
      <c r="B201" s="9" t="s">
        <v>838</v>
      </c>
      <c r="C201" s="9" t="s">
        <v>533</v>
      </c>
      <c r="D201" s="15" t="s">
        <v>39</v>
      </c>
      <c r="E201" s="26" t="s">
        <v>39</v>
      </c>
      <c r="F201" s="15" t="s">
        <v>0</v>
      </c>
      <c r="G201" s="15" t="s">
        <v>27</v>
      </c>
      <c r="H201" s="9" t="s">
        <v>523</v>
      </c>
      <c r="I201" s="15" t="s">
        <v>64</v>
      </c>
      <c r="J201" s="15" t="s">
        <v>64</v>
      </c>
      <c r="K201" s="15" t="s">
        <v>64</v>
      </c>
      <c r="L201" s="93" t="s">
        <v>64</v>
      </c>
      <c r="M201" s="94" t="s">
        <v>548</v>
      </c>
      <c r="N201" s="15" t="s">
        <v>64</v>
      </c>
      <c r="O201" s="26" t="s">
        <v>1233</v>
      </c>
      <c r="P201" s="157" t="s">
        <v>1233</v>
      </c>
      <c r="Q201" s="26" t="s">
        <v>938</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703</v>
      </c>
      <c r="B202" s="9" t="s">
        <v>839</v>
      </c>
      <c r="C202" s="9" t="s">
        <v>534</v>
      </c>
      <c r="D202" s="15" t="s">
        <v>39</v>
      </c>
      <c r="E202" s="26" t="s">
        <v>39</v>
      </c>
      <c r="F202" s="15" t="s">
        <v>0</v>
      </c>
      <c r="G202" s="15" t="s">
        <v>0</v>
      </c>
      <c r="H202" s="9" t="s">
        <v>523</v>
      </c>
      <c r="I202" s="15" t="s">
        <v>64</v>
      </c>
      <c r="J202" s="15" t="s">
        <v>64</v>
      </c>
      <c r="K202" s="15" t="s">
        <v>64</v>
      </c>
      <c r="L202" s="93" t="s">
        <v>64</v>
      </c>
      <c r="M202" s="94" t="s">
        <v>548</v>
      </c>
      <c r="N202" s="15" t="s">
        <v>844</v>
      </c>
      <c r="O202" s="26" t="s">
        <v>1233</v>
      </c>
      <c r="P202" s="157" t="s">
        <v>1233</v>
      </c>
      <c r="Q202" s="26" t="s">
        <v>938</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1515</v>
      </c>
      <c r="B203" s="9" t="s">
        <v>1516</v>
      </c>
      <c r="C203" s="9" t="s">
        <v>1526</v>
      </c>
      <c r="D203" s="15" t="s">
        <v>39</v>
      </c>
      <c r="E203" s="26" t="s">
        <v>39</v>
      </c>
      <c r="F203" s="15" t="s">
        <v>0</v>
      </c>
      <c r="G203" s="15" t="s">
        <v>27</v>
      </c>
      <c r="H203" s="9" t="s">
        <v>523</v>
      </c>
      <c r="I203" s="15" t="s">
        <v>39</v>
      </c>
      <c r="J203" s="15" t="s">
        <v>1517</v>
      </c>
      <c r="K203" s="15" t="s">
        <v>39</v>
      </c>
      <c r="L203" s="93" t="s">
        <v>39</v>
      </c>
      <c r="M203" s="94" t="s">
        <v>39</v>
      </c>
      <c r="N203" s="15" t="s">
        <v>39</v>
      </c>
      <c r="O203" s="26" t="s">
        <v>39</v>
      </c>
      <c r="P203" s="157" t="s">
        <v>39</v>
      </c>
      <c r="Q203" s="26" t="s">
        <v>39</v>
      </c>
      <c r="R203" s="9" t="str">
        <f t="shared" ref="R203:R226"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704</v>
      </c>
      <c r="B204" s="9" t="s">
        <v>798</v>
      </c>
      <c r="C204" s="9" t="s">
        <v>535</v>
      </c>
      <c r="D204" s="15" t="s">
        <v>39</v>
      </c>
      <c r="E204" s="26" t="s">
        <v>39</v>
      </c>
      <c r="F204" s="15" t="s">
        <v>0</v>
      </c>
      <c r="G204" s="15" t="s">
        <v>27</v>
      </c>
      <c r="H204" s="9" t="s">
        <v>523</v>
      </c>
      <c r="I204" s="15" t="s">
        <v>64</v>
      </c>
      <c r="J204" s="15" t="s">
        <v>64</v>
      </c>
      <c r="K204" s="15" t="s">
        <v>64</v>
      </c>
      <c r="L204" s="93" t="s">
        <v>64</v>
      </c>
      <c r="M204" s="94" t="s">
        <v>548</v>
      </c>
      <c r="N204" s="15" t="s">
        <v>542</v>
      </c>
      <c r="O204" s="26" t="s">
        <v>1233</v>
      </c>
      <c r="P204" s="157" t="s">
        <v>1233</v>
      </c>
      <c r="Q204" s="26" t="s">
        <v>938</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705</v>
      </c>
      <c r="B205" s="9" t="s">
        <v>840</v>
      </c>
      <c r="C205" s="9" t="s">
        <v>1527</v>
      </c>
      <c r="D205" s="15" t="s">
        <v>39</v>
      </c>
      <c r="E205" s="26" t="s">
        <v>39</v>
      </c>
      <c r="F205" s="15" t="s">
        <v>0</v>
      </c>
      <c r="G205" s="15" t="s">
        <v>27</v>
      </c>
      <c r="H205" s="9" t="s">
        <v>523</v>
      </c>
      <c r="I205" s="15" t="s">
        <v>64</v>
      </c>
      <c r="J205" s="15" t="s">
        <v>64</v>
      </c>
      <c r="K205" s="15" t="s">
        <v>64</v>
      </c>
      <c r="L205" s="93" t="s">
        <v>64</v>
      </c>
      <c r="M205" s="94" t="s">
        <v>548</v>
      </c>
      <c r="N205" s="15" t="s">
        <v>844</v>
      </c>
      <c r="O205" s="26" t="s">
        <v>1233</v>
      </c>
      <c r="P205" s="157" t="s">
        <v>1233</v>
      </c>
      <c r="Q205" s="26" t="s">
        <v>938</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9" t="str">
        <f>IF(
  AND($A205&lt;&gt;"",$N205="○"),
  shortcut設定!$F$6&amp;"\"&amp;A205&amp;"（"&amp;B205&amp;"）.lnk",
  ""
)</f>
        <v>%USERPROFILE%\AppData\Roaming\Microsoft\Windows\Start Menu\Programs\Startup\ScheduledBackup.bat（定期ファイルバックアップ）.lnk</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706</v>
      </c>
      <c r="B206" s="9" t="s">
        <v>841</v>
      </c>
      <c r="C206" s="9" t="s">
        <v>536</v>
      </c>
      <c r="D206" s="15" t="s">
        <v>39</v>
      </c>
      <c r="E206" s="26" t="s">
        <v>39</v>
      </c>
      <c r="F206" s="15" t="s">
        <v>0</v>
      </c>
      <c r="G206" s="15" t="s">
        <v>27</v>
      </c>
      <c r="H206" s="9" t="s">
        <v>523</v>
      </c>
      <c r="I206" s="15" t="s">
        <v>64</v>
      </c>
      <c r="J206" s="15" t="s">
        <v>1453</v>
      </c>
      <c r="K206" s="15" t="s">
        <v>64</v>
      </c>
      <c r="L206" s="93" t="s">
        <v>64</v>
      </c>
      <c r="M206" s="94" t="s">
        <v>548</v>
      </c>
      <c r="N206" s="15" t="s">
        <v>64</v>
      </c>
      <c r="O206" s="26" t="s">
        <v>1233</v>
      </c>
      <c r="P206" s="157" t="s">
        <v>1233</v>
      </c>
      <c r="Q206" s="26" t="s">
        <v>938</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707</v>
      </c>
      <c r="B207" s="9" t="s">
        <v>842</v>
      </c>
      <c r="C207" s="9" t="s">
        <v>537</v>
      </c>
      <c r="D207" s="15" t="s">
        <v>39</v>
      </c>
      <c r="E207" s="26" t="s">
        <v>39</v>
      </c>
      <c r="F207" s="15" t="s">
        <v>0</v>
      </c>
      <c r="G207" s="15" t="s">
        <v>27</v>
      </c>
      <c r="H207" s="9" t="s">
        <v>523</v>
      </c>
      <c r="I207" s="15" t="s">
        <v>64</v>
      </c>
      <c r="J207" s="15" t="s">
        <v>1454</v>
      </c>
      <c r="K207" s="15" t="s">
        <v>64</v>
      </c>
      <c r="L207" s="93" t="s">
        <v>64</v>
      </c>
      <c r="M207" s="94" t="s">
        <v>548</v>
      </c>
      <c r="N207" s="15" t="s">
        <v>64</v>
      </c>
      <c r="O207" s="26" t="s">
        <v>1233</v>
      </c>
      <c r="P207" s="157" t="s">
        <v>1233</v>
      </c>
      <c r="Q207" s="26" t="s">
        <v>938</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1461</v>
      </c>
      <c r="B208" s="9" t="s">
        <v>1462</v>
      </c>
      <c r="C208" s="9" t="s">
        <v>1460</v>
      </c>
      <c r="D208" s="15" t="s">
        <v>39</v>
      </c>
      <c r="E208" s="26" t="s">
        <v>39</v>
      </c>
      <c r="F208" s="15" t="s">
        <v>0</v>
      </c>
      <c r="G208" s="15" t="s">
        <v>27</v>
      </c>
      <c r="H208" s="9" t="s">
        <v>523</v>
      </c>
      <c r="I208" s="15" t="s">
        <v>64</v>
      </c>
      <c r="J208" s="15" t="s">
        <v>1463</v>
      </c>
      <c r="K208" s="15" t="s">
        <v>64</v>
      </c>
      <c r="L208" s="93" t="s">
        <v>64</v>
      </c>
      <c r="M208" s="94" t="s">
        <v>39</v>
      </c>
      <c r="N208" s="15" t="s">
        <v>64</v>
      </c>
      <c r="O208" s="26" t="s">
        <v>39</v>
      </c>
      <c r="P208" s="157" t="s">
        <v>39</v>
      </c>
      <c r="Q208" s="26" t="s">
        <v>39</v>
      </c>
      <c r="R208" s="9" t="str">
        <f t="shared" si="35"/>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708</v>
      </c>
      <c r="B209" s="9" t="s">
        <v>843</v>
      </c>
      <c r="C209" s="9" t="s">
        <v>1363</v>
      </c>
      <c r="D209" s="15" t="s">
        <v>39</v>
      </c>
      <c r="E209" s="26" t="s">
        <v>39</v>
      </c>
      <c r="F209" s="15" t="s">
        <v>0</v>
      </c>
      <c r="G209" s="15" t="s">
        <v>27</v>
      </c>
      <c r="H209" s="9" t="s">
        <v>523</v>
      </c>
      <c r="I209" s="15" t="s">
        <v>64</v>
      </c>
      <c r="J209" s="15" t="s">
        <v>1455</v>
      </c>
      <c r="K209" s="15" t="s">
        <v>64</v>
      </c>
      <c r="L209" s="93" t="s">
        <v>64</v>
      </c>
      <c r="M209" s="94" t="s">
        <v>548</v>
      </c>
      <c r="N209" s="15" t="s">
        <v>64</v>
      </c>
      <c r="O209" s="26" t="s">
        <v>1233</v>
      </c>
      <c r="P209" s="157" t="s">
        <v>1233</v>
      </c>
      <c r="Q209" s="26" t="s">
        <v>938</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1449</v>
      </c>
      <c r="B210" s="9" t="s">
        <v>1450</v>
      </c>
      <c r="C210" s="9" t="s">
        <v>1448</v>
      </c>
      <c r="D210" s="15" t="s">
        <v>1451</v>
      </c>
      <c r="E210" s="26" t="s">
        <v>1451</v>
      </c>
      <c r="F210" s="15" t="s">
        <v>0</v>
      </c>
      <c r="G210" s="15" t="s">
        <v>27</v>
      </c>
      <c r="H210" s="9" t="s">
        <v>523</v>
      </c>
      <c r="I210" s="15" t="s">
        <v>1451</v>
      </c>
      <c r="J210" s="15" t="s">
        <v>1468</v>
      </c>
      <c r="K210" s="15" t="s">
        <v>1451</v>
      </c>
      <c r="L210" s="93" t="s">
        <v>1451</v>
      </c>
      <c r="M210" s="94" t="s">
        <v>1451</v>
      </c>
      <c r="N210" s="15" t="s">
        <v>1451</v>
      </c>
      <c r="O210" s="26" t="s">
        <v>1451</v>
      </c>
      <c r="P210" s="157" t="s">
        <v>1451</v>
      </c>
      <c r="Q210" s="26" t="s">
        <v>1451</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1494</v>
      </c>
      <c r="B211" s="9" t="s">
        <v>1495</v>
      </c>
      <c r="C211" s="9" t="s">
        <v>1493</v>
      </c>
      <c r="D211" s="15" t="s">
        <v>39</v>
      </c>
      <c r="E211" s="26" t="s">
        <v>39</v>
      </c>
      <c r="F211" s="15" t="s">
        <v>0</v>
      </c>
      <c r="G211" s="15" t="s">
        <v>27</v>
      </c>
      <c r="H211" s="9" t="s">
        <v>523</v>
      </c>
      <c r="I211" s="15" t="s">
        <v>39</v>
      </c>
      <c r="J211" s="15" t="s">
        <v>39</v>
      </c>
      <c r="K211" s="15" t="s">
        <v>39</v>
      </c>
      <c r="L211" s="93" t="s">
        <v>149</v>
      </c>
      <c r="M211" s="94" t="s">
        <v>1364</v>
      </c>
      <c r="N211" s="15" t="s">
        <v>937</v>
      </c>
      <c r="O211" s="26" t="s">
        <v>937</v>
      </c>
      <c r="P211" s="157" t="s">
        <v>937</v>
      </c>
      <c r="Q211" s="26" t="s">
        <v>937</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9" t="str">
        <f ca="1">IFERROR(
  VLOOKUP(
    $H211,
    shortcut設定!$F:$J,
    MATCH(
      "ProgramsIndex",
      shortcut設定!$F$12:$J$12,
      0
    ),
    FALSE
  ),
  ""
)</f>
        <v>200</v>
      </c>
      <c r="AC211" s="20" t="str">
        <f t="shared" si="32"/>
        <v xml:space="preserve"> (&amp;R)</v>
      </c>
      <c r="AD211" s="13" t="str">
        <f ca="1">IF(
  AND($A211&lt;&gt;"",$L211="○"),
  shortcut設定!$F$5&amp;"\"&amp;AB211&amp;"_"&amp;A211&amp;"（"&amp;B211&amp;"）"&amp;AC211&amp;".lnk",
  ""
)</f>
        <v>%USERPROFILE%\AppData\Roaming\Microsoft\Windows\SendTo\200_ScpUploadToRemoteRobocipA1.vbs（SCP送信toリモート(RobocipA1)）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1490</v>
      </c>
      <c r="B212" s="9" t="s">
        <v>1492</v>
      </c>
      <c r="C212" s="9" t="s">
        <v>1489</v>
      </c>
      <c r="D212" s="15" t="s">
        <v>39</v>
      </c>
      <c r="E212" s="26" t="s">
        <v>39</v>
      </c>
      <c r="F212" s="15" t="s">
        <v>0</v>
      </c>
      <c r="G212" s="15" t="s">
        <v>27</v>
      </c>
      <c r="H212" s="9" t="s">
        <v>523</v>
      </c>
      <c r="I212" s="15" t="s">
        <v>39</v>
      </c>
      <c r="J212" s="15" t="s">
        <v>1491</v>
      </c>
      <c r="K212" s="15" t="s">
        <v>39</v>
      </c>
      <c r="L212" s="93" t="s">
        <v>64</v>
      </c>
      <c r="M212" s="94" t="s">
        <v>39</v>
      </c>
      <c r="N212" s="15" t="s">
        <v>937</v>
      </c>
      <c r="O212" s="26" t="s">
        <v>937</v>
      </c>
      <c r="P212" s="157" t="s">
        <v>937</v>
      </c>
      <c r="Q212" s="26" t="s">
        <v>937</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32"/>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1487</v>
      </c>
      <c r="B213" s="9" t="s">
        <v>1496</v>
      </c>
      <c r="C213" s="9" t="s">
        <v>1486</v>
      </c>
      <c r="D213" s="15" t="s">
        <v>1432</v>
      </c>
      <c r="E213" s="26" t="s">
        <v>1432</v>
      </c>
      <c r="F213" s="15" t="s">
        <v>0</v>
      </c>
      <c r="G213" s="15" t="s">
        <v>27</v>
      </c>
      <c r="H213" s="9" t="s">
        <v>523</v>
      </c>
      <c r="I213" s="15" t="s">
        <v>937</v>
      </c>
      <c r="J213" s="15" t="s">
        <v>1488</v>
      </c>
      <c r="K213" s="15" t="s">
        <v>1432</v>
      </c>
      <c r="L213" s="93" t="s">
        <v>1432</v>
      </c>
      <c r="M213" s="94" t="s">
        <v>1432</v>
      </c>
      <c r="N213" s="15" t="s">
        <v>1432</v>
      </c>
      <c r="O213" s="26" t="s">
        <v>1432</v>
      </c>
      <c r="P213" s="157" t="s">
        <v>1432</v>
      </c>
      <c r="Q213" s="26" t="s">
        <v>1432</v>
      </c>
      <c r="R213" s="9" t="str">
        <f t="shared" si="35"/>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1048</v>
      </c>
      <c r="B214" s="9" t="s">
        <v>1011</v>
      </c>
      <c r="C214" s="9" t="s">
        <v>1047</v>
      </c>
      <c r="D214" s="15" t="s">
        <v>937</v>
      </c>
      <c r="E214" s="26" t="s">
        <v>39</v>
      </c>
      <c r="F214" s="15" t="s">
        <v>27</v>
      </c>
      <c r="G214" s="15" t="s">
        <v>0</v>
      </c>
      <c r="H214" s="9" t="s">
        <v>523</v>
      </c>
      <c r="I214" s="15" t="s">
        <v>937</v>
      </c>
      <c r="J214" s="15" t="s">
        <v>1012</v>
      </c>
      <c r="K214" s="15" t="s">
        <v>1012</v>
      </c>
      <c r="L214" s="93" t="s">
        <v>1012</v>
      </c>
      <c r="M214" s="94" t="s">
        <v>1012</v>
      </c>
      <c r="N214" s="15" t="s">
        <v>0</v>
      </c>
      <c r="O214" s="26" t="s">
        <v>1233</v>
      </c>
      <c r="P214" s="157" t="s">
        <v>1233</v>
      </c>
      <c r="Q214" s="26" t="s">
        <v>39</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1210</v>
      </c>
      <c r="B215" s="9" t="s">
        <v>1215</v>
      </c>
      <c r="C215" s="9" t="s">
        <v>1208</v>
      </c>
      <c r="D215" s="15" t="s">
        <v>937</v>
      </c>
      <c r="E215" s="26" t="s">
        <v>39</v>
      </c>
      <c r="F215" s="15" t="s">
        <v>27</v>
      </c>
      <c r="G215" s="15" t="s">
        <v>0</v>
      </c>
      <c r="H215" s="9" t="s">
        <v>523</v>
      </c>
      <c r="I215" s="15" t="s">
        <v>0</v>
      </c>
      <c r="J215" s="15" t="s">
        <v>1388</v>
      </c>
      <c r="K215" s="15" t="s">
        <v>39</v>
      </c>
      <c r="L215" s="93" t="s">
        <v>39</v>
      </c>
      <c r="M215" s="94" t="s">
        <v>39</v>
      </c>
      <c r="N215" s="15" t="s">
        <v>937</v>
      </c>
      <c r="O215" s="26" t="s">
        <v>1233</v>
      </c>
      <c r="P215" s="157" t="s">
        <v>1233</v>
      </c>
      <c r="Q215" s="26" t="s">
        <v>39</v>
      </c>
      <c r="R215" s="9" t="str">
        <f t="shared" si="35"/>
        <v/>
      </c>
      <c r="S215" s="9" t="str">
        <f t="shared" si="31"/>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1211</v>
      </c>
      <c r="B216" s="9" t="s">
        <v>1216</v>
      </c>
      <c r="C216" s="9" t="s">
        <v>1046</v>
      </c>
      <c r="D216" s="15" t="s">
        <v>937</v>
      </c>
      <c r="E216" s="26" t="s">
        <v>39</v>
      </c>
      <c r="F216" s="15" t="s">
        <v>27</v>
      </c>
      <c r="G216" s="15" t="s">
        <v>0</v>
      </c>
      <c r="H216" s="9" t="s">
        <v>523</v>
      </c>
      <c r="I216" s="15" t="s">
        <v>1220</v>
      </c>
      <c r="J216" s="15" t="s">
        <v>937</v>
      </c>
      <c r="K216" s="15" t="s">
        <v>39</v>
      </c>
      <c r="L216" s="93" t="s">
        <v>39</v>
      </c>
      <c r="M216" s="94" t="s">
        <v>39</v>
      </c>
      <c r="N216" s="15" t="s">
        <v>937</v>
      </c>
      <c r="O216" s="26" t="s">
        <v>1233</v>
      </c>
      <c r="P216" s="157" t="s">
        <v>1233</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1212</v>
      </c>
      <c r="B217" s="9" t="s">
        <v>1217</v>
      </c>
      <c r="C217" s="9" t="s">
        <v>1051</v>
      </c>
      <c r="D217" s="15" t="s">
        <v>937</v>
      </c>
      <c r="E217" s="26" t="s">
        <v>39</v>
      </c>
      <c r="F217" s="15" t="s">
        <v>27</v>
      </c>
      <c r="G217" s="15" t="s">
        <v>0</v>
      </c>
      <c r="H217" s="9" t="s">
        <v>523</v>
      </c>
      <c r="I217" s="15" t="s">
        <v>1220</v>
      </c>
      <c r="J217" s="15" t="s">
        <v>937</v>
      </c>
      <c r="K217" s="15" t="s">
        <v>39</v>
      </c>
      <c r="L217" s="93" t="s">
        <v>39</v>
      </c>
      <c r="M217" s="94" t="s">
        <v>39</v>
      </c>
      <c r="N217" s="15" t="s">
        <v>937</v>
      </c>
      <c r="O217" s="26" t="s">
        <v>1233</v>
      </c>
      <c r="P217" s="157" t="s">
        <v>1233</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1213</v>
      </c>
      <c r="B218" s="9" t="s">
        <v>1218</v>
      </c>
      <c r="C218" s="9" t="s">
        <v>1052</v>
      </c>
      <c r="D218" s="15" t="s">
        <v>937</v>
      </c>
      <c r="E218" s="26" t="s">
        <v>39</v>
      </c>
      <c r="F218" s="15" t="s">
        <v>0</v>
      </c>
      <c r="G218" s="15" t="s">
        <v>0</v>
      </c>
      <c r="H218" s="9" t="s">
        <v>523</v>
      </c>
      <c r="I218" s="15" t="s">
        <v>1220</v>
      </c>
      <c r="J218" s="15" t="s">
        <v>937</v>
      </c>
      <c r="K218" s="15" t="s">
        <v>39</v>
      </c>
      <c r="L218" s="93" t="s">
        <v>39</v>
      </c>
      <c r="M218" s="94" t="s">
        <v>39</v>
      </c>
      <c r="N218" s="15" t="s">
        <v>937</v>
      </c>
      <c r="O218" s="26" t="s">
        <v>1233</v>
      </c>
      <c r="P218" s="157" t="s">
        <v>1233</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1214</v>
      </c>
      <c r="B219" s="9" t="s">
        <v>1219</v>
      </c>
      <c r="C219" s="9" t="s">
        <v>1209</v>
      </c>
      <c r="D219" s="15" t="s">
        <v>937</v>
      </c>
      <c r="E219" s="26" t="s">
        <v>39</v>
      </c>
      <c r="F219" s="15" t="s">
        <v>0</v>
      </c>
      <c r="G219" s="15" t="s">
        <v>27</v>
      </c>
      <c r="H219" s="9" t="s">
        <v>523</v>
      </c>
      <c r="I219" s="15" t="s">
        <v>1220</v>
      </c>
      <c r="J219" s="15" t="s">
        <v>937</v>
      </c>
      <c r="K219" s="15" t="s">
        <v>39</v>
      </c>
      <c r="L219" s="93" t="s">
        <v>39</v>
      </c>
      <c r="M219" s="94" t="s">
        <v>39</v>
      </c>
      <c r="N219" s="15" t="s">
        <v>937</v>
      </c>
      <c r="O219" s="26" t="s">
        <v>1234</v>
      </c>
      <c r="P219" s="157" t="s">
        <v>1237</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schtasks /create /tn "_scheduled_backup_root" /tr "C:\codes\bat\tools\other\BackupRoot.bat" /sc daily /st 17:56 /rl highest</v>
      </c>
      <c r="AH219" s="13" t="str">
        <f t="shared" si="34"/>
        <v>schtasks /delete /tn "_scheduled_backup_root"</v>
      </c>
      <c r="AI219" s="13" t="str">
        <f>IF(
  AND($A219&lt;&gt;"",$Q219&lt;&gt;"-",$Q219&lt;&gt;""),
  (
    """"&amp;shortcut設定!$F$7&amp;""""&amp;
    " """&amp;$Q219&amp;".lnk"""&amp;
    " """&amp;$C219&amp;""""&amp;
    IF($D219="-"," """""," """&amp;$D219&amp;"""")&amp;
    IF($E219="-"," """""," """&amp;$E219&amp;"""")
  ),
  ""
)</f>
        <v/>
      </c>
      <c r="AJ219" s="91" t="s">
        <v>174</v>
      </c>
    </row>
    <row r="220" spans="1:36">
      <c r="A220" s="9" t="s">
        <v>1254</v>
      </c>
      <c r="B220" s="9" t="s">
        <v>1255</v>
      </c>
      <c r="C220" s="9" t="s">
        <v>1253</v>
      </c>
      <c r="D220" s="15" t="s">
        <v>1256</v>
      </c>
      <c r="E220" s="26" t="s">
        <v>1256</v>
      </c>
      <c r="F220" s="15" t="s">
        <v>27</v>
      </c>
      <c r="G220" s="15" t="s">
        <v>0</v>
      </c>
      <c r="H220" s="9" t="s">
        <v>523</v>
      </c>
      <c r="I220" s="15" t="s">
        <v>1256</v>
      </c>
      <c r="J220" s="15" t="s">
        <v>1256</v>
      </c>
      <c r="K220" s="15" t="s">
        <v>1256</v>
      </c>
      <c r="L220" s="93" t="s">
        <v>1256</v>
      </c>
      <c r="M220" s="94" t="s">
        <v>1256</v>
      </c>
      <c r="N220" s="15" t="s">
        <v>0</v>
      </c>
      <c r="O220" s="26" t="s">
        <v>1256</v>
      </c>
      <c r="P220" s="157" t="s">
        <v>1256</v>
      </c>
      <c r="Q220" s="26" t="s">
        <v>1256</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1422</v>
      </c>
      <c r="B221" s="9" t="s">
        <v>1423</v>
      </c>
      <c r="C221" s="9" t="s">
        <v>1421</v>
      </c>
      <c r="D221" s="15" t="s">
        <v>1424</v>
      </c>
      <c r="E221" s="26" t="s">
        <v>1424</v>
      </c>
      <c r="F221" s="15" t="s">
        <v>0</v>
      </c>
      <c r="G221" s="15" t="s">
        <v>0</v>
      </c>
      <c r="H221" s="9" t="s">
        <v>523</v>
      </c>
      <c r="I221" s="15" t="s">
        <v>1424</v>
      </c>
      <c r="J221" s="15" t="s">
        <v>1425</v>
      </c>
      <c r="K221" s="15" t="s">
        <v>1424</v>
      </c>
      <c r="L221" s="93" t="s">
        <v>1424</v>
      </c>
      <c r="M221" s="94" t="s">
        <v>1424</v>
      </c>
      <c r="N221" s="15" t="s">
        <v>1424</v>
      </c>
      <c r="O221" s="26" t="s">
        <v>1424</v>
      </c>
      <c r="P221" s="157" t="s">
        <v>1424</v>
      </c>
      <c r="Q221" s="26" t="s">
        <v>1424</v>
      </c>
      <c r="R221" s="9" t="str">
        <f t="shared" si="35"/>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1384</v>
      </c>
      <c r="B222" s="9" t="s">
        <v>1385</v>
      </c>
      <c r="C222" s="9" t="s">
        <v>1383</v>
      </c>
      <c r="D222" s="15" t="s">
        <v>1386</v>
      </c>
      <c r="E222" s="26" t="s">
        <v>1386</v>
      </c>
      <c r="F222" s="15" t="s">
        <v>0</v>
      </c>
      <c r="G222" s="15" t="s">
        <v>0</v>
      </c>
      <c r="H222" s="9" t="s">
        <v>523</v>
      </c>
      <c r="I222" s="15" t="s">
        <v>0</v>
      </c>
      <c r="J222" s="15" t="s">
        <v>1387</v>
      </c>
      <c r="K222" s="15" t="s">
        <v>1386</v>
      </c>
      <c r="L222" s="93" t="s">
        <v>1386</v>
      </c>
      <c r="M222" s="94" t="s">
        <v>1386</v>
      </c>
      <c r="N222" s="15" t="s">
        <v>1386</v>
      </c>
      <c r="O222" s="26" t="s">
        <v>1386</v>
      </c>
      <c r="P222" s="157" t="s">
        <v>1386</v>
      </c>
      <c r="Q222" s="26" t="s">
        <v>1386</v>
      </c>
      <c r="R222" s="9" t="str">
        <f t="shared" si="35"/>
        <v/>
      </c>
      <c r="S222" s="9" t="str">
        <f t="shared" si="31"/>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 t="shared" si="35"/>
        <v/>
      </c>
      <c r="S223" s="9" t="str">
        <f t="shared" si="31"/>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651</v>
      </c>
      <c r="B229" s="9" t="s">
        <v>788</v>
      </c>
      <c r="C229" s="9" t="s">
        <v>161</v>
      </c>
      <c r="D229" s="15" t="s">
        <v>39</v>
      </c>
      <c r="E229" s="26" t="s">
        <v>39</v>
      </c>
      <c r="F229" s="15" t="s">
        <v>166</v>
      </c>
      <c r="G229" s="15" t="s">
        <v>149</v>
      </c>
      <c r="H229" s="9" t="s">
        <v>79</v>
      </c>
      <c r="I229" s="15" t="s">
        <v>844</v>
      </c>
      <c r="J229" s="15" t="s">
        <v>64</v>
      </c>
      <c r="K229" s="15" t="s">
        <v>64</v>
      </c>
      <c r="L229" s="93" t="s">
        <v>64</v>
      </c>
      <c r="M229" s="94" t="s">
        <v>548</v>
      </c>
      <c r="N229" s="15" t="s">
        <v>64</v>
      </c>
      <c r="O229" s="26" t="s">
        <v>1233</v>
      </c>
      <c r="P229" s="157" t="s">
        <v>1233</v>
      </c>
      <c r="Q229" s="26" t="s">
        <v>938</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652</v>
      </c>
      <c r="B230" s="9" t="s">
        <v>789</v>
      </c>
      <c r="C230" s="9" t="s">
        <v>162</v>
      </c>
      <c r="D230" s="15" t="s">
        <v>39</v>
      </c>
      <c r="E230" s="26" t="s">
        <v>39</v>
      </c>
      <c r="F230" s="15" t="s">
        <v>149</v>
      </c>
      <c r="G230" s="15" t="s">
        <v>166</v>
      </c>
      <c r="H230" s="9" t="s">
        <v>69</v>
      </c>
      <c r="I230" s="15" t="s">
        <v>844</v>
      </c>
      <c r="J230" s="15" t="s">
        <v>64</v>
      </c>
      <c r="K230" s="15" t="s">
        <v>64</v>
      </c>
      <c r="L230" s="93" t="s">
        <v>64</v>
      </c>
      <c r="M230" s="94" t="s">
        <v>548</v>
      </c>
      <c r="N230" s="15" t="s">
        <v>64</v>
      </c>
      <c r="O230" s="26" t="s">
        <v>1233</v>
      </c>
      <c r="P230" s="157" t="s">
        <v>1233</v>
      </c>
      <c r="Q230" s="26" t="s">
        <v>938</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1271</v>
      </c>
      <c r="B231" s="9" t="s">
        <v>1272</v>
      </c>
      <c r="C231" s="9" t="s">
        <v>1270</v>
      </c>
      <c r="D231" s="15" t="s">
        <v>39</v>
      </c>
      <c r="E231" s="26" t="s">
        <v>1273</v>
      </c>
      <c r="F231" s="15" t="s">
        <v>27</v>
      </c>
      <c r="G231" s="15" t="s">
        <v>0</v>
      </c>
      <c r="H231" s="9" t="s">
        <v>68</v>
      </c>
      <c r="I231" s="15" t="s">
        <v>0</v>
      </c>
      <c r="J231" s="15" t="s">
        <v>39</v>
      </c>
      <c r="K231" s="15" t="s">
        <v>39</v>
      </c>
      <c r="L231" s="93" t="s">
        <v>39</v>
      </c>
      <c r="M231" s="94" t="s">
        <v>39</v>
      </c>
      <c r="N231" s="15" t="s">
        <v>937</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786</v>
      </c>
      <c r="C232" s="9" t="s">
        <v>93</v>
      </c>
      <c r="D232" s="15" t="s">
        <v>39</v>
      </c>
      <c r="E232" s="26" t="s">
        <v>39</v>
      </c>
      <c r="F232" s="15" t="s">
        <v>166</v>
      </c>
      <c r="G232" s="15" t="s">
        <v>149</v>
      </c>
      <c r="H232" s="9" t="s">
        <v>82</v>
      </c>
      <c r="I232" s="15" t="s">
        <v>844</v>
      </c>
      <c r="J232" s="15" t="s">
        <v>64</v>
      </c>
      <c r="K232" s="15" t="s">
        <v>64</v>
      </c>
      <c r="L232" s="93" t="s">
        <v>64</v>
      </c>
      <c r="M232" s="94" t="s">
        <v>548</v>
      </c>
      <c r="N232" s="15" t="s">
        <v>64</v>
      </c>
      <c r="O232" s="26" t="s">
        <v>1233</v>
      </c>
      <c r="P232" s="157" t="s">
        <v>1233</v>
      </c>
      <c r="Q232" s="26" t="s">
        <v>938</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649</v>
      </c>
      <c r="B233" s="9" t="s">
        <v>784</v>
      </c>
      <c r="C233" s="9" t="s">
        <v>156</v>
      </c>
      <c r="D233" s="15" t="s">
        <v>39</v>
      </c>
      <c r="E233" s="26" t="s">
        <v>39</v>
      </c>
      <c r="F233" s="15" t="s">
        <v>166</v>
      </c>
      <c r="G233" s="15" t="s">
        <v>149</v>
      </c>
      <c r="H233" s="9" t="s">
        <v>85</v>
      </c>
      <c r="I233" s="15" t="s">
        <v>844</v>
      </c>
      <c r="J233" s="15" t="s">
        <v>64</v>
      </c>
      <c r="K233" s="15" t="s">
        <v>64</v>
      </c>
      <c r="L233" s="93" t="s">
        <v>64</v>
      </c>
      <c r="M233" s="94" t="s">
        <v>548</v>
      </c>
      <c r="N233" s="15" t="s">
        <v>64</v>
      </c>
      <c r="O233" s="26" t="s">
        <v>1233</v>
      </c>
      <c r="P233" s="157" t="s">
        <v>1233</v>
      </c>
      <c r="Q233" s="26" t="s">
        <v>938</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1156</v>
      </c>
      <c r="B234" s="9" t="s">
        <v>1157</v>
      </c>
      <c r="C234" s="9" t="s">
        <v>1155</v>
      </c>
      <c r="D234" s="15" t="s">
        <v>937</v>
      </c>
      <c r="E234" s="26" t="s">
        <v>39</v>
      </c>
      <c r="F234" s="15" t="s">
        <v>27</v>
      </c>
      <c r="G234" s="15" t="s">
        <v>0</v>
      </c>
      <c r="H234" s="9" t="s">
        <v>69</v>
      </c>
      <c r="I234" s="15" t="s">
        <v>0</v>
      </c>
      <c r="J234" s="15" t="s">
        <v>937</v>
      </c>
      <c r="K234" s="15" t="s">
        <v>937</v>
      </c>
      <c r="L234" s="93" t="s">
        <v>937</v>
      </c>
      <c r="M234" s="94" t="s">
        <v>937</v>
      </c>
      <c r="N234" s="15" t="s">
        <v>937</v>
      </c>
      <c r="O234" s="26" t="s">
        <v>1233</v>
      </c>
      <c r="P234" s="157" t="s">
        <v>1233</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I11:I226 L11:L226 N11:N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tabSelected="1"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D12" sqref="D12:D14"/>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933</v>
      </c>
    </row>
    <row r="3" spans="1:13">
      <c r="A3" s="95" t="s">
        <v>934</v>
      </c>
    </row>
    <row r="4" spans="1:13">
      <c r="A4" s="95" t="s">
        <v>935</v>
      </c>
    </row>
    <row r="5" spans="1:13">
      <c r="A5" s="95" t="s">
        <v>930</v>
      </c>
    </row>
    <row r="7" spans="1:13">
      <c r="A7" t="s">
        <v>931</v>
      </c>
    </row>
    <row r="8" spans="1:13">
      <c r="A8" s="95" t="s">
        <v>932</v>
      </c>
    </row>
    <row r="10" spans="1:13">
      <c r="C10" s="5" t="s">
        <v>165</v>
      </c>
      <c r="D10" s="5"/>
      <c r="G10" s="5" t="s">
        <v>41</v>
      </c>
      <c r="H10" s="5"/>
      <c r="I10" s="11" t="s">
        <v>926</v>
      </c>
      <c r="J10" s="11"/>
      <c r="K10" s="11" t="s">
        <v>925</v>
      </c>
      <c r="L10" s="11"/>
      <c r="M10" t="s">
        <v>28</v>
      </c>
    </row>
    <row r="11" spans="1:13" s="4" customFormat="1">
      <c r="A11" s="3" t="s">
        <v>31</v>
      </c>
      <c r="B11" s="3" t="s">
        <v>32</v>
      </c>
      <c r="C11" s="3" t="s">
        <v>167</v>
      </c>
      <c r="D11" s="3" t="s">
        <v>168</v>
      </c>
      <c r="E11" s="3" t="s">
        <v>18</v>
      </c>
      <c r="F11" s="5" t="s">
        <v>44</v>
      </c>
      <c r="G11" s="3" t="s">
        <v>42</v>
      </c>
      <c r="H11" s="3" t="s">
        <v>43</v>
      </c>
      <c r="I11" s="12" t="s">
        <v>1089</v>
      </c>
      <c r="J11" s="12" t="s">
        <v>1090</v>
      </c>
      <c r="K11" s="12" t="s">
        <v>180</v>
      </c>
      <c r="L11" s="12" t="s">
        <v>181</v>
      </c>
      <c r="M11" s="4" t="s">
        <v>28</v>
      </c>
    </row>
    <row r="12" spans="1:13">
      <c r="A12" s="1" t="s">
        <v>1536</v>
      </c>
      <c r="B12" s="1" t="s">
        <v>1</v>
      </c>
      <c r="C12" s="2" t="s">
        <v>149</v>
      </c>
      <c r="D12" s="2" t="s">
        <v>0</v>
      </c>
      <c r="E12" s="2" t="s">
        <v>17</v>
      </c>
      <c r="F12" s="2" t="s">
        <v>0</v>
      </c>
      <c r="G12" s="1" t="s">
        <v>19</v>
      </c>
      <c r="H12" s="1" t="s">
        <v>1530</v>
      </c>
      <c r="I12" s="1" t="e">
        <f ca="1">IF($F12="○","mkdir """&amp;[2]!getdirpath($H12)&amp;"""","")</f>
        <v>#NAME?</v>
      </c>
      <c r="J12" s="1" t="str">
        <f>IF(
  $F12="○",
  IF(
    $E12="file",
    "copy """&amp;$G12&amp;""" """&amp;[2]!getdirpath($H12)&amp;"""",
    "robocopy """&amp;$G12&amp;""" """&amp;H12&amp;""" /MIR /XD ""System Volume Information"""
  ),
  ""
)</f>
        <v>robocopy "C:\codes" "%USERPROFILE%\_repos\codes" /MIR /XD "System Volume Information"</v>
      </c>
      <c r="K12" s="1" t="str">
        <f>IF(F12="○","rename """&amp;G12&amp;""" """&amp;RIGHT(G12,LEN(G12)-FIND("●",SUBSTITUTE(G12,"\","●",LEN(G12)-LEN(SUBSTITUTE(G12,"\","")))))&amp;"_bak""","")</f>
        <v>rename "C:\codes" "codes_bak"</v>
      </c>
      <c r="L12" s="1" t="str">
        <f>IF(
  F12="○",
  "mklink "&amp;IF(
    E12="folder",
    "/d ",
    ""
  )&amp;""""&amp;G12&amp;""" """&amp;H12&amp;"""",
  ""
)</f>
        <v>mklink /d "C:\codes" "%USERPROFILE%\_repos\codes"</v>
      </c>
      <c r="M12" t="s">
        <v>1281</v>
      </c>
    </row>
    <row r="13" spans="1:13">
      <c r="A13" s="1" t="s">
        <v>1536</v>
      </c>
      <c r="B13" s="1" t="s">
        <v>2</v>
      </c>
      <c r="C13" s="2" t="s">
        <v>149</v>
      </c>
      <c r="D13" s="2" t="s">
        <v>0</v>
      </c>
      <c r="E13" s="2" t="s">
        <v>17</v>
      </c>
      <c r="F13" s="2" t="s">
        <v>0</v>
      </c>
      <c r="G13" s="1" t="s">
        <v>1531</v>
      </c>
      <c r="H13" s="1" t="s">
        <v>1532</v>
      </c>
      <c r="I13" s="1" t="e">
        <f ca="1">IF($F13="○","mkdir """&amp;[2]!getdirpath($H13)&amp;"""","")</f>
        <v>#NAME?</v>
      </c>
      <c r="J13" s="1" t="str">
        <f>IF(
  $F13="○",
  IF(
    $E13="file",
    "copy """&amp;$G13&amp;""" """&amp;[2]!getdirpath($H13)&amp;"""",
    "robocopy """&amp;$G13&amp;""" """&amp;H13&amp;""" /MIR /XD ""System Volume Information"""
  ),
  ""
)</f>
        <v>robocopy "C:\other" "%USERPROFILE%\_repos\other" /MIR /XD "System Volume Information"</v>
      </c>
      <c r="K13" s="1" t="str">
        <f>IF(F13="○","rename """&amp;G13&amp;""" """&amp;RIGHT(G13,LEN(G13)-FIND("●",SUBSTITUTE(G13,"\","●",LEN(G13)-LEN(SUBSTITUTE(G13,"\","")))))&amp;"_bak""","")</f>
        <v>rename "C:\other" "other_bak"</v>
      </c>
      <c r="L13" s="1" t="s">
        <v>1538</v>
      </c>
      <c r="M13" t="s">
        <v>1281</v>
      </c>
    </row>
    <row r="14" spans="1:13">
      <c r="A14" s="1" t="s">
        <v>1536</v>
      </c>
      <c r="B14" s="1" t="s">
        <v>1535</v>
      </c>
      <c r="C14" s="2" t="s">
        <v>149</v>
      </c>
      <c r="D14" s="2" t="s">
        <v>0</v>
      </c>
      <c r="E14" s="2" t="s">
        <v>17</v>
      </c>
      <c r="F14" s="2" t="s">
        <v>0</v>
      </c>
      <c r="G14" s="1" t="s">
        <v>1534</v>
      </c>
      <c r="H14" s="1" t="s">
        <v>1533</v>
      </c>
      <c r="I14" s="1" t="e">
        <f ca="1">IF($F14="○","mkdir """&amp;[2]!getdirpath($H14)&amp;"""","")</f>
        <v>#NAME?</v>
      </c>
      <c r="J14" s="1" t="str">
        <f>IF(
  $F14="○",
  IF(
    $E14="file",
    "copy """&amp;$G14&amp;""" """&amp;[2]!getdirpath($H14)&amp;"""",
    "robocopy """&amp;$G14&amp;""" """&amp;H14&amp;""" /MIR /XD ""System Volume Information"""
  ),
  ""
)</f>
        <v>robocopy "C:\github_io" "%USERPROFILE%\_repos\github_io" /MIR /XD "System Volume Information"</v>
      </c>
      <c r="K14" s="1" t="str">
        <f>IF(F14="○","rename """&amp;G14&amp;""" """&amp;RIGHT(G14,LEN(G14)-FIND("●",SUBSTITUTE(G14,"\","●",LEN(G14)-LEN(SUBSTITUTE(G14,"\","")))))&amp;"_bak""","")</f>
        <v>rename "C:\github_io" "github_io_bak"</v>
      </c>
      <c r="L14" s="1" t="s">
        <v>1539</v>
      </c>
      <c r="M14" t="s">
        <v>28</v>
      </c>
    </row>
    <row r="15" spans="1:13">
      <c r="A15" s="1" t="s">
        <v>1537</v>
      </c>
      <c r="B15" s="1" t="s">
        <v>33</v>
      </c>
      <c r="C15" s="2" t="s">
        <v>149</v>
      </c>
      <c r="D15" s="2" t="s">
        <v>166</v>
      </c>
      <c r="E15" s="2" t="s">
        <v>17</v>
      </c>
      <c r="F15" s="2" t="s">
        <v>0</v>
      </c>
      <c r="G15" s="1" t="s">
        <v>23</v>
      </c>
      <c r="H15" s="1" t="s">
        <v>40</v>
      </c>
      <c r="I15" s="1" t="e">
        <f ca="1">IF($F15="○","mkdir """&amp;[2]!getdirpath($H15)&amp;"""","")</f>
        <v>#NAME?</v>
      </c>
      <c r="J15" s="1" t="str">
        <f>IF(
  $F15="○",
  IF(
    $E15="file",
    "copy """&amp;$G15&amp;""" """&amp;[2]!getdirpath($H15)&amp;"""",
    "robocopy """&amp;$G15&amp;""" """&amp;H15&amp;""" /MIR /XD ""System Volume Information"""
  ),
  ""
)</f>
        <v>robocopy "C:\prg_exe" "%USERPROFILE%\_root\38_programs" /MIR /XD "System Volume Information"</v>
      </c>
      <c r="K15" s="1" t="str">
        <f>IF(F15="○","rename """&amp;G15&amp;""" """&amp;RIGHT(G15,LEN(G15)-FIND("●",SUBSTITUTE(G15,"\","●",LEN(G15)-LEN(SUBSTITUTE(G15,"\","")))))&amp;"_bak""","")</f>
        <v>rename "C:\prg_exe" "prg_exe_bak"</v>
      </c>
      <c r="L15" s="1" t="str">
        <f>IF(
  F15="○",
  "mklink "&amp;IF(
    E15="folder",
    "/d ",
    ""
  )&amp;""""&amp;G15&amp;""" """&amp;H15&amp;"""",
  ""
)</f>
        <v>mklink /d "C:\prg_exe" "%USERPROFILE%\_root\38_programs"</v>
      </c>
      <c r="M15" t="s">
        <v>1281</v>
      </c>
    </row>
    <row r="16" spans="1:13">
      <c r="A16" s="1" t="s">
        <v>1136</v>
      </c>
      <c r="B16" s="1" t="s">
        <v>24</v>
      </c>
      <c r="C16" s="2" t="s">
        <v>149</v>
      </c>
      <c r="D16" s="2" t="s">
        <v>166</v>
      </c>
      <c r="E16" s="2" t="s">
        <v>17</v>
      </c>
      <c r="F16" s="2" t="s">
        <v>0</v>
      </c>
      <c r="G16" s="1" t="s">
        <v>21</v>
      </c>
      <c r="H16" s="1" t="s">
        <v>22</v>
      </c>
      <c r="I16" s="1" t="e">
        <f ca="1">IF($F16="○","mkdir """&amp;[2]!getdirpath($H16)&amp;"""","")</f>
        <v>#NAME?</v>
      </c>
      <c r="J16" s="1" t="str">
        <f>IF(
  $F16="○",
  IF(
    $E16="file",
    "copy """&amp;$G16&amp;""" """&amp;[2]!getdirpath($H16)&amp;"""",
    "robocopy """&amp;$G16&amp;""" """&amp;H16&amp;""" /MIR /XD ""System Volume Information"""
  ),
  ""
)</f>
        <v>robocopy "C:\root" "%USERPROFILE%\_root" /MIR /XD "System Volume Information"</v>
      </c>
      <c r="K16" s="1" t="str">
        <f>IF(F16="○","rename """&amp;G16&amp;""" """&amp;RIGHT(G16,LEN(G16)-FIND("●",SUBSTITUTE(G16,"\","●",LEN(G16)-LEN(SUBSTITUTE(G16,"\","")))))&amp;"_bak""","")</f>
        <v>rename "C:\root" "root_bak"</v>
      </c>
      <c r="L16" s="1" t="str">
        <f t="shared" ref="L16:L51" si="0">IF(
  F16="○",
  "mklink "&amp;IF(
    E16="folder",
    "/d ",
    ""
  )&amp;""""&amp;G16&amp;""" """&amp;H16&amp;"""",
  ""
)</f>
        <v>mklink /d "C:\root" "%USERPROFILE%\_root"</v>
      </c>
      <c r="M16" t="s">
        <v>1281</v>
      </c>
    </row>
    <row r="17" spans="1:13">
      <c r="A17" s="6" t="s">
        <v>1137</v>
      </c>
      <c r="B17" s="1" t="s">
        <v>34</v>
      </c>
      <c r="C17" s="2" t="s">
        <v>149</v>
      </c>
      <c r="D17" s="2" t="s">
        <v>149</v>
      </c>
      <c r="E17" s="2" t="s">
        <v>17</v>
      </c>
      <c r="F17" s="2" t="s">
        <v>0</v>
      </c>
      <c r="G17" s="1" t="s">
        <v>15</v>
      </c>
      <c r="H17" s="1" t="s">
        <v>5</v>
      </c>
      <c r="I17" s="1" t="e">
        <f ca="1">IF($F17="○","mkdir """&amp;[2]!getdirpath($H17)&amp;"""","")</f>
        <v>#NAME?</v>
      </c>
      <c r="J17" s="1" t="str">
        <f>IF(
  $F17="○",
  IF(
    $E17="file",
    "copy """&amp;$G17&amp;""" """&amp;[2]!getdirpath($H17)&amp;"""",
    "robocopy """&amp;$G17&amp;""" """&amp;H17&amp;""" /MIR /XD ""System Volume Information"""
  ),
  ""
)</f>
        <v>robocopy "%USERPROFILE%\AppData\Roaming\Microsoft\AddIns" "C:\codes\vba\excel\AddIns" /MIR /XD "System Volume Information"</v>
      </c>
      <c r="K17" s="1" t="str">
        <f t="shared" ref="K17:K66" si="1">IF(F17="○","rename """&amp;G17&amp;""" """&amp;RIGHT(G17,LEN(G17)-FIND("●",SUBSTITUTE(G17,"\","●",LEN(G17)-LEN(SUBSTITUTE(G17,"\","")))))&amp;"_bak""","")</f>
        <v>rename "%USERPROFILE%\AppData\Roaming\Microsoft\AddIns" "AddIns_bak"</v>
      </c>
      <c r="L17" s="1" t="str">
        <f t="shared" si="0"/>
        <v>mklink /d "%USERPROFILE%\AppData\Roaming\Microsoft\AddIns" "C:\codes\vba\excel\AddIns"</v>
      </c>
      <c r="M17" t="s">
        <v>1281</v>
      </c>
    </row>
    <row r="18" spans="1:13">
      <c r="A18" s="6" t="s">
        <v>1137</v>
      </c>
      <c r="B18" s="1" t="s">
        <v>35</v>
      </c>
      <c r="C18" s="2" t="s">
        <v>27</v>
      </c>
      <c r="D18" s="2" t="s">
        <v>27</v>
      </c>
      <c r="E18" s="2" t="s">
        <v>17</v>
      </c>
      <c r="F18" s="2" t="s">
        <v>27</v>
      </c>
      <c r="G18" s="97" t="s">
        <v>950</v>
      </c>
      <c r="H18" s="97" t="s">
        <v>951</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1281</v>
      </c>
    </row>
    <row r="19" spans="1:13">
      <c r="A19" s="6" t="s">
        <v>1137</v>
      </c>
      <c r="B19" s="1" t="s">
        <v>36</v>
      </c>
      <c r="C19" s="2" t="s">
        <v>149</v>
      </c>
      <c r="D19" s="2" t="s">
        <v>149</v>
      </c>
      <c r="E19" s="2" t="s">
        <v>17</v>
      </c>
      <c r="F19" s="2" t="s">
        <v>0</v>
      </c>
      <c r="G19" s="1" t="s">
        <v>26</v>
      </c>
      <c r="H19" s="1" t="s">
        <v>25</v>
      </c>
      <c r="I19" s="1" t="e">
        <f ca="1">IF($F19="○","mkdir """&amp;[2]!getdirpath($H19)&amp;"""","")</f>
        <v>#NAME?</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1281</v>
      </c>
    </row>
    <row r="20" spans="1:13">
      <c r="A20" s="1" t="s">
        <v>157</v>
      </c>
      <c r="B20" s="1" t="s">
        <v>1138</v>
      </c>
      <c r="C20" s="2" t="s">
        <v>149</v>
      </c>
      <c r="D20" s="2" t="s">
        <v>149</v>
      </c>
      <c r="E20" s="2" t="s">
        <v>16</v>
      </c>
      <c r="F20" s="2" t="s">
        <v>0</v>
      </c>
      <c r="G20" s="1" t="s">
        <v>953</v>
      </c>
      <c r="H20" s="1" t="s">
        <v>158</v>
      </c>
      <c r="I20" s="1" t="e">
        <f ca="1">IF($F20="○","mkdir """&amp;[2]!getdirpath($H20)&amp;"""","")</f>
        <v>#NAME?</v>
      </c>
      <c r="J20" s="1" t="e">
        <f ca="1">IF(
  $F20="○",
  IF(
    $E20="file",
    "copy """&amp;$G20&amp;""" """&amp;[2]!getdirpath($H20)&amp;"""",
    "robocopy """&amp;$G20&amp;""" """&amp;H20&amp;""" /MIR /XD ""System Volume Information"""
  ),
  ""
)</f>
        <v>#NAME?</v>
      </c>
      <c r="K20" s="1" t="str">
        <f t="shared" si="1"/>
        <v>rename "%MYDIRPATH_DOCUMENTS%\個人用図形\fav.vssx" "fav.vssx_bak"</v>
      </c>
      <c r="L20" s="1" t="str">
        <f t="shared" si="0"/>
        <v>mklink "%MYDIRPATH_DOCUMENTS%\個人用図形\fav.vssx" "C:\other\template\fav.vssx"</v>
      </c>
      <c r="M20" t="s">
        <v>1281</v>
      </c>
    </row>
    <row r="21" spans="1:13">
      <c r="A21" s="6" t="s">
        <v>879</v>
      </c>
      <c r="B21" s="1" t="s">
        <v>37</v>
      </c>
      <c r="C21" s="2" t="s">
        <v>149</v>
      </c>
      <c r="D21" s="2" t="s">
        <v>149</v>
      </c>
      <c r="E21" s="2" t="s">
        <v>17</v>
      </c>
      <c r="F21" s="2" t="s">
        <v>0</v>
      </c>
      <c r="G21" s="172" t="s">
        <v>148</v>
      </c>
      <c r="H21" s="1" t="s">
        <v>9</v>
      </c>
      <c r="I21" s="1" t="e">
        <f ca="1">IF($F21="○","mkdir """&amp;[2]!getdirpath($H21)&amp;"""","")</f>
        <v>#NAME?</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1281</v>
      </c>
    </row>
    <row r="22" spans="1:13">
      <c r="A22" s="6" t="s">
        <v>879</v>
      </c>
      <c r="B22" s="1" t="s">
        <v>38</v>
      </c>
      <c r="C22" s="2" t="s">
        <v>149</v>
      </c>
      <c r="D22" s="2" t="s">
        <v>149</v>
      </c>
      <c r="E22" s="2" t="s">
        <v>17</v>
      </c>
      <c r="F22" s="2" t="s">
        <v>0</v>
      </c>
      <c r="G22" s="172" t="s">
        <v>884</v>
      </c>
      <c r="H22" s="1" t="s">
        <v>885</v>
      </c>
      <c r="I22" s="1" t="e">
        <f ca="1">IF($F22="○","mkdir """&amp;[2]!getdirpath($H22)&amp;"""","")</f>
        <v>#NAME?</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1281</v>
      </c>
    </row>
    <row r="23" spans="1:13">
      <c r="A23" s="6" t="s">
        <v>879</v>
      </c>
      <c r="B23" s="1" t="s">
        <v>883</v>
      </c>
      <c r="C23" s="2" t="s">
        <v>149</v>
      </c>
      <c r="D23" s="2" t="s">
        <v>149</v>
      </c>
      <c r="E23" s="2" t="s">
        <v>16</v>
      </c>
      <c r="F23" s="2" t="s">
        <v>0</v>
      </c>
      <c r="G23" s="1" t="s">
        <v>12</v>
      </c>
      <c r="H23" s="1" t="s">
        <v>3</v>
      </c>
      <c r="I23" s="1" t="e">
        <f ca="1">IF($F23="○","mkdir """&amp;[2]!getdirpath($H23)&amp;"""","")</f>
        <v>#NAME?</v>
      </c>
      <c r="J23" s="1" t="e">
        <f ca="1">IF(
  $F23="○",
  IF(
    $E23="file",
    "copy """&amp;$G23&amp;""" """&amp;[2]!getdirpath($H23)&amp;"""",
    "robocopy """&amp;$G23&amp;""" """&amp;H23&amp;""" /MIR /XD ""System Volume Information"""
  ),
  ""
)</f>
        <v>#NAME?</v>
      </c>
      <c r="K23" s="1" t="str">
        <f t="shared" si="1"/>
        <v>rename "C:\prg_exe\Vim\_gvimrc" "_gvimrc_bak"</v>
      </c>
      <c r="L23" s="1" t="str">
        <f t="shared" si="0"/>
        <v>mklink "C:\prg_exe\Vim\_gvimrc" "C:\codes\vim\_gvimrc"</v>
      </c>
      <c r="M23" t="s">
        <v>1281</v>
      </c>
    </row>
    <row r="24" spans="1:13">
      <c r="A24" s="6" t="s">
        <v>879</v>
      </c>
      <c r="B24" s="1" t="s">
        <v>882</v>
      </c>
      <c r="C24" s="2" t="s">
        <v>149</v>
      </c>
      <c r="D24" s="2" t="s">
        <v>149</v>
      </c>
      <c r="E24" s="2" t="s">
        <v>16</v>
      </c>
      <c r="F24" s="2" t="s">
        <v>0</v>
      </c>
      <c r="G24" s="1" t="s">
        <v>13</v>
      </c>
      <c r="H24" s="1" t="s">
        <v>4</v>
      </c>
      <c r="I24" s="1" t="e">
        <f ca="1">IF($F24="○","mkdir """&amp;[2]!getdirpath($H24)&amp;"""","")</f>
        <v>#NAME?</v>
      </c>
      <c r="J24" s="1" t="e">
        <f ca="1">IF(
  $F24="○",
  IF(
    $E24="file",
    "copy """&amp;$G24&amp;""" """&amp;[2]!getdirpath($H24)&amp;"""",
    "robocopy """&amp;$G24&amp;""" """&amp;H24&amp;""" /MIR /XD ""System Volume Information"""
  ),
  ""
)</f>
        <v>#NAME?</v>
      </c>
      <c r="K24" s="1" t="str">
        <f t="shared" si="1"/>
        <v>rename "C:\prg_exe\Vim\_vimrc" "_vimrc_bak"</v>
      </c>
      <c r="L24" s="1" t="str">
        <f t="shared" si="0"/>
        <v>mklink "C:\prg_exe\Vim\_vimrc" "C:\codes\vim\_vimrc"</v>
      </c>
      <c r="M24" t="s">
        <v>1281</v>
      </c>
    </row>
    <row r="25" spans="1:13">
      <c r="A25" s="6" t="s">
        <v>879</v>
      </c>
      <c r="B25" s="1" t="s">
        <v>886</v>
      </c>
      <c r="C25" s="2" t="s">
        <v>149</v>
      </c>
      <c r="D25" s="2" t="s">
        <v>149</v>
      </c>
      <c r="E25" s="2" t="s">
        <v>16</v>
      </c>
      <c r="F25" s="2" t="s">
        <v>0</v>
      </c>
      <c r="G25" s="172" t="s">
        <v>898</v>
      </c>
      <c r="H25" s="1" t="s">
        <v>897</v>
      </c>
      <c r="I25" s="1" t="e">
        <f ca="1">IF($F25="○","mkdir """&amp;[2]!getdirpath($H25)&amp;"""","")</f>
        <v>#NAME?</v>
      </c>
      <c r="J25" s="1" t="e">
        <f ca="1">IF(
  $F25="○",
  IF(
    $E25="file",
    "copy """&amp;$G25&amp;""" """&amp;[2]!getdirpath($H25)&amp;"""",
    "robocopy """&amp;$G25&amp;""" """&amp;H25&amp;""" /MIR /XD ""System Volume Information"""
  ),
  ""
)</f>
        <v>#NAME?</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1281</v>
      </c>
    </row>
    <row r="26" spans="1:13">
      <c r="A26" s="6" t="s">
        <v>879</v>
      </c>
      <c r="B26" s="1" t="s">
        <v>887</v>
      </c>
      <c r="C26" s="2" t="s">
        <v>149</v>
      </c>
      <c r="D26" s="2" t="s">
        <v>149</v>
      </c>
      <c r="E26" s="2" t="s">
        <v>16</v>
      </c>
      <c r="F26" s="2" t="s">
        <v>0</v>
      </c>
      <c r="G26" s="172" t="s">
        <v>899</v>
      </c>
      <c r="H26" s="1" t="s">
        <v>6</v>
      </c>
      <c r="I26" s="1" t="e">
        <f ca="1">IF($F26="○","mkdir """&amp;[2]!getdirpath($H26)&amp;"""","")</f>
        <v>#NAME?</v>
      </c>
      <c r="J26" s="1" t="e">
        <f ca="1">IF(
  $F26="○",
  IF(
    $E26="file",
    "copy """&amp;$G26&amp;""" """&amp;[2]!getdirpath($H26)&amp;"""",
    "robocopy """&amp;$G26&amp;""" """&amp;H26&amp;""" /MIR /XD ""System Volume Information"""
  ),
  ""
)</f>
        <v>#NAME?</v>
      </c>
      <c r="K26" s="1" t="str">
        <f t="shared" si="1"/>
        <v>rename "C:\prg_exe\Vim\_plugins_user\FavEx\plugin\favex.vim" "favex.vim_bak"</v>
      </c>
      <c r="L26" s="1" t="str">
        <f t="shared" si="0"/>
        <v>mklink "C:\prg_exe\Vim\_plugins_user\FavEx\plugin\favex.vim" "C:\codes\vim\_plugins_user\FavEx\plugin\favex.vim"</v>
      </c>
      <c r="M26" t="s">
        <v>1281</v>
      </c>
    </row>
    <row r="27" spans="1:13">
      <c r="A27" s="6" t="s">
        <v>879</v>
      </c>
      <c r="B27" s="1" t="s">
        <v>888</v>
      </c>
      <c r="C27" s="2" t="s">
        <v>149</v>
      </c>
      <c r="D27" s="2" t="s">
        <v>149</v>
      </c>
      <c r="E27" s="2" t="s">
        <v>16</v>
      </c>
      <c r="F27" s="2" t="s">
        <v>0</v>
      </c>
      <c r="G27" s="172" t="s">
        <v>14</v>
      </c>
      <c r="H27" s="1" t="s">
        <v>7</v>
      </c>
      <c r="I27" s="1" t="e">
        <f ca="1">IF($F27="○","mkdir """&amp;[2]!getdirpath($H27)&amp;"""","")</f>
        <v>#NAME?</v>
      </c>
      <c r="J27" s="1" t="e">
        <f ca="1">IF(
  $F27="○",
  IF(
    $E27="file",
    "copy """&amp;$G27&amp;""" """&amp;[2]!getdirpath($H27)&amp;"""",
    "robocopy """&amp;$G27&amp;""" """&amp;H27&amp;""" /MIR /XD ""System Volume Information"""
  ),
  ""
)</f>
        <v>#NAME?</v>
      </c>
      <c r="K27" s="1" t="str">
        <f t="shared" si="1"/>
        <v>rename "C:\prg_exe\Vim\_plugins_user\FavEx\favlist" "favlist_bak"</v>
      </c>
      <c r="L27" s="1" t="str">
        <f t="shared" si="0"/>
        <v>mklink "C:\prg_exe\Vim\_plugins_user\FavEx\favlist" "C:\codes\vim\_plugins_user\FavEx\favlist"</v>
      </c>
      <c r="M27" t="s">
        <v>1281</v>
      </c>
    </row>
    <row r="28" spans="1:13">
      <c r="A28" s="6" t="s">
        <v>879</v>
      </c>
      <c r="B28" s="1" t="s">
        <v>1528</v>
      </c>
      <c r="C28" s="2" t="s">
        <v>149</v>
      </c>
      <c r="D28" s="2" t="s">
        <v>149</v>
      </c>
      <c r="E28" s="2" t="s">
        <v>16</v>
      </c>
      <c r="F28" s="2" t="s">
        <v>0</v>
      </c>
      <c r="G28" s="172" t="s">
        <v>900</v>
      </c>
      <c r="H28" s="1" t="s">
        <v>8</v>
      </c>
      <c r="I28" s="1" t="e">
        <f ca="1">IF($F28="○","mkdir """&amp;[2]!getdirpath($H28)&amp;"""","")</f>
        <v>#NAME?</v>
      </c>
      <c r="J28" s="1" t="e">
        <f ca="1">IF(
  $F28="○",
  IF(
    $E28="file",
    "copy """&amp;$G28&amp;""" """&amp;[2]!getdirpath($H28)&amp;"""",
    "robocopy """&amp;$G28&amp;""" """&amp;H28&amp;""" /MIR /XD ""System Volume Information"""
  ),
  ""
)</f>
        <v>#NAME?</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1281</v>
      </c>
    </row>
    <row r="29" spans="1:13">
      <c r="A29" s="6" t="s">
        <v>879</v>
      </c>
      <c r="B29" s="1" t="s">
        <v>889</v>
      </c>
      <c r="C29" s="2" t="s">
        <v>149</v>
      </c>
      <c r="D29" s="2" t="s">
        <v>149</v>
      </c>
      <c r="E29" s="2" t="s">
        <v>16</v>
      </c>
      <c r="F29" s="2" t="s">
        <v>0</v>
      </c>
      <c r="G29" s="172" t="s">
        <v>901</v>
      </c>
      <c r="H29" s="1" t="s">
        <v>10</v>
      </c>
      <c r="I29" s="1" t="e">
        <f ca="1">IF($F29="○","mkdir """&amp;[2]!getdirpath($H29)&amp;"""","")</f>
        <v>#NAME?</v>
      </c>
      <c r="J29" s="1" t="e">
        <f ca="1">IF(
  $F29="○",
  IF(
    $E29="file",
    "copy """&amp;$G29&amp;""" """&amp;[2]!getdirpath($H29)&amp;"""",
    "robocopy """&amp;$G29&amp;""" """&amp;H29&amp;""" /MIR /XD ""System Volume Information"""
  ),
  ""
)</f>
        <v>#NAME?</v>
      </c>
      <c r="K29" s="1" t="str">
        <f t="shared" si="1"/>
        <v>rename "C:\prg_exe\Vim\_plugins_user\mark.vim\plugin\mark.vim" "mark.vim_bak"</v>
      </c>
      <c r="L29" s="1" t="str">
        <f t="shared" si="0"/>
        <v>mklink "C:\prg_exe\Vim\_plugins_user\mark.vim\plugin\mark.vim" "C:\codes\vim\_plugins_user\mark.vim\plugin\mark.vim"</v>
      </c>
      <c r="M29" t="s">
        <v>1281</v>
      </c>
    </row>
    <row r="30" spans="1:13">
      <c r="A30" s="6" t="s">
        <v>879</v>
      </c>
      <c r="B30" s="1" t="s">
        <v>890</v>
      </c>
      <c r="C30" s="2" t="s">
        <v>149</v>
      </c>
      <c r="D30" s="2" t="s">
        <v>149</v>
      </c>
      <c r="E30" s="2" t="s">
        <v>16</v>
      </c>
      <c r="F30" s="2" t="s">
        <v>0</v>
      </c>
      <c r="G30" s="172" t="s">
        <v>902</v>
      </c>
      <c r="H30" s="1" t="s">
        <v>11</v>
      </c>
      <c r="I30" s="1" t="e">
        <f ca="1">IF($F30="○","mkdir """&amp;[2]!getdirpath($H30)&amp;"""","")</f>
        <v>#NAME?</v>
      </c>
      <c r="J30" s="1" t="e">
        <f ca="1">IF(
  $F30="○",
  IF(
    $E30="file",
    "copy """&amp;$G30&amp;""" """&amp;[2]!getdirpath($H30)&amp;"""",
    "robocopy """&amp;$G30&amp;""" """&amp;H30&amp;""" /MIR /XD ""System Volume Information"""
  ),
  ""
)</f>
        <v>#NAME?</v>
      </c>
      <c r="K30" s="1" t="str">
        <f t="shared" si="1"/>
        <v>rename "C:\prg_exe\Vim\_plugins_user\qfixapp\autoload\qfixgrep.vim" "qfixgrep.vim_bak"</v>
      </c>
      <c r="L30" s="1" t="str">
        <f t="shared" si="0"/>
        <v>mklink "C:\prg_exe\Vim\_plugins_user\qfixapp\autoload\qfixgrep.vim" "C:\codes\vim\_plugins_user\qfixapp\autoload\qfixgrep.vim"</v>
      </c>
      <c r="M30" t="s">
        <v>1281</v>
      </c>
    </row>
    <row r="31" spans="1:13">
      <c r="A31" s="6" t="s">
        <v>879</v>
      </c>
      <c r="B31" s="1" t="s">
        <v>880</v>
      </c>
      <c r="C31" s="2" t="s">
        <v>149</v>
      </c>
      <c r="D31" s="2" t="s">
        <v>149</v>
      </c>
      <c r="E31" s="2" t="s">
        <v>16</v>
      </c>
      <c r="F31" s="2" t="s">
        <v>0</v>
      </c>
      <c r="G31" s="172" t="s">
        <v>152</v>
      </c>
      <c r="H31" s="1" t="s">
        <v>153</v>
      </c>
      <c r="I31" s="1" t="e">
        <f ca="1">IF($F31="○","mkdir """&amp;[2]!getdirpath($H31)&amp;"""","")</f>
        <v>#NAME?</v>
      </c>
      <c r="J31" s="1" t="e">
        <f ca="1">IF(
  $F31="○",
  IF(
    $E31="file",
    "copy """&amp;$G31&amp;""" """&amp;[2]!getdirpath($H31)&amp;"""",
    "robocopy """&amp;$G31&amp;""" """&amp;H31&amp;""" /MIR /XD ""System Volume Information"""
  ),
  ""
)</f>
        <v>#NAME?</v>
      </c>
      <c r="K31" s="1" t="str">
        <f t="shared" si="1"/>
        <v>rename "C:\prg_exe\VSCode\data\user-data\User\keybindings.json" "keybindings.json_bak"</v>
      </c>
      <c r="L31" s="1" t="str">
        <f t="shared" si="0"/>
        <v>mklink "C:\prg_exe\VSCode\data\user-data\User\keybindings.json" "C:\codes\vscode\keybindings.json"</v>
      </c>
      <c r="M31" t="s">
        <v>1281</v>
      </c>
    </row>
    <row r="32" spans="1:13">
      <c r="A32" s="6" t="s">
        <v>879</v>
      </c>
      <c r="B32" s="1" t="s">
        <v>881</v>
      </c>
      <c r="C32" s="2" t="s">
        <v>149</v>
      </c>
      <c r="D32" s="2" t="s">
        <v>149</v>
      </c>
      <c r="E32" s="2" t="s">
        <v>16</v>
      </c>
      <c r="F32" s="2" t="s">
        <v>0</v>
      </c>
      <c r="G32" s="172" t="s">
        <v>154</v>
      </c>
      <c r="H32" s="1" t="s">
        <v>155</v>
      </c>
      <c r="I32" s="1" t="e">
        <f ca="1">IF($F32="○","mkdir """&amp;[2]!getdirpath($H32)&amp;"""","")</f>
        <v>#NAME?</v>
      </c>
      <c r="J32" s="1" t="e">
        <f ca="1">IF(
  $F32="○",
  IF(
    $E32="file",
    "copy """&amp;$G32&amp;""" """&amp;[2]!getdirpath($H32)&amp;"""",
    "robocopy """&amp;$G32&amp;""" """&amp;H32&amp;""" /MIR /XD ""System Volume Information"""
  ),
  ""
)</f>
        <v>#NAME?</v>
      </c>
      <c r="K32" s="1" t="str">
        <f t="shared" si="1"/>
        <v>rename "C:\prg_exe\VSCode\data\user-data\User\settings.json" "settings.json_bak"</v>
      </c>
      <c r="L32" s="1" t="str">
        <f t="shared" si="0"/>
        <v>mklink "C:\prg_exe\VSCode\data\user-data\User\settings.json" "C:\codes\vscode\settings.json"</v>
      </c>
      <c r="M32" t="s">
        <v>1281</v>
      </c>
    </row>
    <row r="33" spans="1:13">
      <c r="A33" s="6" t="s">
        <v>879</v>
      </c>
      <c r="B33" s="1" t="s">
        <v>1123</v>
      </c>
      <c r="C33" s="2" t="s">
        <v>149</v>
      </c>
      <c r="D33" s="2" t="s">
        <v>149</v>
      </c>
      <c r="E33" s="2" t="s">
        <v>16</v>
      </c>
      <c r="F33" s="2" t="s">
        <v>0</v>
      </c>
      <c r="G33" s="172" t="s">
        <v>1122</v>
      </c>
      <c r="H33" s="1" t="s">
        <v>1121</v>
      </c>
      <c r="I33" s="1" t="e">
        <f ca="1">IF($F33="○","mkdir """&amp;[2]!getdirpath($H33)&amp;"""","")</f>
        <v>#NAME?</v>
      </c>
      <c r="J33" s="1" t="e">
        <f ca="1">IF(
  $F33="○",
  IF(
    $E33="file",
    "copy """&amp;$G33&amp;""" """&amp;[2]!getdirpath($H33)&amp;"""",
    "robocopy """&amp;$G33&amp;""" """&amp;H33&amp;""" /MIR /XD ""System Volume Information"""
  ),
  ""
)</f>
        <v>#NAME?</v>
      </c>
      <c r="K33" s="1" t="str">
        <f t="shared" ref="K33:K38" si="2">IF(F33="○","rename """&amp;G33&amp;""" """&amp;RIGHT(G33,LEN(G33)-FIND("●",SUBSTITUTE(G33,"\","●",LEN(G33)-LEN(SUBSTITUTE(G33,"\","")))))&amp;"_bak""","")</f>
        <v>rename "C:\prg_exe\VSCode\_update.ps1" "_update.ps1_bak"</v>
      </c>
      <c r="L33" s="1" t="str">
        <f t="shared" ref="L33:L38" si="3">IF(
  F33="○",
  "mklink "&amp;IF(
    E33="folder",
    "/d ",
    ""
  )&amp;""""&amp;G33&amp;""" """&amp;H33&amp;"""",
  ""
)</f>
        <v>mklink "C:\prg_exe\VSCode\_update.ps1" "C:\codes\vscode\update.ps1"</v>
      </c>
      <c r="M33" t="s">
        <v>1281</v>
      </c>
    </row>
    <row r="34" spans="1:13">
      <c r="A34" s="6" t="s">
        <v>879</v>
      </c>
      <c r="B34" s="1" t="s">
        <v>1135</v>
      </c>
      <c r="C34" s="2" t="s">
        <v>0</v>
      </c>
      <c r="D34" s="2" t="s">
        <v>0</v>
      </c>
      <c r="E34" s="2" t="s">
        <v>16</v>
      </c>
      <c r="F34" s="2" t="s">
        <v>0</v>
      </c>
      <c r="G34" s="172" t="s">
        <v>1134</v>
      </c>
      <c r="H34" s="1" t="s">
        <v>1130</v>
      </c>
      <c r="I34" s="1" t="e">
        <f ca="1">IF($F34="○","mkdir """&amp;[2]!getdirpath($H34)&amp;"""","")</f>
        <v>#NAME?</v>
      </c>
      <c r="J34" s="1" t="e">
        <f ca="1">IF(
  $F34="○",
  IF(
    $E34="file",
    "copy """&amp;$G34&amp;""" """&amp;[2]!getdirpath($H34)&amp;"""",
    "robocopy """&amp;$G34&amp;""" """&amp;H34&amp;""" /MIR /XD ""System Volume Information"""
  ),
  ""
)</f>
        <v>#NAME?</v>
      </c>
      <c r="K34" s="1" t="str">
        <f t="shared" si="2"/>
        <v>rename "C:\prg_exe\X-Finder\MergeToIniFromTabbak.vbs" "MergeToIniFromTabbak.vbs_bak"</v>
      </c>
      <c r="L34" s="1" t="str">
        <f t="shared" si="3"/>
        <v>mklink "C:\prg_exe\X-Finder\MergeToIniFromTabbak.vbs" "C:\codes\vbs\tools\x-finder\MergeToIniFromTabbak.vbs"</v>
      </c>
      <c r="M34" t="s">
        <v>1281</v>
      </c>
    </row>
    <row r="35" spans="1:13">
      <c r="A35" s="6" t="s">
        <v>879</v>
      </c>
      <c r="B35" s="1" t="s">
        <v>1133</v>
      </c>
      <c r="C35" s="2" t="s">
        <v>0</v>
      </c>
      <c r="D35" s="2" t="s">
        <v>0</v>
      </c>
      <c r="E35" s="2" t="s">
        <v>16</v>
      </c>
      <c r="F35" s="2" t="s">
        <v>0</v>
      </c>
      <c r="G35" s="172" t="s">
        <v>1132</v>
      </c>
      <c r="H35" s="1" t="s">
        <v>1131</v>
      </c>
      <c r="I35" s="1" t="e">
        <f ca="1">IF($F35="○","mkdir """&amp;[2]!getdirpath($H35)&amp;"""","")</f>
        <v>#NAME?</v>
      </c>
      <c r="J35" s="1" t="e">
        <f ca="1">IF(
  $F35="○",
  IF(
    $E35="file",
    "copy """&amp;$G35&amp;""" """&amp;[2]!getdirpath($H35)&amp;"""",
    "robocopy """&amp;$G35&amp;""" """&amp;H35&amp;""" /MIR /XD ""System Volume Information"""
  ),
  ""
)</f>
        <v>#NAME?</v>
      </c>
      <c r="K35" s="1" t="str">
        <f t="shared" si="2"/>
        <v>rename "C:\prg_exe\X-Finder\BackupIniToTabbak.bat" "BackupIniToTabbak.bat_bak"</v>
      </c>
      <c r="L35" s="1" t="str">
        <f t="shared" si="3"/>
        <v>mklink "C:\prg_exe\X-Finder\BackupIniToTabbak.bat" "C:\codes\bat\tools\x-finder\BackupIniToTabbak.bat"</v>
      </c>
      <c r="M35" t="s">
        <v>1281</v>
      </c>
    </row>
    <row r="36" spans="1:13">
      <c r="A36" s="6" t="s">
        <v>879</v>
      </c>
      <c r="B36" s="1" t="s">
        <v>878</v>
      </c>
      <c r="C36" s="2" t="s">
        <v>149</v>
      </c>
      <c r="D36" s="2" t="s">
        <v>149</v>
      </c>
      <c r="E36" s="2" t="s">
        <v>16</v>
      </c>
      <c r="F36" s="2" t="s">
        <v>0</v>
      </c>
      <c r="G36" s="1" t="s">
        <v>1117</v>
      </c>
      <c r="H36" s="1" t="s">
        <v>147</v>
      </c>
      <c r="I36" s="1" t="e">
        <f ca="1">IF($F36="○","mkdir """&amp;[2]!getdirpath($H36)&amp;"""","")</f>
        <v>#NAME?</v>
      </c>
      <c r="J36" s="1" t="e">
        <f ca="1">IF(
  $F36="○",
  IF(
    $E36="file",
    "copy """&amp;$G36&amp;""" """&amp;[2]!getdirpath($H36)&amp;"""",
    "robocopy """&amp;$G36&amp;""" """&amp;H36&amp;""" /MIR /XD ""System Volume Information"""
  ),
  ""
)</f>
        <v>#NAME?</v>
      </c>
      <c r="K36" s="1" t="str">
        <f t="shared" si="2"/>
        <v>rename "C:\prg_exe\WindowsTerminal\settings\settings.json" "settings.json_bak"</v>
      </c>
      <c r="L36" s="1" t="str">
        <f t="shared" si="3"/>
        <v>mklink "C:\prg_exe\WindowsTerminal\settings\settings.json" "C:\codes\winterm\settings.json"</v>
      </c>
      <c r="M36" t="s">
        <v>1281</v>
      </c>
    </row>
    <row r="37" spans="1:13">
      <c r="A37" s="6" t="s">
        <v>879</v>
      </c>
      <c r="B37" s="1" t="s">
        <v>1144</v>
      </c>
      <c r="C37" s="2" t="s">
        <v>314</v>
      </c>
      <c r="D37" s="2" t="s">
        <v>315</v>
      </c>
      <c r="E37" s="2" t="s">
        <v>16</v>
      </c>
      <c r="F37" s="2" t="s">
        <v>0</v>
      </c>
      <c r="G37" s="6" t="s">
        <v>871</v>
      </c>
      <c r="H37" s="6" t="s">
        <v>1146</v>
      </c>
      <c r="I37" s="1" t="e">
        <f ca="1">IF($F37="○","mkdir """&amp;[2]!getdirpath($H37)&amp;"""","")</f>
        <v>#NAME?</v>
      </c>
      <c r="J37" s="1" t="e">
        <f ca="1">IF(
  $F37="○",
  IF(
    $E37="file",
    "copy """&amp;$G37&amp;""" """&amp;[2]!getdirpath($H37)&amp;"""",
    "robocopy """&amp;$G37&amp;""" """&amp;H37&amp;""" /MIR /XD ""System Volume Information"""
  ),
  ""
)</f>
        <v>#NAME?</v>
      </c>
      <c r="K37" s="1" t="str">
        <f t="shared" si="2"/>
        <v>rename "C:\prg\Git\etc\gitconfig" "gitconfig_bak"</v>
      </c>
      <c r="L37" s="1" t="str">
        <f t="shared" si="3"/>
        <v>mklink "C:\prg\Git\etc\gitconfig" "C:\codes\git\setting_alluser\gitconfig"</v>
      </c>
      <c r="M37" t="s">
        <v>1281</v>
      </c>
    </row>
    <row r="38" spans="1:13">
      <c r="A38" s="6" t="s">
        <v>879</v>
      </c>
      <c r="B38" s="1" t="s">
        <v>1143</v>
      </c>
      <c r="C38" s="2" t="s">
        <v>314</v>
      </c>
      <c r="D38" s="2" t="s">
        <v>315</v>
      </c>
      <c r="E38" s="2" t="s">
        <v>16</v>
      </c>
      <c r="F38" s="2" t="s">
        <v>0</v>
      </c>
      <c r="G38" s="1" t="s">
        <v>873</v>
      </c>
      <c r="H38" s="1" t="s">
        <v>1145</v>
      </c>
      <c r="I38" s="1" t="e">
        <f ca="1">IF($F38="○","mkdir """&amp;[2]!getdirpath($H38)&amp;"""","")</f>
        <v>#NAME?</v>
      </c>
      <c r="J38" s="1" t="e">
        <f ca="1">IF(
  $F38="○",
  IF(
    $E38="file",
    "copy """&amp;$G38&amp;""" """&amp;[2]!getdirpath($H38)&amp;"""",
    "robocopy """&amp;$G38&amp;""" """&amp;H38&amp;""" /MIR /XD ""System Volume Information"""
  ),
  ""
)</f>
        <v>#NAME?</v>
      </c>
      <c r="K38" s="1" t="str">
        <f t="shared" si="2"/>
        <v>rename "%USERPROFILE%\.gitconfig" ".gitconfig_bak"</v>
      </c>
      <c r="L38" s="1" t="str">
        <f t="shared" si="3"/>
        <v>mklink "%USERPROFILE%\.gitconfig" "C:\codes\git\setting_myuser\.gitconfig"</v>
      </c>
      <c r="M38" t="s">
        <v>1281</v>
      </c>
    </row>
    <row r="39" spans="1:13">
      <c r="A39" s="6" t="s">
        <v>879</v>
      </c>
      <c r="B39" s="1" t="s">
        <v>1447</v>
      </c>
      <c r="C39" s="2" t="s">
        <v>149</v>
      </c>
      <c r="D39" s="2" t="s">
        <v>149</v>
      </c>
      <c r="E39" s="2" t="s">
        <v>16</v>
      </c>
      <c r="F39" s="2" t="s">
        <v>0</v>
      </c>
      <c r="G39" s="1" t="s">
        <v>1503</v>
      </c>
      <c r="H39" s="1" t="s">
        <v>1446</v>
      </c>
      <c r="I39" s="1" t="e">
        <f ca="1">IF($F39="○","mkdir """&amp;[2]!getdirpath($H39)&amp;"""","")</f>
        <v>#NAME?</v>
      </c>
      <c r="J39" s="1" t="e">
        <f ca="1">IF(
  $F39="○",
  IF(
    $E39="file",
    "copy """&amp;$G39&amp;""" """&amp;[2]!getdirpath($H39)&amp;"""",
    "robocopy """&amp;$G39&amp;""" """&amp;H39&amp;""" /MIR /XD ""System Volume Information"""
  ),
  ""
)</f>
        <v>#NAME?</v>
      </c>
      <c r="K39" s="1" t="str">
        <f t="shared" ref="K39" si="4">IF(F39="○","rename """&amp;G39&amp;""" """&amp;RIGHT(G39,LEN(G39)-FIND("●",SUBSTITUTE(G39,"\","●",LEN(G39)-LEN(SUBSTITUTE(G39,"\","")))))&amp;"_bak""","")</f>
        <v>rename "%USERPROFILE%\.config\wezterm\wezterm.lua" "wezterm.lua_bak"</v>
      </c>
      <c r="L39" s="1" t="str">
        <f t="shared" ref="L39" si="5">IF(
  F39="○",
  "mklink "&amp;IF(
    E39="folder",
    "/d ",
    ""
  )&amp;""""&amp;G39&amp;""" """&amp;H39&amp;"""",
  ""
)</f>
        <v>mklink "%USERPROFILE%\.config\wezterm\wezterm.lua" "C:\codes\wezterm\wezterm.lua"</v>
      </c>
      <c r="M39" t="s">
        <v>1281</v>
      </c>
    </row>
    <row r="40" spans="1:13">
      <c r="A40" s="1" t="s">
        <v>877</v>
      </c>
      <c r="B40" s="1" t="s">
        <v>80</v>
      </c>
      <c r="C40" s="2" t="s">
        <v>314</v>
      </c>
      <c r="D40" s="2" t="s">
        <v>315</v>
      </c>
      <c r="E40" s="2" t="s">
        <v>17</v>
      </c>
      <c r="F40" s="2" t="s">
        <v>0</v>
      </c>
      <c r="G40" s="1" t="s">
        <v>1402</v>
      </c>
      <c r="H40" s="1" t="s">
        <v>1064</v>
      </c>
      <c r="I40" s="1" t="e">
        <f ca="1">IF($F40="○","mkdir """&amp;[2]!getdirpath($H40)&amp;"""","")</f>
        <v>#NAME?</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1281</v>
      </c>
    </row>
    <row r="41" spans="1:13">
      <c r="A41" s="1" t="s">
        <v>877</v>
      </c>
      <c r="B41" s="1" t="s">
        <v>81</v>
      </c>
      <c r="C41" s="2" t="s">
        <v>314</v>
      </c>
      <c r="D41" s="2" t="s">
        <v>315</v>
      </c>
      <c r="E41" s="2" t="s">
        <v>17</v>
      </c>
      <c r="F41" s="2" t="s">
        <v>0</v>
      </c>
      <c r="G41" s="1" t="s">
        <v>903</v>
      </c>
      <c r="H41" s="1" t="s">
        <v>1065</v>
      </c>
      <c r="I41" s="1" t="e">
        <f ca="1">IF($F41="○","mkdir """&amp;[2]!getdirpath($H41)&amp;"""","")</f>
        <v>#NAME?</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1281</v>
      </c>
    </row>
    <row r="42" spans="1:13">
      <c r="A42" s="1" t="s">
        <v>877</v>
      </c>
      <c r="B42" s="1" t="s">
        <v>76</v>
      </c>
      <c r="C42" s="2" t="s">
        <v>314</v>
      </c>
      <c r="D42" s="2" t="s">
        <v>315</v>
      </c>
      <c r="E42" s="2" t="s">
        <v>17</v>
      </c>
      <c r="F42" s="2" t="s">
        <v>0</v>
      </c>
      <c r="G42" s="1" t="s">
        <v>875</v>
      </c>
      <c r="H42" s="1" t="s">
        <v>1066</v>
      </c>
      <c r="I42" s="1" t="e">
        <f ca="1">IF($F42="○","mkdir """&amp;[2]!getdirpath($H42)&amp;"""","")</f>
        <v>#NAME?</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1281</v>
      </c>
    </row>
    <row r="43" spans="1:13">
      <c r="A43" s="1" t="s">
        <v>877</v>
      </c>
      <c r="B43" s="1" t="s">
        <v>74</v>
      </c>
      <c r="C43" s="2" t="s">
        <v>314</v>
      </c>
      <c r="D43" s="2" t="s">
        <v>315</v>
      </c>
      <c r="E43" s="2" t="s">
        <v>17</v>
      </c>
      <c r="F43" s="2" t="s">
        <v>0</v>
      </c>
      <c r="G43" s="1" t="s">
        <v>904</v>
      </c>
      <c r="H43" s="1" t="s">
        <v>1067</v>
      </c>
      <c r="I43" s="1" t="e">
        <f ca="1">IF($F43="○","mkdir """&amp;[2]!getdirpath($H43)&amp;"""","")</f>
        <v>#NAME?</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1281</v>
      </c>
    </row>
    <row r="44" spans="1:13">
      <c r="A44" s="1" t="s">
        <v>877</v>
      </c>
      <c r="B44" s="1" t="s">
        <v>462</v>
      </c>
      <c r="C44" s="2" t="s">
        <v>314</v>
      </c>
      <c r="D44" s="2" t="s">
        <v>315</v>
      </c>
      <c r="E44" s="2" t="s">
        <v>17</v>
      </c>
      <c r="F44" s="2" t="s">
        <v>0</v>
      </c>
      <c r="G44" s="1" t="s">
        <v>1250</v>
      </c>
      <c r="H44" s="1" t="s">
        <v>1068</v>
      </c>
      <c r="I44" s="1" t="e">
        <f ca="1">IF($F44="○","mkdir """&amp;[2]!getdirpath($H44)&amp;"""","")</f>
        <v>#NAME?</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1281</v>
      </c>
    </row>
    <row r="45" spans="1:13">
      <c r="A45" s="1" t="s">
        <v>877</v>
      </c>
      <c r="B45" s="1" t="s">
        <v>86</v>
      </c>
      <c r="C45" s="2" t="s">
        <v>314</v>
      </c>
      <c r="D45" s="2" t="s">
        <v>315</v>
      </c>
      <c r="E45" s="2" t="s">
        <v>17</v>
      </c>
      <c r="F45" s="2" t="s">
        <v>27</v>
      </c>
      <c r="G45" s="97" t="s">
        <v>1251</v>
      </c>
      <c r="H45" s="97" t="s">
        <v>1252</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1281</v>
      </c>
    </row>
    <row r="46" spans="1:13">
      <c r="A46" s="1" t="s">
        <v>877</v>
      </c>
      <c r="B46" s="1" t="s">
        <v>70</v>
      </c>
      <c r="C46" s="2" t="s">
        <v>314</v>
      </c>
      <c r="D46" s="2" t="s">
        <v>315</v>
      </c>
      <c r="E46" s="2" t="s">
        <v>17</v>
      </c>
      <c r="F46" s="2" t="s">
        <v>0</v>
      </c>
      <c r="G46" s="1" t="s">
        <v>869</v>
      </c>
      <c r="H46" s="1" t="s">
        <v>1069</v>
      </c>
      <c r="I46" s="1" t="e">
        <f ca="1">IF($F46="○","mkdir """&amp;[2]!getdirpath($H46)&amp;"""","")</f>
        <v>#NAME?</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1281</v>
      </c>
    </row>
    <row r="47" spans="1:13">
      <c r="A47" s="1" t="s">
        <v>877</v>
      </c>
      <c r="B47" s="1" t="s">
        <v>464</v>
      </c>
      <c r="C47" s="2" t="s">
        <v>314</v>
      </c>
      <c r="D47" s="2" t="s">
        <v>315</v>
      </c>
      <c r="E47" s="2" t="s">
        <v>17</v>
      </c>
      <c r="F47" s="2" t="s">
        <v>0</v>
      </c>
      <c r="G47" s="1" t="s">
        <v>1479</v>
      </c>
      <c r="H47" s="1" t="s">
        <v>1070</v>
      </c>
      <c r="I47" s="1" t="e">
        <f ca="1">IF($F47="○","mkdir """&amp;[2]!getdirpath($H47)&amp;"""","")</f>
        <v>#NAME?</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1281</v>
      </c>
    </row>
    <row r="48" spans="1:13">
      <c r="A48" s="1" t="s">
        <v>877</v>
      </c>
      <c r="B48" s="1" t="s">
        <v>49</v>
      </c>
      <c r="C48" s="2" t="s">
        <v>314</v>
      </c>
      <c r="D48" s="2" t="s">
        <v>315</v>
      </c>
      <c r="E48" s="2" t="s">
        <v>17</v>
      </c>
      <c r="F48" s="2" t="s">
        <v>0</v>
      </c>
      <c r="G48" s="1" t="s">
        <v>892</v>
      </c>
      <c r="H48" s="1" t="s">
        <v>1071</v>
      </c>
      <c r="I48" s="1" t="e">
        <f ca="1">IF($F48="○","mkdir """&amp;[2]!getdirpath($H48)&amp;"""","")</f>
        <v>#NAME?</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1281</v>
      </c>
    </row>
    <row r="49" spans="1:13">
      <c r="A49" s="1" t="s">
        <v>877</v>
      </c>
      <c r="B49" s="1" t="s">
        <v>53</v>
      </c>
      <c r="C49" s="2" t="s">
        <v>314</v>
      </c>
      <c r="D49" s="2" t="s">
        <v>315</v>
      </c>
      <c r="E49" s="2" t="s">
        <v>17</v>
      </c>
      <c r="F49" s="2" t="s">
        <v>0</v>
      </c>
      <c r="G49" s="1" t="s">
        <v>870</v>
      </c>
      <c r="H49" s="1" t="s">
        <v>1072</v>
      </c>
      <c r="I49" s="1" t="e">
        <f ca="1">IF($F49="○","mkdir """&amp;[2]!getdirpath($H49)&amp;"""","")</f>
        <v>#NAME?</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1281</v>
      </c>
    </row>
    <row r="50" spans="1:13">
      <c r="A50" s="1" t="s">
        <v>877</v>
      </c>
      <c r="B50" s="1" t="s">
        <v>948</v>
      </c>
      <c r="C50" s="2" t="s">
        <v>0</v>
      </c>
      <c r="D50" s="2" t="s">
        <v>0</v>
      </c>
      <c r="E50" s="2" t="s">
        <v>17</v>
      </c>
      <c r="F50" s="2" t="s">
        <v>0</v>
      </c>
      <c r="G50" s="1" t="s">
        <v>945</v>
      </c>
      <c r="H50" s="1" t="s">
        <v>1140</v>
      </c>
      <c r="I50" s="1" t="e">
        <f ca="1">IF($F50="○","mkdir """&amp;[2]!getdirpath($H50)&amp;"""","")</f>
        <v>#NAME?</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1281</v>
      </c>
    </row>
    <row r="51" spans="1:13">
      <c r="A51" s="1" t="s">
        <v>877</v>
      </c>
      <c r="B51" s="1" t="s">
        <v>463</v>
      </c>
      <c r="C51" s="2" t="s">
        <v>314</v>
      </c>
      <c r="D51" s="2" t="s">
        <v>315</v>
      </c>
      <c r="E51" s="2" t="s">
        <v>17</v>
      </c>
      <c r="F51" s="2" t="s">
        <v>0</v>
      </c>
      <c r="G51" s="1" t="s">
        <v>1403</v>
      </c>
      <c r="H51" s="1" t="s">
        <v>1073</v>
      </c>
      <c r="I51" s="1" t="e">
        <f ca="1">IF($F51="○","mkdir """&amp;[2]!getdirpath($H51)&amp;"""","")</f>
        <v>#NAME?</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1281</v>
      </c>
    </row>
    <row r="52" spans="1:13">
      <c r="A52" s="1" t="s">
        <v>877</v>
      </c>
      <c r="B52" s="1" t="s">
        <v>876</v>
      </c>
      <c r="C52" s="2" t="s">
        <v>314</v>
      </c>
      <c r="D52" s="2" t="s">
        <v>315</v>
      </c>
      <c r="E52" s="2" t="s">
        <v>17</v>
      </c>
      <c r="F52" s="2" t="s">
        <v>0</v>
      </c>
      <c r="G52" s="1" t="s">
        <v>872</v>
      </c>
      <c r="H52" s="1" t="s">
        <v>1074</v>
      </c>
      <c r="I52" s="1" t="e">
        <f ca="1">IF($F52="○","mkdir """&amp;[2]!getdirpath($H52)&amp;"""","")</f>
        <v>#NAME?</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6">IF(
  F52="○",
  "mklink "&amp;IF(
    E52="folder",
    "/d ",
    ""
  )&amp;""""&amp;G52&amp;""" """&amp;H52&amp;"""",
  ""
)</f>
        <v>mklink /d "%USERPROFILE%\Music\_Serato_Backup" "G:\マイドライブ\100_programs\120_setting\Serato\_Serato_Backup"</v>
      </c>
      <c r="M52" t="s">
        <v>1281</v>
      </c>
    </row>
    <row r="53" spans="1:13">
      <c r="A53" s="1" t="s">
        <v>877</v>
      </c>
      <c r="B53" s="1" t="s">
        <v>947</v>
      </c>
      <c r="C53" s="2" t="s">
        <v>0</v>
      </c>
      <c r="D53" s="2" t="s">
        <v>0</v>
      </c>
      <c r="E53" s="2" t="s">
        <v>17</v>
      </c>
      <c r="F53" s="2" t="s">
        <v>27</v>
      </c>
      <c r="G53" s="97" t="s">
        <v>946</v>
      </c>
      <c r="H53" s="97" t="s">
        <v>1081</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1281</v>
      </c>
    </row>
    <row r="54" spans="1:13">
      <c r="A54" s="1" t="s">
        <v>877</v>
      </c>
      <c r="B54" s="1" t="s">
        <v>947</v>
      </c>
      <c r="C54" s="2" t="s">
        <v>0</v>
      </c>
      <c r="D54" s="2" t="s">
        <v>0</v>
      </c>
      <c r="E54" s="2" t="s">
        <v>16</v>
      </c>
      <c r="F54" s="2" t="s">
        <v>27</v>
      </c>
      <c r="G54" s="97" t="s">
        <v>1149</v>
      </c>
      <c r="H54" s="97" t="s">
        <v>1150</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1281</v>
      </c>
    </row>
    <row r="55" spans="1:13">
      <c r="A55" s="1" t="s">
        <v>877</v>
      </c>
      <c r="B55" s="1" t="s">
        <v>1139</v>
      </c>
      <c r="C55" s="2" t="s">
        <v>0</v>
      </c>
      <c r="D55" s="2" t="s">
        <v>315</v>
      </c>
      <c r="E55" s="2" t="s">
        <v>16</v>
      </c>
      <c r="F55" s="2" t="s">
        <v>0</v>
      </c>
      <c r="G55" s="1" t="s">
        <v>1141</v>
      </c>
      <c r="H55" s="1" t="s">
        <v>1142</v>
      </c>
      <c r="I55" s="1" t="e">
        <f ca="1">IF($F55="○","mkdir """&amp;[2]!getdirpath($H55)&amp;"""","")</f>
        <v>#NAME?</v>
      </c>
      <c r="J55" s="1" t="e">
        <f ca="1">IF(
  $F55="○",
  IF(
    $E55="file",
    "copy """&amp;$G55&amp;""" """&amp;[2]!getdirpath($H55)&amp;"""",
    "robocopy """&amp;$G55&amp;""" """&amp;H55&amp;""" /MIR /XD ""System Volume Information"""
  ),
  ""
)</f>
        <v>#NAME?</v>
      </c>
      <c r="K55" s="1" t="str">
        <f t="shared" ref="K55" si="7">IF(F55="○","rename """&amp;G55&amp;""" """&amp;RIGHT(G55,LEN(G55)-FIND("●",SUBSTITUTE(G55,"\","●",LEN(G55)-LEN(SUBSTITUTE(G55,"\","")))))&amp;"_bak""","")</f>
        <v>rename "C:\prg_exe\X-Finder\XF.ini" "XF.ini_bak"</v>
      </c>
      <c r="L55" s="1" t="str">
        <f t="shared" ref="L55" si="8">IF(
  F55="○",
  "mklink "&amp;IF(
    E55="folder",
    "/d ",
    ""
  )&amp;""""&amp;G55&amp;""" """&amp;H55&amp;"""",
  ""
)</f>
        <v>mklink "C:\prg_exe\X-Finder\XF.ini" "G:\マイドライブ\100_programs\120_setting\X-Finder\XF.ini"</v>
      </c>
      <c r="M55" t="s">
        <v>1281</v>
      </c>
    </row>
    <row r="56" spans="1:13">
      <c r="A56" s="1" t="s">
        <v>877</v>
      </c>
      <c r="B56" s="1" t="s">
        <v>909</v>
      </c>
      <c r="C56" s="2" t="s">
        <v>314</v>
      </c>
      <c r="D56" s="2" t="s">
        <v>315</v>
      </c>
      <c r="E56" s="2" t="s">
        <v>17</v>
      </c>
      <c r="F56" s="2" t="s">
        <v>0</v>
      </c>
      <c r="G56" s="1" t="s">
        <v>1404</v>
      </c>
      <c r="H56" s="1" t="s">
        <v>1075</v>
      </c>
      <c r="I56" s="1" t="e">
        <f ca="1">IF($F56="○","mkdir """&amp;[2]!getdirpath($H56)&amp;"""","")</f>
        <v>#NAME?</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6"/>
        <v>mklink /d "%USERPROFILE%\Music\iTunes\Previous iTunes Libraries" "G:\マイドライブ\100_programs\120_setting\iTunes\Previous iTunes Libraries"</v>
      </c>
      <c r="M56" t="s">
        <v>1281</v>
      </c>
    </row>
    <row r="57" spans="1:13">
      <c r="A57" s="1" t="s">
        <v>877</v>
      </c>
      <c r="B57" s="1" t="s">
        <v>910</v>
      </c>
      <c r="C57" s="2" t="s">
        <v>314</v>
      </c>
      <c r="D57" s="2" t="s">
        <v>315</v>
      </c>
      <c r="E57" s="2" t="s">
        <v>16</v>
      </c>
      <c r="F57" s="2" t="s">
        <v>0</v>
      </c>
      <c r="G57" s="1" t="s">
        <v>906</v>
      </c>
      <c r="H57" s="1" t="s">
        <v>1076</v>
      </c>
      <c r="I57" s="1" t="e">
        <f ca="1">IF($F57="○","mkdir """&amp;[2]!getdirpath($H57)&amp;"""","")</f>
        <v>#NAME?</v>
      </c>
      <c r="J57" s="1" t="e">
        <f ca="1">IF(
  $F57="○",
  IF(
    $E57="file",
    "copy """&amp;$G57&amp;""" """&amp;[2]!getdirpath($H57)&amp;"""",
    "robocopy """&amp;$G57&amp;""" """&amp;H57&amp;""" /MIR /XD ""System Volume Information"""
  ),
  ""
)</f>
        <v>#NAME?</v>
      </c>
      <c r="K57" s="1" t="str">
        <f t="shared" si="1"/>
        <v>rename "%USERPROFILE%\Music\iTunes\iTunes Library Extras.itdb" "iTunes Library Extras.itdb_bak"</v>
      </c>
      <c r="L57" s="1" t="str">
        <f t="shared" si="6"/>
        <v>mklink "%USERPROFILE%\Music\iTunes\iTunes Library Extras.itdb" "G:\マイドライブ\100_programs\120_setting\iTunes\iTunes Library Extras.itdb"</v>
      </c>
      <c r="M57" t="s">
        <v>1281</v>
      </c>
    </row>
    <row r="58" spans="1:13">
      <c r="A58" s="1" t="s">
        <v>877</v>
      </c>
      <c r="B58" s="1" t="s">
        <v>911</v>
      </c>
      <c r="C58" s="2" t="s">
        <v>314</v>
      </c>
      <c r="D58" s="2" t="s">
        <v>315</v>
      </c>
      <c r="E58" s="2" t="s">
        <v>16</v>
      </c>
      <c r="F58" s="2" t="s">
        <v>0</v>
      </c>
      <c r="G58" s="1" t="s">
        <v>907</v>
      </c>
      <c r="H58" s="1" t="s">
        <v>1077</v>
      </c>
      <c r="I58" s="1" t="e">
        <f ca="1">IF($F58="○","mkdir """&amp;[2]!getdirpath($H58)&amp;"""","")</f>
        <v>#NAME?</v>
      </c>
      <c r="J58" s="1" t="e">
        <f ca="1">IF(
  $F58="○",
  IF(
    $E58="file",
    "copy """&amp;$G58&amp;""" """&amp;[2]!getdirpath($H58)&amp;"""",
    "robocopy """&amp;$G58&amp;""" """&amp;H58&amp;""" /MIR /XD ""System Volume Information"""
  ),
  ""
)</f>
        <v>#NAME?</v>
      </c>
      <c r="K58" s="1" t="str">
        <f t="shared" si="1"/>
        <v>rename "%USERPROFILE%\Music\iTunes\iTunes Library Genius.itdb" "iTunes Library Genius.itdb_bak"</v>
      </c>
      <c r="L58" s="1" t="str">
        <f t="shared" si="6"/>
        <v>mklink "%USERPROFILE%\Music\iTunes\iTunes Library Genius.itdb" "G:\マイドライブ\100_programs\120_setting\iTunes\iTunes Library Genius.itdb"</v>
      </c>
      <c r="M58" t="s">
        <v>1281</v>
      </c>
    </row>
    <row r="59" spans="1:13">
      <c r="A59" s="1" t="s">
        <v>877</v>
      </c>
      <c r="B59" s="1" t="s">
        <v>912</v>
      </c>
      <c r="C59" s="2" t="s">
        <v>314</v>
      </c>
      <c r="D59" s="2" t="s">
        <v>315</v>
      </c>
      <c r="E59" s="2" t="s">
        <v>16</v>
      </c>
      <c r="F59" s="2" t="s">
        <v>0</v>
      </c>
      <c r="G59" s="1" t="s">
        <v>908</v>
      </c>
      <c r="H59" s="1" t="s">
        <v>1078</v>
      </c>
      <c r="I59" s="1" t="e">
        <f ca="1">IF($F59="○","mkdir """&amp;[2]!getdirpath($H59)&amp;"""","")</f>
        <v>#NAME?</v>
      </c>
      <c r="J59" s="1" t="e">
        <f ca="1">IF(
  $F59="○",
  IF(
    $E59="file",
    "copy """&amp;$G59&amp;""" """&amp;[2]!getdirpath($H59)&amp;"""",
    "robocopy """&amp;$G59&amp;""" """&amp;H59&amp;""" /MIR /XD ""System Volume Information"""
  ),
  ""
)</f>
        <v>#NAME?</v>
      </c>
      <c r="K59" s="1" t="str">
        <f t="shared" si="1"/>
        <v>rename "%USERPROFILE%\Music\iTunes\iTunes Library.itl" "iTunes Library.itl_bak"</v>
      </c>
      <c r="L59" s="1" t="str">
        <f t="shared" si="6"/>
        <v>mklink "%USERPROFILE%\Music\iTunes\iTunes Library.itl" "G:\マイドライブ\100_programs\120_setting\iTunes\iTunes Library.itl"</v>
      </c>
      <c r="M59" t="s">
        <v>1281</v>
      </c>
    </row>
    <row r="60" spans="1:13">
      <c r="A60" s="1" t="s">
        <v>877</v>
      </c>
      <c r="B60" s="1" t="s">
        <v>913</v>
      </c>
      <c r="C60" s="2" t="s">
        <v>314</v>
      </c>
      <c r="D60" s="2" t="s">
        <v>315</v>
      </c>
      <c r="E60" s="2" t="s">
        <v>16</v>
      </c>
      <c r="F60" s="2" t="s">
        <v>0</v>
      </c>
      <c r="G60" s="1" t="s">
        <v>914</v>
      </c>
      <c r="H60" s="1" t="s">
        <v>1079</v>
      </c>
      <c r="I60" s="1" t="e">
        <f ca="1">IF($F60="○","mkdir """&amp;[2]!getdirpath($H60)&amp;"""","")</f>
        <v>#NAME?</v>
      </c>
      <c r="J60" s="1" t="e">
        <f ca="1">IF(
  $F60="○",
  IF(
    $E60="file",
    "copy """&amp;$G60&amp;""" """&amp;[2]!getdirpath($H60)&amp;"""",
    "robocopy """&amp;$G60&amp;""" """&amp;H60&amp;""" /MIR /XD ""System Volume Information"""
  ),
  ""
)</f>
        <v>#NAME?</v>
      </c>
      <c r="K60" s="1" t="str">
        <f t="shared" si="1"/>
        <v>rename "%USERPROFILE%\Music\iTunes\iTunes Music Library.xml" "iTunes Music Library.xml_bak"</v>
      </c>
      <c r="L60" s="1" t="str">
        <f t="shared" si="6"/>
        <v>mklink "%USERPROFILE%\Music\iTunes\iTunes Music Library.xml" "G:\マイドライブ\100_programs\120_setting\iTunes\iTunes Music Library.xml"</v>
      </c>
      <c r="M60" t="s">
        <v>1281</v>
      </c>
    </row>
    <row r="61" spans="1:13">
      <c r="A61" s="1" t="s">
        <v>877</v>
      </c>
      <c r="B61" s="1" t="s">
        <v>916</v>
      </c>
      <c r="C61" s="2" t="s">
        <v>314</v>
      </c>
      <c r="D61" s="2" t="s">
        <v>315</v>
      </c>
      <c r="E61" s="2" t="s">
        <v>16</v>
      </c>
      <c r="F61" s="2" t="s">
        <v>0</v>
      </c>
      <c r="G61" s="172" t="s">
        <v>915</v>
      </c>
      <c r="H61" s="1" t="s">
        <v>1080</v>
      </c>
      <c r="I61" s="1" t="e">
        <f ca="1">IF($F61="○","mkdir """&amp;[2]!getdirpath($H61)&amp;"""","")</f>
        <v>#NAME?</v>
      </c>
      <c r="J61" s="1" t="e">
        <f ca="1">IF(
  $F61="○",
  IF(
    $E61="file",
    "copy """&amp;$G61&amp;""" """&amp;[2]!getdirpath($H61)&amp;"""",
    "robocopy """&amp;$G61&amp;""" """&amp;H61&amp;""" /MIR /XD ""System Volume Information"""
  ),
  ""
)</f>
        <v>#NAME?</v>
      </c>
      <c r="K61" s="1" t="str">
        <f t="shared" si="1"/>
        <v>rename "%USERPROFILE%\Music\iTunes\sentinel" "sentinel_bak"</v>
      </c>
      <c r="L61" s="1" t="str">
        <f t="shared" si="6"/>
        <v>mklink "%USERPROFILE%\Music\iTunes\sentinel" "G:\マイドライブ\100_programs\120_setting\iTunes\sentinel"</v>
      </c>
      <c r="M61" t="s">
        <v>1281</v>
      </c>
    </row>
    <row r="62" spans="1:13">
      <c r="A62" s="1" t="s">
        <v>891</v>
      </c>
      <c r="B62" s="1" t="s">
        <v>917</v>
      </c>
      <c r="C62" s="2" t="s">
        <v>314</v>
      </c>
      <c r="D62" s="2" t="s">
        <v>315</v>
      </c>
      <c r="E62" s="2" t="s">
        <v>17</v>
      </c>
      <c r="F62" s="2" t="s">
        <v>0</v>
      </c>
      <c r="G62" s="1" t="s">
        <v>1372</v>
      </c>
      <c r="H62" s="1" t="s">
        <v>313</v>
      </c>
      <c r="I62" s="1" t="e">
        <f ca="1">IF($F62="○","mkdir """&amp;[2]!getdirpath($H62)&amp;"""","")</f>
        <v>#NAME?</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6"/>
        <v>mklink /d "%USERPROFILE%\Apple\MobileSync\Backup" "X:\720_Evacuate_iTunes\MobileSync\BackUp"</v>
      </c>
      <c r="M62" t="s">
        <v>1281</v>
      </c>
    </row>
    <row r="63" spans="1:13">
      <c r="A63" s="1" t="s">
        <v>891</v>
      </c>
      <c r="B63" s="1" t="s">
        <v>919</v>
      </c>
      <c r="C63" s="2" t="s">
        <v>314</v>
      </c>
      <c r="D63" s="2" t="s">
        <v>315</v>
      </c>
      <c r="E63" s="2" t="s">
        <v>17</v>
      </c>
      <c r="F63" s="2" t="s">
        <v>0</v>
      </c>
      <c r="G63" s="1" t="s">
        <v>316</v>
      </c>
      <c r="H63" s="1" t="s">
        <v>318</v>
      </c>
      <c r="I63" s="1" t="e">
        <f ca="1">IF($F63="○","mkdir """&amp;[2]!getdirpath($H63)&amp;"""","")</f>
        <v>#NAME?</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6"/>
        <v>mklink /d "%USERPROFILE%\Music\iTunes\Album Artwork" "X:\720_Evacuate_iTunes\iTunes Media"</v>
      </c>
      <c r="M63" t="s">
        <v>1281</v>
      </c>
    </row>
    <row r="64" spans="1:13">
      <c r="A64" s="1" t="s">
        <v>891</v>
      </c>
      <c r="B64" s="1" t="s">
        <v>918</v>
      </c>
      <c r="C64" s="2" t="s">
        <v>314</v>
      </c>
      <c r="D64" s="2" t="s">
        <v>315</v>
      </c>
      <c r="E64" s="2" t="s">
        <v>17</v>
      </c>
      <c r="F64" s="2" t="s">
        <v>0</v>
      </c>
      <c r="G64" s="1" t="s">
        <v>317</v>
      </c>
      <c r="H64" s="1" t="s">
        <v>319</v>
      </c>
      <c r="I64" s="1" t="e">
        <f ca="1">IF($F64="○","mkdir """&amp;[2]!getdirpath($H64)&amp;"""","")</f>
        <v>#NAME?</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6"/>
        <v>mklink /d "%USERPROFILE%\Music\iTunes\iTunes Media" "X:\720_Evacuate_iTunes\MobileSync"</v>
      </c>
      <c r="M64" t="s">
        <v>1281</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1281</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6"/>
        <v/>
      </c>
      <c r="M66" t="s">
        <v>1281</v>
      </c>
    </row>
    <row r="68" spans="1:13">
      <c r="A68" t="s">
        <v>929</v>
      </c>
    </row>
    <row r="69" spans="1:13">
      <c r="A69" s="95" t="s">
        <v>928</v>
      </c>
    </row>
    <row r="70" spans="1:13">
      <c r="A70" t="s">
        <v>894</v>
      </c>
    </row>
    <row r="71" spans="1:13">
      <c r="A71" s="95" t="s">
        <v>893</v>
      </c>
    </row>
    <row r="72" spans="1:13">
      <c r="A72" t="s">
        <v>895</v>
      </c>
    </row>
    <row r="73" spans="1:13">
      <c r="A73" t="s">
        <v>896</v>
      </c>
    </row>
    <row r="74" spans="1:13">
      <c r="A74" t="s">
        <v>921</v>
      </c>
    </row>
    <row r="75" spans="1:13">
      <c r="A75" t="s">
        <v>920</v>
      </c>
    </row>
    <row r="76" spans="1:13">
      <c r="A76" t="s">
        <v>922</v>
      </c>
    </row>
    <row r="77" spans="1:13">
      <c r="A77" t="s">
        <v>927</v>
      </c>
    </row>
    <row r="78" spans="1:13">
      <c r="A78" t="s">
        <v>943</v>
      </c>
    </row>
    <row r="79" spans="1:13">
      <c r="A79" s="95" t="s">
        <v>924</v>
      </c>
    </row>
    <row r="80" spans="1:13">
      <c r="A80" s="95" t="s">
        <v>905</v>
      </c>
    </row>
    <row r="81" spans="1:1">
      <c r="A81" t="s">
        <v>944</v>
      </c>
    </row>
    <row r="82" spans="1:1">
      <c r="A82" t="s">
        <v>952</v>
      </c>
    </row>
    <row r="83" spans="1:1">
      <c r="A83" t="s">
        <v>954</v>
      </c>
    </row>
    <row r="84" spans="1:1">
      <c r="A84" t="s">
        <v>1091</v>
      </c>
    </row>
    <row r="85" spans="1:1">
      <c r="A85" t="s">
        <v>1118</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F12:F66 C12:D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72" sqref="C72"/>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1109</v>
      </c>
    </row>
    <row r="3" spans="1:9">
      <c r="A3" s="95" t="s">
        <v>1111</v>
      </c>
    </row>
    <row r="4" spans="1:9">
      <c r="A4" s="95" t="s">
        <v>1110</v>
      </c>
    </row>
    <row r="6" spans="1:9">
      <c r="F6" s="5" t="s">
        <v>165</v>
      </c>
      <c r="G6" s="5"/>
      <c r="I6" t="s">
        <v>1112</v>
      </c>
    </row>
    <row r="7" spans="1:9">
      <c r="A7" s="3" t="s">
        <v>31</v>
      </c>
      <c r="B7" s="3" t="s">
        <v>1093</v>
      </c>
      <c r="C7" s="3" t="s">
        <v>183</v>
      </c>
      <c r="D7" s="3" t="s">
        <v>184</v>
      </c>
      <c r="E7" s="3" t="s">
        <v>1194</v>
      </c>
      <c r="F7" s="3" t="s">
        <v>163</v>
      </c>
      <c r="G7" s="3" t="s">
        <v>164</v>
      </c>
      <c r="H7" s="3" t="s">
        <v>185</v>
      </c>
      <c r="I7" t="s">
        <v>1112</v>
      </c>
    </row>
    <row r="8" spans="1:9" ht="3" customHeight="1">
      <c r="A8" s="16"/>
      <c r="B8" s="16"/>
      <c r="C8" s="16"/>
      <c r="D8" s="16"/>
      <c r="E8" s="16"/>
      <c r="F8" s="16"/>
      <c r="G8" s="16"/>
      <c r="H8" s="16"/>
      <c r="I8" t="s">
        <v>1112</v>
      </c>
    </row>
    <row r="9" spans="1:9" ht="22.5">
      <c r="A9" s="137" t="s">
        <v>1195</v>
      </c>
      <c r="B9" s="32"/>
      <c r="C9" s="141" t="s">
        <v>1200</v>
      </c>
      <c r="D9" s="141" t="s">
        <v>1200</v>
      </c>
      <c r="E9" s="141" t="s">
        <v>1196</v>
      </c>
      <c r="F9" s="99" t="s">
        <v>149</v>
      </c>
      <c r="G9" s="99" t="s">
        <v>149</v>
      </c>
      <c r="H9" s="32" t="s">
        <v>1197</v>
      </c>
      <c r="I9" t="s">
        <v>28</v>
      </c>
    </row>
    <row r="10" spans="1:9">
      <c r="A10" s="135" t="s">
        <v>298</v>
      </c>
      <c r="B10" s="32"/>
      <c r="C10" s="141" t="s">
        <v>303</v>
      </c>
      <c r="D10" s="141" t="s">
        <v>303</v>
      </c>
      <c r="E10" s="141" t="s">
        <v>1200</v>
      </c>
      <c r="F10" s="99" t="s">
        <v>149</v>
      </c>
      <c r="G10" s="99" t="s">
        <v>149</v>
      </c>
      <c r="H10" s="32"/>
      <c r="I10" t="s">
        <v>1112</v>
      </c>
    </row>
    <row r="11" spans="1:9">
      <c r="A11" s="140" t="s">
        <v>311</v>
      </c>
      <c r="B11" s="41"/>
      <c r="C11" s="161" t="s">
        <v>1221</v>
      </c>
      <c r="D11" s="40" t="s">
        <v>1221</v>
      </c>
      <c r="E11" s="40" t="s">
        <v>1198</v>
      </c>
      <c r="F11" s="37" t="s">
        <v>149</v>
      </c>
      <c r="G11" s="37" t="s">
        <v>149</v>
      </c>
      <c r="H11" s="36"/>
      <c r="I11" t="s">
        <v>28</v>
      </c>
    </row>
    <row r="12" spans="1:9">
      <c r="A12" s="140" t="s">
        <v>311</v>
      </c>
      <c r="B12" s="41"/>
      <c r="C12" s="161" t="s">
        <v>1222</v>
      </c>
      <c r="D12" s="40" t="s">
        <v>1222</v>
      </c>
      <c r="E12" s="146"/>
      <c r="F12" s="37" t="s">
        <v>149</v>
      </c>
      <c r="G12" s="37" t="s">
        <v>149</v>
      </c>
      <c r="H12" s="36"/>
      <c r="I12" t="s">
        <v>28</v>
      </c>
    </row>
    <row r="13" spans="1:9">
      <c r="A13" s="140" t="s">
        <v>311</v>
      </c>
      <c r="B13" s="41"/>
      <c r="C13" s="161" t="s">
        <v>1223</v>
      </c>
      <c r="D13" s="40" t="s">
        <v>1223</v>
      </c>
      <c r="E13" s="146"/>
      <c r="F13" s="37" t="s">
        <v>149</v>
      </c>
      <c r="G13" s="37" t="s">
        <v>149</v>
      </c>
      <c r="H13" s="36"/>
      <c r="I13" t="s">
        <v>28</v>
      </c>
    </row>
    <row r="14" spans="1:9">
      <c r="A14" s="140" t="s">
        <v>311</v>
      </c>
      <c r="B14" s="41"/>
      <c r="C14" s="161" t="s">
        <v>1224</v>
      </c>
      <c r="D14" s="40" t="s">
        <v>1224</v>
      </c>
      <c r="E14" s="146"/>
      <c r="F14" s="37" t="s">
        <v>149</v>
      </c>
      <c r="G14" s="37" t="s">
        <v>149</v>
      </c>
      <c r="H14" s="36"/>
      <c r="I14" t="s">
        <v>28</v>
      </c>
    </row>
    <row r="15" spans="1:9">
      <c r="A15" s="140" t="s">
        <v>311</v>
      </c>
      <c r="B15" s="41"/>
      <c r="C15" s="161" t="s">
        <v>1225</v>
      </c>
      <c r="D15" s="40" t="s">
        <v>1225</v>
      </c>
      <c r="E15" s="146"/>
      <c r="F15" s="37" t="s">
        <v>149</v>
      </c>
      <c r="G15" s="37" t="s">
        <v>149</v>
      </c>
      <c r="H15" s="36"/>
      <c r="I15" t="s">
        <v>28</v>
      </c>
    </row>
    <row r="16" spans="1:9">
      <c r="A16" s="140" t="s">
        <v>311</v>
      </c>
      <c r="B16" s="41"/>
      <c r="C16" s="161" t="s">
        <v>1226</v>
      </c>
      <c r="D16" s="40" t="s">
        <v>1226</v>
      </c>
      <c r="E16" s="146"/>
      <c r="F16" s="37" t="s">
        <v>149</v>
      </c>
      <c r="G16" s="37" t="s">
        <v>149</v>
      </c>
      <c r="H16" s="36"/>
      <c r="I16" t="s">
        <v>28</v>
      </c>
    </row>
    <row r="17" spans="1:9">
      <c r="A17" s="140" t="s">
        <v>311</v>
      </c>
      <c r="B17" s="41"/>
      <c r="C17" s="161" t="s">
        <v>1227</v>
      </c>
      <c r="D17" s="40" t="s">
        <v>1227</v>
      </c>
      <c r="E17" s="40" t="s">
        <v>1203</v>
      </c>
      <c r="F17" s="37" t="s">
        <v>149</v>
      </c>
      <c r="G17" s="37" t="s">
        <v>149</v>
      </c>
      <c r="H17" s="36"/>
      <c r="I17" t="s">
        <v>1112</v>
      </c>
    </row>
    <row r="18" spans="1:9">
      <c r="A18" s="140" t="s">
        <v>311</v>
      </c>
      <c r="B18" s="41"/>
      <c r="C18" s="161" t="s">
        <v>1228</v>
      </c>
      <c r="D18" s="40" t="s">
        <v>1228</v>
      </c>
      <c r="E18" s="40" t="s">
        <v>1204</v>
      </c>
      <c r="F18" s="37" t="s">
        <v>149</v>
      </c>
      <c r="G18" s="37" t="s">
        <v>149</v>
      </c>
      <c r="H18" s="36"/>
      <c r="I18" t="s">
        <v>28</v>
      </c>
    </row>
    <row r="19" spans="1:9">
      <c r="A19" s="140" t="s">
        <v>311</v>
      </c>
      <c r="B19" s="41"/>
      <c r="C19" s="161" t="s">
        <v>1229</v>
      </c>
      <c r="D19" s="40" t="s">
        <v>1229</v>
      </c>
      <c r="E19" s="147" t="s">
        <v>1199</v>
      </c>
      <c r="F19" s="37" t="s">
        <v>149</v>
      </c>
      <c r="G19" s="37" t="s">
        <v>149</v>
      </c>
      <c r="H19" s="36"/>
      <c r="I19" t="s">
        <v>28</v>
      </c>
    </row>
    <row r="20" spans="1:9">
      <c r="A20" s="140" t="s">
        <v>311</v>
      </c>
      <c r="B20" s="41"/>
      <c r="C20" s="161" t="s">
        <v>1267</v>
      </c>
      <c r="D20" s="40" t="s">
        <v>1267</v>
      </c>
      <c r="E20" s="40" t="s">
        <v>1200</v>
      </c>
      <c r="F20" s="39" t="s">
        <v>149</v>
      </c>
      <c r="G20" s="39" t="s">
        <v>149</v>
      </c>
      <c r="H20" s="38"/>
      <c r="I20" t="s">
        <v>28</v>
      </c>
    </row>
    <row r="21" spans="1:9">
      <c r="A21" s="42" t="s">
        <v>293</v>
      </c>
      <c r="B21" s="42"/>
      <c r="C21" s="162" t="s">
        <v>1266</v>
      </c>
      <c r="D21" s="38" t="s">
        <v>1266</v>
      </c>
      <c r="E21" s="38" t="s">
        <v>39</v>
      </c>
      <c r="F21" s="37" t="s">
        <v>149</v>
      </c>
      <c r="G21" s="37" t="s">
        <v>149</v>
      </c>
      <c r="H21" s="36"/>
      <c r="I21" t="s">
        <v>28</v>
      </c>
    </row>
    <row r="22" spans="1:9">
      <c r="A22" s="32" t="s">
        <v>1265</v>
      </c>
      <c r="B22" s="32"/>
      <c r="C22" s="34" t="s">
        <v>1351</v>
      </c>
      <c r="D22" s="34" t="str">
        <f>C22</f>
        <v>sudo apt install -y python3-pip</v>
      </c>
      <c r="E22" s="152" t="s">
        <v>39</v>
      </c>
      <c r="F22" s="35" t="s">
        <v>149</v>
      </c>
      <c r="G22" s="35" t="s">
        <v>149</v>
      </c>
      <c r="H22" s="34"/>
      <c r="I22" t="s">
        <v>28</v>
      </c>
    </row>
    <row r="23" spans="1:9">
      <c r="A23" s="41" t="s">
        <v>293</v>
      </c>
      <c r="B23" s="41"/>
      <c r="C23" s="36" t="s">
        <v>1284</v>
      </c>
      <c r="D23" s="36" t="str">
        <f t="shared" ref="D23:D26" si="0">C23</f>
        <v>python3 -m pip install mypy</v>
      </c>
      <c r="E23" s="153" t="s">
        <v>39</v>
      </c>
      <c r="F23" s="37" t="s">
        <v>149</v>
      </c>
      <c r="G23" s="37" t="s">
        <v>149</v>
      </c>
      <c r="H23" s="36" t="s">
        <v>1268</v>
      </c>
      <c r="I23" t="s">
        <v>28</v>
      </c>
    </row>
    <row r="24" spans="1:9">
      <c r="A24" s="41" t="s">
        <v>293</v>
      </c>
      <c r="B24" s="41"/>
      <c r="C24" s="36" t="s">
        <v>1285</v>
      </c>
      <c r="D24" s="36" t="str">
        <f t="shared" si="0"/>
        <v>python3 -m pip install pylint</v>
      </c>
      <c r="E24" s="153" t="s">
        <v>39</v>
      </c>
      <c r="F24" s="37" t="s">
        <v>149</v>
      </c>
      <c r="G24" s="37" t="s">
        <v>149</v>
      </c>
      <c r="H24" s="36" t="s">
        <v>1269</v>
      </c>
      <c r="I24" t="s">
        <v>28</v>
      </c>
    </row>
    <row r="25" spans="1:9">
      <c r="A25" s="41" t="s">
        <v>293</v>
      </c>
      <c r="B25" s="41"/>
      <c r="C25" s="36" t="s">
        <v>1286</v>
      </c>
      <c r="D25" s="36" t="str">
        <f t="shared" si="0"/>
        <v>python3 -m pip install black</v>
      </c>
      <c r="E25" s="153" t="s">
        <v>39</v>
      </c>
      <c r="F25" s="37" t="s">
        <v>149</v>
      </c>
      <c r="G25" s="37" t="s">
        <v>149</v>
      </c>
      <c r="H25" s="36" t="s">
        <v>1268</v>
      </c>
      <c r="I25" t="s">
        <v>28</v>
      </c>
    </row>
    <row r="26" spans="1:9">
      <c r="A26" s="41" t="s">
        <v>293</v>
      </c>
      <c r="B26" s="41"/>
      <c r="C26" s="36" t="s">
        <v>1287</v>
      </c>
      <c r="D26" s="36" t="str">
        <f t="shared" si="0"/>
        <v>python3 -m pip install flake8</v>
      </c>
      <c r="E26" s="153" t="s">
        <v>39</v>
      </c>
      <c r="F26" s="37" t="s">
        <v>149</v>
      </c>
      <c r="G26" s="37" t="s">
        <v>149</v>
      </c>
      <c r="H26" s="36" t="s">
        <v>1268</v>
      </c>
      <c r="I26" t="s">
        <v>28</v>
      </c>
    </row>
    <row r="27" spans="1:9">
      <c r="A27" s="32" t="s">
        <v>293</v>
      </c>
      <c r="B27" s="32" t="s">
        <v>1498</v>
      </c>
      <c r="C27" s="34" t="s">
        <v>1413</v>
      </c>
      <c r="D27" s="34" t="str">
        <f t="shared" ref="D27:E29" si="1">$C27</f>
        <v>file=.bashrc           &amp;&amp; mv ~/${file} ~/${file}.org</v>
      </c>
      <c r="E27" s="34" t="str">
        <f t="shared" si="1"/>
        <v>file=.bashrc           &amp;&amp; mv ~/${file} ~/${file}.org</v>
      </c>
      <c r="F27" s="35" t="s">
        <v>149</v>
      </c>
      <c r="G27" s="35" t="s">
        <v>149</v>
      </c>
      <c r="H27" s="34"/>
      <c r="I27" t="s">
        <v>1112</v>
      </c>
    </row>
    <row r="28" spans="1:9">
      <c r="A28" s="41" t="s">
        <v>293</v>
      </c>
      <c r="B28" s="41"/>
      <c r="C28" s="36" t="s">
        <v>1414</v>
      </c>
      <c r="D28" s="36" t="str">
        <f t="shared" si="1"/>
        <v>file=.vimrc            &amp;&amp; mv ~/${file} ~/${file}.org</v>
      </c>
      <c r="E28" s="36" t="str">
        <f t="shared" si="1"/>
        <v>file=.vimrc            &amp;&amp; mv ~/${file} ~/${file}.org</v>
      </c>
      <c r="F28" s="37" t="s">
        <v>149</v>
      </c>
      <c r="G28" s="37" t="s">
        <v>149</v>
      </c>
      <c r="H28" s="36"/>
      <c r="I28" t="s">
        <v>1112</v>
      </c>
    </row>
    <row r="29" spans="1:9">
      <c r="A29" s="144"/>
      <c r="B29" s="45" t="s">
        <v>1500</v>
      </c>
      <c r="C29" s="36" t="s">
        <v>1094</v>
      </c>
      <c r="D29" s="36" t="str">
        <f t="shared" si="1"/>
        <v>cd</v>
      </c>
      <c r="E29" s="36" t="str">
        <f t="shared" si="1"/>
        <v>cd</v>
      </c>
      <c r="F29" s="37" t="s">
        <v>0</v>
      </c>
      <c r="G29" s="37" t="s">
        <v>0</v>
      </c>
      <c r="H29" s="36"/>
      <c r="I29" t="s">
        <v>1112</v>
      </c>
    </row>
    <row r="30" spans="1:9">
      <c r="A30" s="41" t="s">
        <v>1099</v>
      </c>
      <c r="B30" s="41" t="s">
        <v>1100</v>
      </c>
      <c r="C30" s="36" t="s">
        <v>1497</v>
      </c>
      <c r="D30" s="133" t="s">
        <v>1095</v>
      </c>
      <c r="E30" s="133" t="s">
        <v>1095</v>
      </c>
      <c r="F30" s="37" t="s">
        <v>0</v>
      </c>
      <c r="G30" s="37" t="s">
        <v>0</v>
      </c>
      <c r="H30" s="36"/>
      <c r="I30" t="s">
        <v>1112</v>
      </c>
    </row>
    <row r="31" spans="1:9">
      <c r="A31" s="41" t="s">
        <v>1099</v>
      </c>
      <c r="B31" s="41" t="s">
        <v>1100</v>
      </c>
      <c r="C31" s="36" t="s">
        <v>1501</v>
      </c>
      <c r="D31" s="36" t="str">
        <f>$C31</f>
        <v>\cp -rf ~/_dotfiles/.bashrc ./.</v>
      </c>
      <c r="E31" s="36" t="str">
        <f t="shared" ref="E31:E48" si="2">$C31</f>
        <v>\cp -rf ~/_dotfiles/.bashrc ./.</v>
      </c>
      <c r="F31" s="37" t="s">
        <v>0</v>
      </c>
      <c r="G31" s="37" t="s">
        <v>0</v>
      </c>
      <c r="H31" s="36"/>
      <c r="I31" t="s">
        <v>28</v>
      </c>
    </row>
    <row r="32" spans="1:9">
      <c r="A32" s="41" t="s">
        <v>1099</v>
      </c>
      <c r="B32" s="41" t="s">
        <v>1100</v>
      </c>
      <c r="C32" s="36" t="s">
        <v>1502</v>
      </c>
      <c r="D32" s="36" t="str">
        <f>$C32</f>
        <v>touch ~/_dotfiles/.bashrc_env</v>
      </c>
      <c r="E32" s="36" t="str">
        <f t="shared" si="2"/>
        <v>touch ~/_dotfiles/.bashrc_env</v>
      </c>
      <c r="F32" s="37" t="s">
        <v>0</v>
      </c>
      <c r="G32" s="37" t="s">
        <v>0</v>
      </c>
      <c r="H32" s="36"/>
      <c r="I32" t="s">
        <v>28</v>
      </c>
    </row>
    <row r="33" spans="1:9">
      <c r="A33" s="41" t="s">
        <v>1099</v>
      </c>
      <c r="B33" s="45" t="s">
        <v>1499</v>
      </c>
      <c r="C33" s="36" t="s">
        <v>1478</v>
      </c>
      <c r="D33" s="36" t="str">
        <f t="shared" ref="D33:D48" si="3">$C33</f>
        <v>createhardlink ~/_dotfiles/.bashrc              .bashrc</v>
      </c>
      <c r="E33" s="36" t="str">
        <f t="shared" si="2"/>
        <v>createhardlink ~/_dotfiles/.bashrc              .bashrc</v>
      </c>
      <c r="F33" s="37" t="s">
        <v>0</v>
      </c>
      <c r="G33" s="37" t="s">
        <v>0</v>
      </c>
      <c r="H33" s="36"/>
      <c r="I33" t="s">
        <v>1112</v>
      </c>
    </row>
    <row r="34" spans="1:9">
      <c r="A34" s="41" t="s">
        <v>1099</v>
      </c>
      <c r="B34" s="41" t="s">
        <v>1100</v>
      </c>
      <c r="C34" s="36" t="s">
        <v>1470</v>
      </c>
      <c r="D34" s="36" t="str">
        <f t="shared" si="3"/>
        <v>createhardlink ~/_dotfiles/.bashrc_env          .bashrc_env</v>
      </c>
      <c r="E34" s="36" t="str">
        <f t="shared" si="2"/>
        <v>createhardlink ~/_dotfiles/.bashrc_env          .bashrc_env</v>
      </c>
      <c r="F34" s="37" t="s">
        <v>0</v>
      </c>
      <c r="G34" s="37" t="s">
        <v>0</v>
      </c>
      <c r="H34" s="36"/>
      <c r="I34" t="s">
        <v>28</v>
      </c>
    </row>
    <row r="35" spans="1:9">
      <c r="A35" s="41" t="s">
        <v>1099</v>
      </c>
      <c r="B35" s="41" t="s">
        <v>1100</v>
      </c>
      <c r="C35" s="36" t="s">
        <v>1471</v>
      </c>
      <c r="D35" s="36" t="str">
        <f t="shared" si="3"/>
        <v>createhardlink ~/_dotfiles/.gdbinit             .gdbinit</v>
      </c>
      <c r="E35" s="36" t="str">
        <f t="shared" si="2"/>
        <v>createhardlink ~/_dotfiles/.gdbinit             .gdbinit</v>
      </c>
      <c r="F35" s="37" t="s">
        <v>0</v>
      </c>
      <c r="G35" s="37" t="s">
        <v>0</v>
      </c>
      <c r="H35" s="36"/>
      <c r="I35" t="s">
        <v>1112</v>
      </c>
    </row>
    <row r="36" spans="1:9">
      <c r="A36" s="41" t="s">
        <v>1099</v>
      </c>
      <c r="B36" s="41" t="s">
        <v>1100</v>
      </c>
      <c r="C36" s="36" t="s">
        <v>1472</v>
      </c>
      <c r="D36" s="36" t="str">
        <f t="shared" si="3"/>
        <v>createhardlink ~/_dotfiles/.inputrc             .inputrc</v>
      </c>
      <c r="E36" s="36" t="str">
        <f t="shared" si="2"/>
        <v>createhardlink ~/_dotfiles/.inputrc             .inputrc</v>
      </c>
      <c r="F36" s="37" t="s">
        <v>0</v>
      </c>
      <c r="G36" s="37" t="s">
        <v>0</v>
      </c>
      <c r="H36" s="36"/>
      <c r="I36" t="s">
        <v>1112</v>
      </c>
    </row>
    <row r="37" spans="1:9">
      <c r="A37" s="41" t="s">
        <v>1099</v>
      </c>
      <c r="B37" s="41" t="s">
        <v>1100</v>
      </c>
      <c r="C37" s="36" t="s">
        <v>1473</v>
      </c>
      <c r="D37" s="36" t="str">
        <f t="shared" si="3"/>
        <v>createhardlink ~/_dotfiles/.tigrc               .tigrc</v>
      </c>
      <c r="E37" s="36" t="str">
        <f t="shared" si="2"/>
        <v>createhardlink ~/_dotfiles/.tigrc               .tigrc</v>
      </c>
      <c r="F37" s="37" t="s">
        <v>0</v>
      </c>
      <c r="G37" s="37" t="s">
        <v>0</v>
      </c>
      <c r="H37" s="36"/>
      <c r="I37" t="s">
        <v>1112</v>
      </c>
    </row>
    <row r="38" spans="1:9">
      <c r="A38" s="41" t="s">
        <v>1099</v>
      </c>
      <c r="B38" s="41" t="s">
        <v>1100</v>
      </c>
      <c r="C38" s="36" t="s">
        <v>1474</v>
      </c>
      <c r="D38" s="36" t="str">
        <f t="shared" si="3"/>
        <v>createhardlink ~/_dotfiles/.tmux.conf           .tmux.conf</v>
      </c>
      <c r="E38" s="36" t="str">
        <f t="shared" si="2"/>
        <v>createhardlink ~/_dotfiles/.tmux.conf           .tmux.conf</v>
      </c>
      <c r="F38" s="37" t="s">
        <v>0</v>
      </c>
      <c r="G38" s="37" t="s">
        <v>0</v>
      </c>
      <c r="H38" s="36"/>
      <c r="I38" t="s">
        <v>1112</v>
      </c>
    </row>
    <row r="39" spans="1:9">
      <c r="A39" s="41" t="s">
        <v>1099</v>
      </c>
      <c r="B39" s="41" t="s">
        <v>1100</v>
      </c>
      <c r="C39" s="36" t="s">
        <v>1475</v>
      </c>
      <c r="D39" s="36" t="str">
        <f t="shared" si="3"/>
        <v>createhardlink ~/_dotfiles/.vimrc               .vimrc</v>
      </c>
      <c r="E39" s="36" t="str">
        <f t="shared" si="2"/>
        <v>createhardlink ~/_dotfiles/.vimrc               .vimrc</v>
      </c>
      <c r="F39" s="37" t="s">
        <v>0</v>
      </c>
      <c r="G39" s="37" t="s">
        <v>0</v>
      </c>
      <c r="H39" s="36"/>
      <c r="I39" t="s">
        <v>28</v>
      </c>
    </row>
    <row r="40" spans="1:9">
      <c r="A40" s="41" t="s">
        <v>1099</v>
      </c>
      <c r="B40" s="41" t="s">
        <v>1100</v>
      </c>
      <c r="C40" s="36" t="s">
        <v>1476</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1099</v>
      </c>
      <c r="B41" s="41" t="s">
        <v>1100</v>
      </c>
      <c r="C41" s="36" t="s">
        <v>1477</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1099</v>
      </c>
      <c r="B42" s="41" t="s">
        <v>1100</v>
      </c>
      <c r="C42" s="36" t="s">
        <v>1482</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1099</v>
      </c>
      <c r="B43" s="41" t="s">
        <v>1100</v>
      </c>
      <c r="C43" s="36" t="s">
        <v>1483</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1099</v>
      </c>
      <c r="B44" s="41" t="s">
        <v>1100</v>
      </c>
      <c r="C44" s="36" t="s">
        <v>1484</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1099</v>
      </c>
      <c r="B45" s="41" t="s">
        <v>1100</v>
      </c>
      <c r="C45" s="36" t="s">
        <v>1485</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41" t="s">
        <v>1099</v>
      </c>
      <c r="B46" s="45" t="s">
        <v>1098</v>
      </c>
      <c r="C46" s="36" t="s">
        <v>1096</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1112</v>
      </c>
    </row>
    <row r="47" spans="1:9">
      <c r="A47" s="41" t="s">
        <v>1099</v>
      </c>
      <c r="B47" s="132" t="s">
        <v>1098</v>
      </c>
      <c r="C47" s="36" t="s">
        <v>1097</v>
      </c>
      <c r="D47" s="36" t="str">
        <f t="shared" si="3"/>
        <v>mv backup_files.sh _backup_files.sh</v>
      </c>
      <c r="E47" s="36" t="str">
        <f t="shared" si="2"/>
        <v>mv backup_files.sh _backup_files.sh</v>
      </c>
      <c r="F47" s="37" t="s">
        <v>0</v>
      </c>
      <c r="G47" s="37" t="s">
        <v>0</v>
      </c>
      <c r="H47" s="36"/>
      <c r="I47" t="s">
        <v>1112</v>
      </c>
    </row>
    <row r="48" spans="1:9">
      <c r="A48" s="42" t="s">
        <v>1099</v>
      </c>
      <c r="B48" s="38" t="s">
        <v>1102</v>
      </c>
      <c r="C48" s="38" t="s">
        <v>1101</v>
      </c>
      <c r="D48" s="38" t="str">
        <f t="shared" si="3"/>
        <v>crontab -e</v>
      </c>
      <c r="E48" s="38" t="str">
        <f t="shared" si="2"/>
        <v>crontab -e</v>
      </c>
      <c r="F48" s="39" t="s">
        <v>0</v>
      </c>
      <c r="G48" s="39" t="s">
        <v>0</v>
      </c>
      <c r="H48" s="38"/>
      <c r="I48" t="s">
        <v>1112</v>
      </c>
    </row>
    <row r="49" spans="1:9">
      <c r="A49" s="26" t="s">
        <v>294</v>
      </c>
      <c r="B49" s="26"/>
      <c r="C49" s="26" t="s">
        <v>1282</v>
      </c>
      <c r="D49" s="26" t="s">
        <v>518</v>
      </c>
      <c r="E49" s="26" t="s">
        <v>1200</v>
      </c>
      <c r="F49" s="15" t="s">
        <v>149</v>
      </c>
      <c r="G49" s="15" t="s">
        <v>149</v>
      </c>
      <c r="H49" s="134" t="s">
        <v>1120</v>
      </c>
      <c r="I49" t="s">
        <v>1112</v>
      </c>
    </row>
    <row r="50" spans="1:9">
      <c r="A50" s="32" t="s">
        <v>517</v>
      </c>
      <c r="B50" s="32" t="s">
        <v>1201</v>
      </c>
      <c r="C50" s="34" t="s">
        <v>1352</v>
      </c>
      <c r="D50" s="34" t="s">
        <v>518</v>
      </c>
      <c r="E50" s="34" t="s">
        <v>1200</v>
      </c>
      <c r="F50" s="35" t="s">
        <v>0</v>
      </c>
      <c r="G50" s="35" t="s">
        <v>0</v>
      </c>
      <c r="H50" s="34" t="s">
        <v>1119</v>
      </c>
      <c r="I50" t="s">
        <v>1112</v>
      </c>
    </row>
    <row r="51" spans="1:9">
      <c r="A51" s="41" t="s">
        <v>517</v>
      </c>
      <c r="B51" s="41"/>
      <c r="C51" s="36" t="s">
        <v>1362</v>
      </c>
      <c r="D51" s="36" t="s">
        <v>39</v>
      </c>
      <c r="E51" s="36" t="s">
        <v>39</v>
      </c>
      <c r="F51" s="37" t="s">
        <v>0</v>
      </c>
      <c r="G51" s="37" t="s">
        <v>0</v>
      </c>
      <c r="H51" s="36" t="s">
        <v>540</v>
      </c>
      <c r="I51" t="s">
        <v>28</v>
      </c>
    </row>
    <row r="52" spans="1:9">
      <c r="A52" s="41" t="s">
        <v>517</v>
      </c>
      <c r="B52" s="41"/>
      <c r="C52" s="36" t="s">
        <v>521</v>
      </c>
      <c r="D52" s="36" t="s">
        <v>518</v>
      </c>
      <c r="E52" s="36" t="s">
        <v>1200</v>
      </c>
      <c r="F52" s="37" t="s">
        <v>0</v>
      </c>
      <c r="G52" s="37" t="s">
        <v>0</v>
      </c>
      <c r="H52" s="36" t="s">
        <v>540</v>
      </c>
      <c r="I52" t="s">
        <v>1112</v>
      </c>
    </row>
    <row r="53" spans="1:9">
      <c r="A53" s="41" t="s">
        <v>517</v>
      </c>
      <c r="B53" s="41"/>
      <c r="C53" s="45" t="s">
        <v>522</v>
      </c>
      <c r="D53" s="45" t="s">
        <v>518</v>
      </c>
      <c r="E53" s="45" t="s">
        <v>1200</v>
      </c>
      <c r="F53" s="46" t="s">
        <v>0</v>
      </c>
      <c r="G53" s="46" t="s">
        <v>0</v>
      </c>
      <c r="H53" s="45" t="s">
        <v>540</v>
      </c>
      <c r="I53" t="s">
        <v>1112</v>
      </c>
    </row>
    <row r="54" spans="1:9">
      <c r="A54" s="41" t="s">
        <v>517</v>
      </c>
      <c r="B54" s="41"/>
      <c r="C54" s="36" t="s">
        <v>539</v>
      </c>
      <c r="D54" s="36" t="s">
        <v>39</v>
      </c>
      <c r="E54" s="36" t="s">
        <v>1200</v>
      </c>
      <c r="F54" s="37" t="s">
        <v>0</v>
      </c>
      <c r="G54" s="37" t="s">
        <v>0</v>
      </c>
      <c r="H54" s="36" t="s">
        <v>540</v>
      </c>
      <c r="I54" t="s">
        <v>1112</v>
      </c>
    </row>
    <row r="55" spans="1:9">
      <c r="A55" s="41" t="s">
        <v>517</v>
      </c>
      <c r="B55" s="132"/>
      <c r="C55" s="36" t="s">
        <v>1361</v>
      </c>
      <c r="D55" s="36" t="s">
        <v>39</v>
      </c>
      <c r="E55" s="36" t="s">
        <v>39</v>
      </c>
      <c r="F55" s="37" t="s">
        <v>0</v>
      </c>
      <c r="G55" s="37" t="s">
        <v>0</v>
      </c>
      <c r="H55" s="36" t="s">
        <v>540</v>
      </c>
      <c r="I55" t="s">
        <v>28</v>
      </c>
    </row>
    <row r="56" spans="1:9" s="150" customFormat="1">
      <c r="A56" s="42" t="s">
        <v>517</v>
      </c>
      <c r="B56" s="148" t="s">
        <v>1202</v>
      </c>
      <c r="C56" s="148" t="s">
        <v>1200</v>
      </c>
      <c r="D56" s="151" t="s">
        <v>1205</v>
      </c>
      <c r="E56" s="151" t="s">
        <v>1205</v>
      </c>
      <c r="F56" s="149" t="s">
        <v>0</v>
      </c>
      <c r="G56" s="149" t="s">
        <v>0</v>
      </c>
      <c r="H56" s="148" t="s">
        <v>540</v>
      </c>
      <c r="I56" s="150" t="s">
        <v>28</v>
      </c>
    </row>
    <row r="57" spans="1:9">
      <c r="A57" s="135" t="s">
        <v>519</v>
      </c>
      <c r="B57" s="32"/>
      <c r="C57" s="32" t="s">
        <v>520</v>
      </c>
      <c r="D57" s="32" t="str">
        <f>C$57</f>
        <v>vim ~/.ssh/config</v>
      </c>
      <c r="E57" s="32" t="str">
        <f>D$57</f>
        <v>vim ~/.ssh/config</v>
      </c>
      <c r="F57" s="99" t="s">
        <v>0</v>
      </c>
      <c r="G57" s="99" t="s">
        <v>0</v>
      </c>
      <c r="H57" s="32"/>
      <c r="I57" t="s">
        <v>1112</v>
      </c>
    </row>
    <row r="58" spans="1:9">
      <c r="A58" s="100" t="s">
        <v>1034</v>
      </c>
      <c r="B58" s="1"/>
      <c r="C58" s="98" t="s">
        <v>1038</v>
      </c>
      <c r="D58" s="98" t="s">
        <v>1038</v>
      </c>
      <c r="E58" s="98" t="s">
        <v>1207</v>
      </c>
      <c r="F58" s="15" t="s">
        <v>149</v>
      </c>
      <c r="G58" s="15" t="s">
        <v>149</v>
      </c>
      <c r="H58" s="26" t="s">
        <v>1036</v>
      </c>
      <c r="I58" t="s">
        <v>1112</v>
      </c>
    </row>
    <row r="59" spans="1:9">
      <c r="A59" s="100" t="s">
        <v>1035</v>
      </c>
      <c r="B59" s="1"/>
      <c r="C59" s="98" t="s">
        <v>1038</v>
      </c>
      <c r="D59" s="26" t="s">
        <v>39</v>
      </c>
      <c r="E59" s="26" t="s">
        <v>1200</v>
      </c>
      <c r="F59" s="15" t="s">
        <v>149</v>
      </c>
      <c r="G59" s="15" t="s">
        <v>149</v>
      </c>
      <c r="H59" s="26" t="s">
        <v>1037</v>
      </c>
      <c r="I59" t="s">
        <v>1112</v>
      </c>
    </row>
    <row r="60" spans="1:9">
      <c r="A60" s="136" t="s">
        <v>300</v>
      </c>
      <c r="B60" s="26"/>
      <c r="C60" s="167" t="s">
        <v>301</v>
      </c>
      <c r="D60" s="26" t="str">
        <f>C60</f>
        <v>省略（~/.tmux.conf参照）</v>
      </c>
      <c r="E60" s="26" t="str">
        <f>D60</f>
        <v>省略（~/.tmux.conf参照）</v>
      </c>
      <c r="F60" s="15" t="s">
        <v>149</v>
      </c>
      <c r="G60" s="15" t="s">
        <v>149</v>
      </c>
      <c r="H60" s="26"/>
      <c r="I60" t="s">
        <v>1112</v>
      </c>
    </row>
    <row r="61" spans="1:9">
      <c r="A61" s="137" t="s">
        <v>295</v>
      </c>
      <c r="B61" s="32" t="s">
        <v>1354</v>
      </c>
      <c r="C61" s="168" t="s">
        <v>1283</v>
      </c>
      <c r="D61" s="34" t="str">
        <f>C61</f>
        <v>sudo apt install -y software-properties-common</v>
      </c>
      <c r="E61" s="34" t="s">
        <v>1206</v>
      </c>
      <c r="F61" s="35" t="s">
        <v>149</v>
      </c>
      <c r="G61" s="35" t="s">
        <v>149</v>
      </c>
      <c r="H61" s="34"/>
      <c r="I61" t="s">
        <v>1112</v>
      </c>
    </row>
    <row r="62" spans="1:9">
      <c r="A62" s="138" t="s">
        <v>295</v>
      </c>
      <c r="B62" s="43"/>
      <c r="C62" s="40" t="s">
        <v>302</v>
      </c>
      <c r="D62" s="36" t="str">
        <f t="shared" ref="D62:E72" si="4">C62</f>
        <v>sudo add-apt-repository ppa:greymd/tmux-xpanes</v>
      </c>
      <c r="E62" s="36" t="s">
        <v>39</v>
      </c>
      <c r="F62" s="37" t="s">
        <v>149</v>
      </c>
      <c r="G62" s="37" t="s">
        <v>149</v>
      </c>
      <c r="H62" s="36"/>
      <c r="I62" t="s">
        <v>1112</v>
      </c>
    </row>
    <row r="63" spans="1:9">
      <c r="A63" s="139" t="s">
        <v>295</v>
      </c>
      <c r="B63" s="44"/>
      <c r="C63" s="40" t="s">
        <v>303</v>
      </c>
      <c r="D63" s="36" t="str">
        <f t="shared" si="4"/>
        <v>sudo apt update</v>
      </c>
      <c r="E63" s="36" t="s">
        <v>39</v>
      </c>
      <c r="F63" s="37" t="s">
        <v>149</v>
      </c>
      <c r="G63" s="37" t="s">
        <v>149</v>
      </c>
      <c r="H63" s="36"/>
      <c r="I63" t="s">
        <v>1112</v>
      </c>
    </row>
    <row r="64" spans="1:9">
      <c r="A64" s="44" t="s">
        <v>295</v>
      </c>
      <c r="B64" s="170"/>
      <c r="C64" s="40" t="s">
        <v>304</v>
      </c>
      <c r="D64" s="36" t="str">
        <f t="shared" si="4"/>
        <v>sudo apt install -y tmux-xpanes</v>
      </c>
      <c r="E64" s="36" t="s">
        <v>39</v>
      </c>
      <c r="F64" s="39" t="s">
        <v>149</v>
      </c>
      <c r="G64" s="39" t="s">
        <v>149</v>
      </c>
      <c r="H64" s="38"/>
      <c r="I64" t="s">
        <v>1112</v>
      </c>
    </row>
    <row r="65" spans="1:9">
      <c r="A65" s="145"/>
      <c r="B65" s="38" t="s">
        <v>1353</v>
      </c>
      <c r="C65" s="169" t="s">
        <v>1355</v>
      </c>
      <c r="D65" s="38" t="str">
        <f>C65</f>
        <v>xpanes -e "top" "vmstat 1" "watch -n 1 free"</v>
      </c>
      <c r="E65" s="38" t="s">
        <v>1206</v>
      </c>
      <c r="F65" s="35" t="s">
        <v>149</v>
      </c>
      <c r="G65" s="35" t="s">
        <v>149</v>
      </c>
      <c r="H65" s="34"/>
      <c r="I65" t="s">
        <v>28</v>
      </c>
    </row>
    <row r="66" spans="1:9">
      <c r="A66" s="32" t="s">
        <v>299</v>
      </c>
      <c r="B66" s="32"/>
      <c r="C66" s="34" t="s">
        <v>310</v>
      </c>
      <c r="D66" s="34" t="s">
        <v>310</v>
      </c>
      <c r="E66" s="34" t="s">
        <v>310</v>
      </c>
      <c r="F66" s="35" t="s">
        <v>149</v>
      </c>
      <c r="G66" s="35" t="s">
        <v>149</v>
      </c>
      <c r="H66" s="34"/>
      <c r="I66" t="s">
        <v>1112</v>
      </c>
    </row>
    <row r="67" spans="1:9">
      <c r="A67" s="41" t="s">
        <v>299</v>
      </c>
      <c r="B67" s="41"/>
      <c r="C67" s="36" t="s">
        <v>1469</v>
      </c>
      <c r="D67" s="36" t="s">
        <v>1469</v>
      </c>
      <c r="E67" s="36" t="s">
        <v>1469</v>
      </c>
      <c r="F67" s="37" t="s">
        <v>0</v>
      </c>
      <c r="G67" s="37" t="s">
        <v>0</v>
      </c>
      <c r="H67" s="36"/>
      <c r="I67" t="s">
        <v>1112</v>
      </c>
    </row>
    <row r="68" spans="1:9">
      <c r="A68" s="41" t="s">
        <v>299</v>
      </c>
      <c r="B68" s="41"/>
      <c r="C68" s="36" t="s">
        <v>305</v>
      </c>
      <c r="D68" s="36" t="str">
        <f t="shared" si="4"/>
        <v>git config --global core.editor vim</v>
      </c>
      <c r="E68" s="36" t="str">
        <f t="shared" si="4"/>
        <v>git config --global core.editor vim</v>
      </c>
      <c r="F68" s="37" t="s">
        <v>0</v>
      </c>
      <c r="G68" s="37" t="s">
        <v>0</v>
      </c>
      <c r="H68" s="36"/>
      <c r="I68" t="s">
        <v>1112</v>
      </c>
    </row>
    <row r="69" spans="1:9">
      <c r="A69" s="41" t="s">
        <v>299</v>
      </c>
      <c r="B69" s="41"/>
      <c r="C69" s="36" t="s">
        <v>306</v>
      </c>
      <c r="D69" s="36" t="str">
        <f t="shared" si="4"/>
        <v>git config --global diff.tool vimdiff</v>
      </c>
      <c r="E69" s="36" t="str">
        <f t="shared" si="4"/>
        <v>git config --global diff.tool vimdiff</v>
      </c>
      <c r="F69" s="37" t="s">
        <v>0</v>
      </c>
      <c r="G69" s="37" t="s">
        <v>0</v>
      </c>
      <c r="H69" s="36"/>
      <c r="I69" t="s">
        <v>1112</v>
      </c>
    </row>
    <row r="70" spans="1:9">
      <c r="A70" s="41" t="s">
        <v>299</v>
      </c>
      <c r="B70" s="41"/>
      <c r="C70" s="36" t="s">
        <v>307</v>
      </c>
      <c r="D70" s="36" t="str">
        <f t="shared" si="4"/>
        <v>git config --global difftool.prompt false</v>
      </c>
      <c r="E70" s="36" t="str">
        <f t="shared" si="4"/>
        <v>git config --global difftool.prompt false</v>
      </c>
      <c r="F70" s="37" t="s">
        <v>0</v>
      </c>
      <c r="G70" s="37" t="s">
        <v>0</v>
      </c>
      <c r="H70" s="36"/>
      <c r="I70" t="s">
        <v>1112</v>
      </c>
    </row>
    <row r="71" spans="1:9">
      <c r="A71" s="41" t="s">
        <v>299</v>
      </c>
      <c r="B71" s="41"/>
      <c r="C71" s="36" t="s">
        <v>308</v>
      </c>
      <c r="D71" s="36" t="str">
        <f t="shared" si="4"/>
        <v>git config --global merge.tool vimdiff</v>
      </c>
      <c r="E71" s="36" t="str">
        <f t="shared" si="4"/>
        <v>git config --global merge.tool vimdiff</v>
      </c>
      <c r="F71" s="37" t="s">
        <v>0</v>
      </c>
      <c r="G71" s="37" t="s">
        <v>0</v>
      </c>
      <c r="H71" s="36"/>
      <c r="I71" t="s">
        <v>1112</v>
      </c>
    </row>
    <row r="72" spans="1:9">
      <c r="A72" s="41" t="s">
        <v>299</v>
      </c>
      <c r="B72" s="41"/>
      <c r="C72" s="45" t="s">
        <v>309</v>
      </c>
      <c r="D72" s="45" t="str">
        <f t="shared" si="4"/>
        <v>git config --global mergetool.prompt false</v>
      </c>
      <c r="E72" s="45" t="str">
        <f t="shared" si="4"/>
        <v>git config --global mergetool.prompt false</v>
      </c>
      <c r="F72" s="46" t="s">
        <v>0</v>
      </c>
      <c r="G72" s="46" t="s">
        <v>0</v>
      </c>
      <c r="H72" s="45"/>
      <c r="I72" t="s">
        <v>1112</v>
      </c>
    </row>
    <row r="73" spans="1:9">
      <c r="A73" s="42" t="s">
        <v>299</v>
      </c>
      <c r="B73" s="42"/>
      <c r="C73" s="38" t="s">
        <v>312</v>
      </c>
      <c r="D73" s="38" t="str">
        <f t="shared" ref="D73:E73" si="5">C73</f>
        <v>git config --global credential.helper store</v>
      </c>
      <c r="E73" s="38" t="str">
        <f t="shared" si="5"/>
        <v>git config --global credential.helper store</v>
      </c>
      <c r="F73" s="39" t="s">
        <v>0</v>
      </c>
      <c r="G73" s="39" t="s">
        <v>0</v>
      </c>
      <c r="H73" s="38"/>
      <c r="I73" t="s">
        <v>1112</v>
      </c>
    </row>
    <row r="74" spans="1:9">
      <c r="A74" t="s">
        <v>1243</v>
      </c>
      <c r="B74" s="33" t="s">
        <v>1242</v>
      </c>
      <c r="C74" s="34" t="s">
        <v>1183</v>
      </c>
      <c r="D74" s="34" t="str">
        <f>C74</f>
        <v>sudo apt-get update</v>
      </c>
      <c r="E74" s="152" t="s">
        <v>1200</v>
      </c>
      <c r="F74" s="35" t="s">
        <v>1193</v>
      </c>
      <c r="G74" s="35" t="s">
        <v>1193</v>
      </c>
      <c r="H74" s="34"/>
      <c r="I74" t="s">
        <v>1112</v>
      </c>
    </row>
    <row r="75" spans="1:9">
      <c r="A75" s="144"/>
      <c r="B75" s="144"/>
      <c r="C75" s="36" t="s">
        <v>1184</v>
      </c>
      <c r="D75" s="36" t="str">
        <f t="shared" ref="D75:D82" si="6">C75</f>
        <v>sudo apt-get install -y ca-certificates curl gnupg lsb-release</v>
      </c>
      <c r="E75" s="153" t="s">
        <v>1200</v>
      </c>
      <c r="F75" s="37" t="s">
        <v>1193</v>
      </c>
      <c r="G75" s="37" t="s">
        <v>1193</v>
      </c>
      <c r="H75" s="36"/>
      <c r="I75" t="s">
        <v>1112</v>
      </c>
    </row>
    <row r="76" spans="1:9">
      <c r="A76" s="144"/>
      <c r="B76" s="144"/>
      <c r="C76" s="36" t="s">
        <v>1185</v>
      </c>
      <c r="D76" s="36" t="str">
        <f t="shared" si="6"/>
        <v>sudo mkdir -p /etc/apt/keyrings</v>
      </c>
      <c r="E76" s="153" t="s">
        <v>1200</v>
      </c>
      <c r="F76" s="37" t="s">
        <v>1193</v>
      </c>
      <c r="G76" s="37" t="s">
        <v>1193</v>
      </c>
      <c r="H76" s="36"/>
      <c r="I76" t="s">
        <v>1112</v>
      </c>
    </row>
    <row r="77" spans="1:9">
      <c r="A77" s="144"/>
      <c r="B77" s="144"/>
      <c r="C77" s="36" t="s">
        <v>1186</v>
      </c>
      <c r="D77" s="36" t="str">
        <f t="shared" si="6"/>
        <v>curl -fsSL https://download.docker.com/linux/ubuntu/gpg | sudo gpg --dearmor -o /etc/apt/keyrings/docker.gpg</v>
      </c>
      <c r="E77" s="153" t="s">
        <v>1200</v>
      </c>
      <c r="F77" s="37" t="s">
        <v>1193</v>
      </c>
      <c r="G77" s="37" t="s">
        <v>1193</v>
      </c>
      <c r="H77" s="36"/>
      <c r="I77" t="s">
        <v>28</v>
      </c>
    </row>
    <row r="78" spans="1:9">
      <c r="A78" s="144"/>
      <c r="B78" s="144"/>
      <c r="C78" s="36" t="s">
        <v>1187</v>
      </c>
      <c r="D78" s="36" t="str">
        <f t="shared" si="6"/>
        <v>echo "deb [arch=$(dpkg --print-architecture) signed-by=/etc/apt/keyrings/docker.gpg] https://download.docker.com/linux/ubuntu $(lsb_release -cs) stable" | sudo tee /etc/apt/sources.list.d/docker.list &gt; /dev/null</v>
      </c>
      <c r="E78" s="153" t="s">
        <v>1200</v>
      </c>
      <c r="F78" s="37" t="s">
        <v>1193</v>
      </c>
      <c r="G78" s="37" t="s">
        <v>1193</v>
      </c>
      <c r="H78" s="36"/>
      <c r="I78" t="s">
        <v>28</v>
      </c>
    </row>
    <row r="79" spans="1:9">
      <c r="A79" s="144"/>
      <c r="B79" s="144"/>
      <c r="C79" s="36" t="s">
        <v>1183</v>
      </c>
      <c r="D79" s="36" t="str">
        <f t="shared" si="6"/>
        <v>sudo apt-get update</v>
      </c>
      <c r="E79" s="153" t="s">
        <v>1200</v>
      </c>
      <c r="F79" s="37" t="s">
        <v>1193</v>
      </c>
      <c r="G79" s="37" t="s">
        <v>1193</v>
      </c>
      <c r="H79" s="36"/>
      <c r="I79" t="s">
        <v>28</v>
      </c>
    </row>
    <row r="80" spans="1:9">
      <c r="A80" s="144"/>
      <c r="B80" s="144"/>
      <c r="C80" s="36" t="s">
        <v>1188</v>
      </c>
      <c r="D80" s="36" t="str">
        <f t="shared" si="6"/>
        <v>sudo apt-get install -y docker-ce docker-ce-cli containerd.io docker-compose-plugin</v>
      </c>
      <c r="E80" s="153" t="s">
        <v>1200</v>
      </c>
      <c r="F80" s="37" t="s">
        <v>1193</v>
      </c>
      <c r="G80" s="37" t="s">
        <v>1193</v>
      </c>
      <c r="H80" s="36"/>
      <c r="I80" t="s">
        <v>28</v>
      </c>
    </row>
    <row r="81" spans="1:9">
      <c r="A81" s="144"/>
      <c r="B81" s="144"/>
      <c r="C81" s="36" t="s">
        <v>1189</v>
      </c>
      <c r="D81" s="36" t="str">
        <f t="shared" si="6"/>
        <v>sudo groupadd docker</v>
      </c>
      <c r="E81" s="153" t="s">
        <v>1200</v>
      </c>
      <c r="F81" s="37" t="s">
        <v>1193</v>
      </c>
      <c r="G81" s="37" t="s">
        <v>1193</v>
      </c>
      <c r="H81" s="36"/>
      <c r="I81" t="s">
        <v>28</v>
      </c>
    </row>
    <row r="82" spans="1:9">
      <c r="A82" s="144"/>
      <c r="B82" s="144"/>
      <c r="C82" s="36" t="s">
        <v>1190</v>
      </c>
      <c r="D82" s="36" t="str">
        <f t="shared" si="6"/>
        <v>sudo usermod -aG docker $USER</v>
      </c>
      <c r="E82" s="153" t="s">
        <v>1200</v>
      </c>
      <c r="F82" s="37" t="s">
        <v>1193</v>
      </c>
      <c r="G82" s="37" t="s">
        <v>1193</v>
      </c>
      <c r="H82" s="36"/>
      <c r="I82" t="s">
        <v>28</v>
      </c>
    </row>
    <row r="83" spans="1:9">
      <c r="A83" s="144"/>
      <c r="B83" s="145"/>
      <c r="C83" s="38" t="s">
        <v>1191</v>
      </c>
      <c r="D83" s="38" t="s">
        <v>39</v>
      </c>
      <c r="E83" s="154" t="s">
        <v>1200</v>
      </c>
      <c r="F83" s="39" t="s">
        <v>1193</v>
      </c>
      <c r="G83" s="39" t="s">
        <v>1193</v>
      </c>
      <c r="H83" s="38" t="s">
        <v>1192</v>
      </c>
      <c r="I83" t="s">
        <v>28</v>
      </c>
    </row>
    <row r="84" spans="1:9">
      <c r="A84" s="144"/>
      <c r="B84" s="144" t="s">
        <v>1241</v>
      </c>
      <c r="C84" s="144" t="s">
        <v>1245</v>
      </c>
      <c r="D84" s="144" t="str">
        <f>$C84</f>
        <v>echo -e "{\n    \"detachKeys\": \"ctrl-\\\\\\\\,ctrl-\\\\\\\\\"\n}" &gt; ${HOME}/.docker/config.json</v>
      </c>
      <c r="E84" s="160" t="s">
        <v>1244</v>
      </c>
      <c r="F84" s="39" t="s">
        <v>149</v>
      </c>
      <c r="G84" s="39" t="s">
        <v>149</v>
      </c>
      <c r="H84" s="144"/>
    </row>
    <row r="85" spans="1:9">
      <c r="A85" s="144"/>
      <c r="B85" s="32" t="s">
        <v>1239</v>
      </c>
      <c r="C85" s="34" t="s">
        <v>1106</v>
      </c>
      <c r="D85" s="34" t="s">
        <v>1104</v>
      </c>
      <c r="E85" s="152" t="s">
        <v>1200</v>
      </c>
      <c r="F85" s="35" t="s">
        <v>0</v>
      </c>
      <c r="G85" s="35" t="s">
        <v>0</v>
      </c>
      <c r="H85" s="34"/>
      <c r="I85" t="s">
        <v>1112</v>
      </c>
    </row>
    <row r="86" spans="1:9">
      <c r="A86" s="41" t="s">
        <v>1105</v>
      </c>
      <c r="B86" s="41" t="s">
        <v>1103</v>
      </c>
      <c r="C86" s="45" t="s">
        <v>1107</v>
      </c>
      <c r="D86" s="45" t="s">
        <v>1108</v>
      </c>
      <c r="E86" s="173" t="s">
        <v>1200</v>
      </c>
      <c r="F86" s="46" t="s">
        <v>0</v>
      </c>
      <c r="G86" s="46" t="s">
        <v>0</v>
      </c>
      <c r="H86" s="45"/>
      <c r="I86" t="s">
        <v>1112</v>
      </c>
    </row>
    <row r="87" spans="1:9">
      <c r="A87" s="41" t="s">
        <v>1105</v>
      </c>
      <c r="B87" s="41" t="s">
        <v>1103</v>
      </c>
      <c r="C87" s="45" t="s">
        <v>1415</v>
      </c>
      <c r="D87" s="45" t="s">
        <v>1416</v>
      </c>
      <c r="E87" s="173" t="s">
        <v>39</v>
      </c>
      <c r="F87" s="46" t="s">
        <v>0</v>
      </c>
      <c r="G87" s="46" t="s">
        <v>0</v>
      </c>
      <c r="H87" s="45"/>
      <c r="I87" t="s">
        <v>28</v>
      </c>
    </row>
    <row r="88" spans="1:9">
      <c r="A88" s="42" t="s">
        <v>1105</v>
      </c>
      <c r="B88" s="26" t="s">
        <v>1240</v>
      </c>
      <c r="C88" s="26" t="s">
        <v>1166</v>
      </c>
      <c r="D88" s="26" t="s">
        <v>1166</v>
      </c>
      <c r="E88" s="155" t="s">
        <v>1200</v>
      </c>
      <c r="F88" s="15" t="s">
        <v>0</v>
      </c>
      <c r="G88" s="15" t="s">
        <v>0</v>
      </c>
      <c r="H88" s="26" t="s">
        <v>1167</v>
      </c>
      <c r="I88" t="s">
        <v>1112</v>
      </c>
    </row>
    <row r="89" spans="1:9">
      <c r="A89" s="26"/>
      <c r="B89" s="26"/>
      <c r="C89" s="26"/>
      <c r="D89" s="26"/>
      <c r="E89" s="26"/>
      <c r="F89" s="15"/>
      <c r="G89" s="15"/>
      <c r="H89" s="26"/>
      <c r="I89" t="s">
        <v>28</v>
      </c>
    </row>
    <row r="90" spans="1:9">
      <c r="A90" s="26"/>
      <c r="B90" s="26"/>
      <c r="C90" s="26"/>
      <c r="D90" s="26"/>
      <c r="E90" s="26"/>
      <c r="F90" s="15"/>
      <c r="G90" s="15"/>
      <c r="H90" s="26"/>
      <c r="I90" t="s">
        <v>28</v>
      </c>
    </row>
    <row r="91" spans="1:9">
      <c r="A91" s="26"/>
      <c r="B91" s="26"/>
      <c r="C91" s="26"/>
      <c r="D91" s="26"/>
      <c r="E91" s="26"/>
      <c r="F91" s="15"/>
      <c r="G91" s="15"/>
      <c r="H91" s="26"/>
      <c r="I91" t="s">
        <v>28</v>
      </c>
    </row>
    <row r="92" spans="1:9">
      <c r="A92" s="26"/>
      <c r="B92" s="26"/>
      <c r="C92" s="26"/>
      <c r="D92" s="26"/>
      <c r="E92" s="26"/>
      <c r="F92" s="15"/>
      <c r="G92" s="15"/>
      <c r="H92" s="26"/>
      <c r="I92" t="s">
        <v>28</v>
      </c>
    </row>
    <row r="93" spans="1:9">
      <c r="A93" s="26"/>
      <c r="B93" s="26"/>
      <c r="C93" s="26"/>
      <c r="D93" s="26"/>
      <c r="E93" s="26"/>
      <c r="F93" s="15"/>
      <c r="G93" s="15"/>
      <c r="H93" s="26"/>
      <c r="I93" t="s">
        <v>1112</v>
      </c>
    </row>
    <row r="94" spans="1:9">
      <c r="A94" s="26"/>
      <c r="B94" s="26"/>
      <c r="C94" s="26"/>
      <c r="D94" s="26"/>
      <c r="E94" s="26"/>
      <c r="F94" s="15"/>
      <c r="G94" s="15"/>
      <c r="H94" s="26"/>
      <c r="I94" t="s">
        <v>1112</v>
      </c>
    </row>
    <row r="95" spans="1:9">
      <c r="A95" s="26"/>
      <c r="B95" s="26"/>
      <c r="C95" s="26"/>
      <c r="D95" s="26"/>
      <c r="E95" s="26"/>
      <c r="F95" s="15"/>
      <c r="G95" s="15"/>
      <c r="H95" s="26"/>
      <c r="I95" t="s">
        <v>1112</v>
      </c>
    </row>
    <row r="96" spans="1:9">
      <c r="A96" s="26"/>
      <c r="B96" s="26"/>
      <c r="C96" s="26"/>
      <c r="D96" s="26"/>
      <c r="E96" s="26"/>
      <c r="F96" s="15"/>
      <c r="G96" s="15"/>
      <c r="H96" s="26"/>
      <c r="I96" t="s">
        <v>1112</v>
      </c>
    </row>
    <row r="97" spans="1:9">
      <c r="A97" s="26"/>
      <c r="B97" s="26"/>
      <c r="C97" s="26"/>
      <c r="D97" s="26"/>
      <c r="E97" s="26"/>
      <c r="F97" s="15"/>
      <c r="G97" s="15"/>
      <c r="H97" s="26"/>
      <c r="I97" t="s">
        <v>1112</v>
      </c>
    </row>
    <row r="98" spans="1:9">
      <c r="A98" s="26"/>
      <c r="B98" s="26"/>
      <c r="C98" s="26"/>
      <c r="D98" s="26"/>
      <c r="E98" s="26"/>
      <c r="F98" s="15"/>
      <c r="G98" s="15"/>
      <c r="H98" s="26"/>
      <c r="I98" t="s">
        <v>1112</v>
      </c>
    </row>
    <row r="99" spans="1:9">
      <c r="A99" s="26"/>
      <c r="B99" s="26"/>
      <c r="C99" s="26"/>
      <c r="D99" s="26"/>
      <c r="E99" s="26"/>
      <c r="F99" s="15"/>
      <c r="G99" s="15"/>
      <c r="H99" s="26"/>
      <c r="I99" t="s">
        <v>1112</v>
      </c>
    </row>
    <row r="100" spans="1:9">
      <c r="A100" s="26"/>
      <c r="B100" s="26"/>
      <c r="C100" s="26"/>
      <c r="D100" s="26"/>
      <c r="E100" s="26"/>
      <c r="F100" s="15"/>
      <c r="G100" s="15"/>
      <c r="H100" s="26"/>
      <c r="I100" t="s">
        <v>1112</v>
      </c>
    </row>
    <row r="101" spans="1:9">
      <c r="A101" s="26"/>
      <c r="B101" s="26"/>
      <c r="C101" s="26"/>
      <c r="D101" s="26"/>
      <c r="E101" s="26"/>
      <c r="F101" s="15"/>
      <c r="G101" s="15"/>
      <c r="H101" s="26"/>
      <c r="I101" t="s">
        <v>1112</v>
      </c>
    </row>
    <row r="102" spans="1:9">
      <c r="A102" s="26"/>
      <c r="B102" s="26"/>
      <c r="C102" s="26"/>
      <c r="D102" s="26"/>
      <c r="E102" s="26"/>
      <c r="F102" s="15"/>
      <c r="G102" s="15"/>
      <c r="H102" s="26"/>
      <c r="I102" t="s">
        <v>1112</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1092</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1088</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1329</v>
      </c>
      <c r="M12" s="53"/>
      <c r="N12" s="53"/>
      <c r="O12" s="53" t="s">
        <v>1330</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861</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860</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1327</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1326</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1042</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1042</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1328</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1087</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1258</v>
      </c>
    </row>
    <row r="38" spans="2:20">
      <c r="C38" s="56" t="s">
        <v>429</v>
      </c>
      <c r="D38" s="62" t="s">
        <v>1082</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1258</v>
      </c>
    </row>
    <row r="39" spans="2:20">
      <c r="C39" s="56" t="s">
        <v>431</v>
      </c>
      <c r="D39" s="62" t="s">
        <v>1083</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1084</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1179</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1179</v>
      </c>
    </row>
    <row r="43" spans="2:20">
      <c r="C43" s="56" t="s">
        <v>1171</v>
      </c>
      <c r="D43" s="62" t="s">
        <v>1170</v>
      </c>
      <c r="E43" s="57" t="s">
        <v>1172</v>
      </c>
      <c r="F43" s="57" t="s">
        <v>1172</v>
      </c>
      <c r="G43" s="57" t="s">
        <v>1172</v>
      </c>
      <c r="H43" s="61" t="s">
        <v>388</v>
      </c>
      <c r="I43" s="61" t="s">
        <v>388</v>
      </c>
      <c r="J43" s="57" t="s">
        <v>1173</v>
      </c>
      <c r="K43" s="61" t="s">
        <v>388</v>
      </c>
      <c r="L43" s="57" t="s">
        <v>1169</v>
      </c>
      <c r="M43" s="57"/>
      <c r="N43" s="57" t="s">
        <v>1168</v>
      </c>
      <c r="O43" s="57"/>
      <c r="P43" s="56"/>
      <c r="Q43" s="57"/>
      <c r="R43" s="57"/>
      <c r="S43" s="56"/>
      <c r="T43" s="56" t="s">
        <v>1174</v>
      </c>
    </row>
    <row r="44" spans="2:20">
      <c r="C44" s="56" t="s">
        <v>517</v>
      </c>
      <c r="D44" s="62" t="s">
        <v>1331</v>
      </c>
      <c r="E44" s="57" t="s">
        <v>166</v>
      </c>
      <c r="F44" s="57" t="s">
        <v>166</v>
      </c>
      <c r="G44" s="57" t="s">
        <v>166</v>
      </c>
      <c r="H44" s="61" t="s">
        <v>388</v>
      </c>
      <c r="I44" s="61" t="s">
        <v>388</v>
      </c>
      <c r="J44" s="61" t="s">
        <v>388</v>
      </c>
      <c r="K44" s="57" t="s">
        <v>166</v>
      </c>
      <c r="L44" s="57" t="s">
        <v>1332</v>
      </c>
      <c r="M44" s="57"/>
      <c r="N44" s="57" t="s">
        <v>1168</v>
      </c>
      <c r="O44" s="57"/>
      <c r="P44" s="56"/>
      <c r="Q44" s="57"/>
      <c r="R44" s="57"/>
      <c r="S44" s="56"/>
      <c r="T44" s="56" t="s">
        <v>1333</v>
      </c>
    </row>
    <row r="45" spans="2:20">
      <c r="P45" s="8"/>
      <c r="Q45" s="8"/>
      <c r="R45" s="8"/>
      <c r="S45" s="8"/>
    </row>
    <row r="46" spans="2:20">
      <c r="C46" s="63" t="s">
        <v>1257</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923</v>
      </c>
    </row>
    <row r="68" spans="3:16" outlineLevel="1">
      <c r="C68" s="65" t="s">
        <v>457</v>
      </c>
    </row>
    <row r="69" spans="3:16" outlineLevel="1">
      <c r="C69" s="63" t="s">
        <v>1085</v>
      </c>
    </row>
    <row r="70" spans="3:16" outlineLevel="1">
      <c r="C70" s="66" t="s">
        <v>458</v>
      </c>
    </row>
    <row r="71" spans="3:16" outlineLevel="1">
      <c r="C71" s="63" t="s">
        <v>459</v>
      </c>
    </row>
    <row r="72" spans="3:16" outlineLevel="1"/>
    <row r="73" spans="3:16">
      <c r="C73" s="7" t="s">
        <v>1039</v>
      </c>
    </row>
    <row r="74" spans="3:16">
      <c r="C74" s="7" t="s">
        <v>1053</v>
      </c>
      <c r="E74" s="7" t="s">
        <v>1043</v>
      </c>
      <c r="P74" s="7" t="s">
        <v>1051</v>
      </c>
    </row>
    <row r="75" spans="3:16">
      <c r="C75" s="7" t="s">
        <v>1054</v>
      </c>
      <c r="E75" s="7" t="s">
        <v>1044</v>
      </c>
      <c r="P75" s="7" t="s">
        <v>1052</v>
      </c>
    </row>
    <row r="76" spans="3:16">
      <c r="C76" s="52" t="s">
        <v>1055</v>
      </c>
      <c r="E76" s="7" t="s">
        <v>1045</v>
      </c>
      <c r="P76" s="7" t="s">
        <v>1046</v>
      </c>
    </row>
    <row r="77" spans="3:16">
      <c r="C77" s="7" t="s">
        <v>1175</v>
      </c>
      <c r="E77" s="52" t="s">
        <v>1176</v>
      </c>
    </row>
    <row r="78" spans="3:16">
      <c r="C78" s="7" t="s">
        <v>1177</v>
      </c>
      <c r="E78" s="7" t="s">
        <v>1178</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1288</v>
      </c>
      <c r="F1" s="163"/>
      <c r="G1" s="163"/>
      <c r="H1" s="163"/>
    </row>
    <row r="2" spans="1:8">
      <c r="A2" s="164" t="s">
        <v>170</v>
      </c>
      <c r="B2" s="164" t="s">
        <v>1289</v>
      </c>
      <c r="C2" s="164" t="s">
        <v>1290</v>
      </c>
      <c r="D2" s="164" t="s">
        <v>1291</v>
      </c>
      <c r="E2" s="164" t="s">
        <v>1292</v>
      </c>
      <c r="F2" s="164" t="s">
        <v>1293</v>
      </c>
      <c r="G2" s="164" t="s">
        <v>1294</v>
      </c>
      <c r="H2" s="164" t="s">
        <v>1317</v>
      </c>
    </row>
    <row r="3" spans="1:8">
      <c r="A3" s="56" t="s">
        <v>1210</v>
      </c>
      <c r="B3" s="56" t="s">
        <v>1208</v>
      </c>
      <c r="C3" s="56" t="s">
        <v>1295</v>
      </c>
      <c r="D3" s="56" t="s">
        <v>1295</v>
      </c>
      <c r="E3" s="165" t="s">
        <v>1320</v>
      </c>
      <c r="F3" s="165" t="s">
        <v>1296</v>
      </c>
      <c r="G3" s="165" t="s">
        <v>1296</v>
      </c>
      <c r="H3" s="165" t="s">
        <v>292</v>
      </c>
    </row>
    <row r="4" spans="1:8">
      <c r="A4" s="56" t="s">
        <v>1212</v>
      </c>
      <c r="B4" s="56" t="s">
        <v>1051</v>
      </c>
      <c r="C4" s="56" t="s">
        <v>1297</v>
      </c>
      <c r="D4" s="56" t="s">
        <v>1298</v>
      </c>
      <c r="E4" s="165" t="s">
        <v>1299</v>
      </c>
      <c r="F4" s="165" t="s">
        <v>1296</v>
      </c>
      <c r="G4" s="165" t="s">
        <v>1296</v>
      </c>
      <c r="H4" s="165" t="s">
        <v>292</v>
      </c>
    </row>
    <row r="5" spans="1:8">
      <c r="A5" s="56" t="s">
        <v>1211</v>
      </c>
      <c r="B5" s="56" t="s">
        <v>1046</v>
      </c>
      <c r="C5" s="165" t="s">
        <v>417</v>
      </c>
      <c r="D5" s="56" t="s">
        <v>1300</v>
      </c>
      <c r="E5" s="165" t="s">
        <v>1299</v>
      </c>
      <c r="F5" s="165" t="s">
        <v>1296</v>
      </c>
      <c r="G5" s="165" t="s">
        <v>1296</v>
      </c>
      <c r="H5" s="165" t="s">
        <v>292</v>
      </c>
    </row>
    <row r="6" spans="1:8">
      <c r="A6" s="56" t="s">
        <v>1213</v>
      </c>
      <c r="B6" s="56" t="s">
        <v>1052</v>
      </c>
      <c r="C6" s="56" t="s">
        <v>1301</v>
      </c>
      <c r="D6" s="56" t="s">
        <v>1300</v>
      </c>
      <c r="E6" s="165" t="s">
        <v>1299</v>
      </c>
      <c r="F6" s="165" t="s">
        <v>1296</v>
      </c>
      <c r="G6" s="165" t="s">
        <v>1296</v>
      </c>
      <c r="H6" s="165" t="s">
        <v>292</v>
      </c>
    </row>
    <row r="7" spans="1:8">
      <c r="A7" s="56" t="s">
        <v>1323</v>
      </c>
      <c r="B7" s="56" t="s">
        <v>1324</v>
      </c>
      <c r="C7" s="56" t="s">
        <v>1325</v>
      </c>
      <c r="D7" s="56" t="s">
        <v>1300</v>
      </c>
      <c r="E7" s="165" t="s">
        <v>1299</v>
      </c>
      <c r="F7" s="165" t="s">
        <v>1296</v>
      </c>
      <c r="G7" s="165" t="s">
        <v>1296</v>
      </c>
      <c r="H7" s="165" t="s">
        <v>292</v>
      </c>
    </row>
    <row r="8" spans="1:8">
      <c r="A8" s="56" t="s">
        <v>1214</v>
      </c>
      <c r="B8" s="56" t="s">
        <v>1322</v>
      </c>
      <c r="C8" s="56" t="s">
        <v>1302</v>
      </c>
      <c r="D8" s="56" t="s">
        <v>1300</v>
      </c>
      <c r="E8" s="165" t="s">
        <v>1299</v>
      </c>
      <c r="F8" s="165" t="s">
        <v>1296</v>
      </c>
      <c r="G8" s="165" t="s">
        <v>1296</v>
      </c>
      <c r="H8" s="165" t="s">
        <v>1318</v>
      </c>
    </row>
    <row r="9" spans="1:8">
      <c r="A9" s="56" t="s">
        <v>1334</v>
      </c>
      <c r="B9" s="56" t="s">
        <v>1335</v>
      </c>
      <c r="C9" s="56" t="s">
        <v>1336</v>
      </c>
      <c r="D9" s="56" t="s">
        <v>1300</v>
      </c>
      <c r="E9" s="165" t="s">
        <v>1299</v>
      </c>
      <c r="F9" s="165" t="s">
        <v>1012</v>
      </c>
      <c r="G9" s="165" t="s">
        <v>1012</v>
      </c>
      <c r="H9" s="165" t="s">
        <v>39</v>
      </c>
    </row>
    <row r="10" spans="1:8">
      <c r="A10" s="56" t="s">
        <v>1254</v>
      </c>
      <c r="B10" s="56" t="s">
        <v>1303</v>
      </c>
      <c r="C10" s="56" t="s">
        <v>1304</v>
      </c>
      <c r="D10" s="56" t="s">
        <v>1305</v>
      </c>
      <c r="E10" s="56" t="s">
        <v>1296</v>
      </c>
      <c r="F10" s="165" t="s">
        <v>1306</v>
      </c>
      <c r="G10" s="56" t="s">
        <v>1296</v>
      </c>
      <c r="H10" s="56" t="s">
        <v>292</v>
      </c>
    </row>
    <row r="11" spans="1:8">
      <c r="A11" s="165" t="s">
        <v>705</v>
      </c>
      <c r="B11" s="165" t="s">
        <v>1307</v>
      </c>
      <c r="C11" s="165" t="s">
        <v>1308</v>
      </c>
      <c r="D11" s="56" t="s">
        <v>1309</v>
      </c>
      <c r="E11" s="165" t="s">
        <v>1296</v>
      </c>
      <c r="F11" s="165" t="s">
        <v>1296</v>
      </c>
      <c r="G11" s="165" t="s">
        <v>1306</v>
      </c>
      <c r="H11" s="165" t="s">
        <v>1319</v>
      </c>
    </row>
    <row r="12" spans="1:8">
      <c r="A12" s="56" t="s">
        <v>1310</v>
      </c>
      <c r="B12" s="165" t="s">
        <v>1311</v>
      </c>
      <c r="C12" s="165" t="s">
        <v>1312</v>
      </c>
      <c r="D12" s="165" t="s">
        <v>1313</v>
      </c>
      <c r="E12" s="165" t="s">
        <v>1296</v>
      </c>
      <c r="F12" s="165" t="s">
        <v>1306</v>
      </c>
      <c r="G12" s="165" t="s">
        <v>1296</v>
      </c>
      <c r="H12" s="165" t="s">
        <v>292</v>
      </c>
    </row>
    <row r="13" spans="1:8">
      <c r="A13" s="165" t="s">
        <v>1314</v>
      </c>
      <c r="B13" s="165"/>
      <c r="C13" s="165" t="s">
        <v>1315</v>
      </c>
      <c r="D13" s="165" t="s">
        <v>1316</v>
      </c>
      <c r="E13" s="165" t="s">
        <v>1321</v>
      </c>
      <c r="F13" s="165" t="s">
        <v>1296</v>
      </c>
      <c r="G13" s="165" t="s">
        <v>1296</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1049</v>
      </c>
      <c r="D20" s="7" t="s">
        <v>467</v>
      </c>
    </row>
    <row r="21" spans="1:5">
      <c r="B21" s="7" t="s">
        <v>468</v>
      </c>
      <c r="C21" s="7" t="s">
        <v>480</v>
      </c>
      <c r="D21" s="7" t="s">
        <v>469</v>
      </c>
    </row>
    <row r="22" spans="1:5">
      <c r="B22" s="7" t="s">
        <v>470</v>
      </c>
      <c r="C22" s="7" t="s">
        <v>511</v>
      </c>
      <c r="D22" s="7" t="s">
        <v>471</v>
      </c>
      <c r="E22" s="7" t="s">
        <v>1050</v>
      </c>
    </row>
    <row r="23" spans="1:5">
      <c r="B23" s="7" t="s">
        <v>472</v>
      </c>
      <c r="C23" s="7" t="s">
        <v>515</v>
      </c>
      <c r="D23" s="7" t="s">
        <v>473</v>
      </c>
      <c r="E23" s="7" t="s">
        <v>1050</v>
      </c>
    </row>
    <row r="24" spans="1:5">
      <c r="B24" s="7" t="s">
        <v>474</v>
      </c>
      <c r="C24" s="7" t="s">
        <v>513</v>
      </c>
      <c r="D24" s="7" t="s">
        <v>475</v>
      </c>
      <c r="E24" s="7" t="s">
        <v>1050</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遠藤 竜也</cp:lastModifiedBy>
  <dcterms:created xsi:type="dcterms:W3CDTF">2021-01-15T04:23:06Z</dcterms:created>
  <dcterms:modified xsi:type="dcterms:W3CDTF">2026-04-22T20:28:44Z</dcterms:modified>
</cp:coreProperties>
</file>