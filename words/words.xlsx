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obocip20-my.sharepoint.com/personal/endo_tatsuya_robocip_or_jp/Documents/ドキュメント/_repos/other/words/"/>
    </mc:Choice>
  </mc:AlternateContent>
  <xr:revisionPtr revIDLastSave="5" documentId="13_ncr:1_{20904ACC-9A47-4E59-9D0C-A08BD8E602D1}" xr6:coauthVersionLast="47" xr6:coauthVersionMax="47" xr10:uidLastSave="{FD63D33C-37C8-47ED-B819-5646EB372992}"/>
  <bookViews>
    <workbookView xWindow="28815" yWindow="-6795" windowWidth="38385" windowHeight="42465" xr2:uid="{5F4F135C-1501-4C2F-B795-058F7C491BB1}"/>
  </bookViews>
  <sheets>
    <sheet name="用語集" sheetId="2" r:id="rId1"/>
  </sheets>
  <definedNames>
    <definedName name="_xlnm._FilterDatabase" localSheetId="0" hidden="1">用語集!$A$1:$N$501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2" l="1"/>
  <c r="B75" i="2"/>
  <c r="C501" i="2"/>
  <c r="B501" i="2"/>
  <c r="C500" i="2"/>
  <c r="B500" i="2"/>
  <c r="C499" i="2"/>
  <c r="B499" i="2"/>
  <c r="C498" i="2"/>
  <c r="B498" i="2"/>
  <c r="C497" i="2"/>
  <c r="B497" i="2"/>
  <c r="C496" i="2"/>
  <c r="B496" i="2"/>
  <c r="C495" i="2"/>
  <c r="B495" i="2"/>
  <c r="C494" i="2"/>
  <c r="B494" i="2"/>
  <c r="C493" i="2"/>
  <c r="B493" i="2"/>
  <c r="C492" i="2"/>
  <c r="B492" i="2"/>
  <c r="C491" i="2"/>
  <c r="B491" i="2"/>
  <c r="C490" i="2"/>
  <c r="B490" i="2"/>
  <c r="C489" i="2"/>
  <c r="B489" i="2"/>
  <c r="C488" i="2"/>
  <c r="B488" i="2"/>
  <c r="C487" i="2"/>
  <c r="B487" i="2"/>
  <c r="C486" i="2"/>
  <c r="B486" i="2"/>
  <c r="C485" i="2"/>
  <c r="B485" i="2"/>
  <c r="C484" i="2"/>
  <c r="B484" i="2"/>
  <c r="C483" i="2"/>
  <c r="B483" i="2"/>
  <c r="C482" i="2"/>
  <c r="B482" i="2"/>
  <c r="C481" i="2"/>
  <c r="B481" i="2"/>
  <c r="C480" i="2"/>
  <c r="B480" i="2"/>
  <c r="C479" i="2"/>
  <c r="B479" i="2"/>
  <c r="C478" i="2"/>
  <c r="B478" i="2"/>
  <c r="C477" i="2"/>
  <c r="B477" i="2"/>
  <c r="C476" i="2"/>
  <c r="B476" i="2"/>
  <c r="C475" i="2"/>
  <c r="B475" i="2"/>
  <c r="C474" i="2"/>
  <c r="B474" i="2"/>
  <c r="C473" i="2"/>
  <c r="B473" i="2"/>
  <c r="C472" i="2"/>
  <c r="B472" i="2"/>
  <c r="C471" i="2"/>
  <c r="B471" i="2"/>
  <c r="C470" i="2"/>
  <c r="B470" i="2"/>
  <c r="C469" i="2"/>
  <c r="B469" i="2"/>
  <c r="C468" i="2"/>
  <c r="B468" i="2"/>
  <c r="C467" i="2"/>
  <c r="B467" i="2"/>
  <c r="C466" i="2"/>
  <c r="B466" i="2"/>
  <c r="C465" i="2"/>
  <c r="B465" i="2"/>
  <c r="C464" i="2"/>
  <c r="B464" i="2"/>
  <c r="C463" i="2"/>
  <c r="B463" i="2"/>
  <c r="C462" i="2"/>
  <c r="B462" i="2"/>
  <c r="C461" i="2"/>
  <c r="B461" i="2"/>
  <c r="C460" i="2"/>
  <c r="B460" i="2"/>
  <c r="C459" i="2"/>
  <c r="B459" i="2"/>
  <c r="C458" i="2"/>
  <c r="B458" i="2"/>
  <c r="C457" i="2"/>
  <c r="B457" i="2"/>
  <c r="C456" i="2"/>
  <c r="B456" i="2"/>
  <c r="C455" i="2"/>
  <c r="B455" i="2"/>
  <c r="C454" i="2"/>
  <c r="B454" i="2"/>
  <c r="C453" i="2"/>
  <c r="B453" i="2"/>
  <c r="C452" i="2"/>
  <c r="B452" i="2"/>
  <c r="C451" i="2"/>
  <c r="B451" i="2"/>
  <c r="C450" i="2"/>
  <c r="B450" i="2"/>
  <c r="C449" i="2"/>
  <c r="B449" i="2"/>
  <c r="C448" i="2"/>
  <c r="B448" i="2"/>
  <c r="C447" i="2"/>
  <c r="B447" i="2"/>
  <c r="C446" i="2"/>
  <c r="B446" i="2"/>
  <c r="C445" i="2"/>
  <c r="B445" i="2"/>
  <c r="C444" i="2"/>
  <c r="B444" i="2"/>
  <c r="C443" i="2"/>
  <c r="B443" i="2"/>
  <c r="C442" i="2"/>
  <c r="B442" i="2"/>
  <c r="C441" i="2"/>
  <c r="B441" i="2"/>
  <c r="C440" i="2"/>
  <c r="B440" i="2"/>
  <c r="C439" i="2"/>
  <c r="B439" i="2"/>
  <c r="C438" i="2"/>
  <c r="B438" i="2"/>
  <c r="C437" i="2"/>
  <c r="B437" i="2"/>
  <c r="C436" i="2"/>
  <c r="B436" i="2"/>
  <c r="C435" i="2"/>
  <c r="B435" i="2"/>
  <c r="C434" i="2"/>
  <c r="B434" i="2"/>
  <c r="C433" i="2"/>
  <c r="B433" i="2"/>
  <c r="C432" i="2"/>
  <c r="B432" i="2"/>
  <c r="C431" i="2"/>
  <c r="B431" i="2"/>
  <c r="C430" i="2"/>
  <c r="B430" i="2"/>
  <c r="C429" i="2"/>
  <c r="B429" i="2"/>
  <c r="C428" i="2"/>
  <c r="B428" i="2"/>
  <c r="C427" i="2"/>
  <c r="B427" i="2"/>
  <c r="C426" i="2"/>
  <c r="B426" i="2"/>
  <c r="C425" i="2"/>
  <c r="B425" i="2"/>
  <c r="C424" i="2"/>
  <c r="B424" i="2"/>
  <c r="C423" i="2"/>
  <c r="B423" i="2"/>
  <c r="C422" i="2"/>
  <c r="B422" i="2"/>
  <c r="C421" i="2"/>
  <c r="B421" i="2"/>
  <c r="C420" i="2"/>
  <c r="B420" i="2"/>
  <c r="C419" i="2"/>
  <c r="B419" i="2"/>
  <c r="C418" i="2"/>
  <c r="B418" i="2"/>
  <c r="C417" i="2"/>
  <c r="B417" i="2"/>
  <c r="C416" i="2"/>
  <c r="B416" i="2"/>
  <c r="C415" i="2"/>
  <c r="B415" i="2"/>
  <c r="C414" i="2"/>
  <c r="B414" i="2"/>
  <c r="C413" i="2"/>
  <c r="B413" i="2"/>
  <c r="C412" i="2"/>
  <c r="B412" i="2"/>
  <c r="C411" i="2"/>
  <c r="B411" i="2"/>
  <c r="C410" i="2"/>
  <c r="B410" i="2"/>
  <c r="C409" i="2"/>
  <c r="B409" i="2"/>
  <c r="C408" i="2"/>
  <c r="B408" i="2"/>
  <c r="C407" i="2"/>
  <c r="B407" i="2"/>
  <c r="C406" i="2"/>
  <c r="B406" i="2"/>
  <c r="C405" i="2"/>
  <c r="B405" i="2"/>
  <c r="C404" i="2"/>
  <c r="B404" i="2"/>
  <c r="C403" i="2"/>
  <c r="B403" i="2"/>
  <c r="C402" i="2"/>
  <c r="B402" i="2"/>
  <c r="C401" i="2"/>
  <c r="B401" i="2"/>
  <c r="C400" i="2"/>
  <c r="B400" i="2"/>
  <c r="C399" i="2"/>
  <c r="B399" i="2"/>
  <c r="C398" i="2"/>
  <c r="B398" i="2"/>
  <c r="C397" i="2"/>
  <c r="B397" i="2"/>
  <c r="C396" i="2"/>
  <c r="B396" i="2"/>
  <c r="C395" i="2"/>
  <c r="B395" i="2"/>
  <c r="C394" i="2"/>
  <c r="B394" i="2"/>
  <c r="C393" i="2"/>
  <c r="B393" i="2"/>
  <c r="C392" i="2"/>
  <c r="B392" i="2"/>
  <c r="C391" i="2"/>
  <c r="B391" i="2"/>
  <c r="C390" i="2"/>
  <c r="B390" i="2"/>
  <c r="C389" i="2"/>
  <c r="B389" i="2"/>
  <c r="C388" i="2"/>
  <c r="B388" i="2"/>
  <c r="C387" i="2"/>
  <c r="B387" i="2"/>
  <c r="C386" i="2"/>
  <c r="B386" i="2"/>
  <c r="C385" i="2"/>
  <c r="B385" i="2"/>
  <c r="C384" i="2"/>
  <c r="B384" i="2"/>
  <c r="C383" i="2"/>
  <c r="B383" i="2"/>
  <c r="C382" i="2"/>
  <c r="B382" i="2"/>
  <c r="C381" i="2"/>
  <c r="B381" i="2"/>
  <c r="C380" i="2"/>
  <c r="B380" i="2"/>
  <c r="C379" i="2"/>
  <c r="B379" i="2"/>
  <c r="C378" i="2"/>
  <c r="B378" i="2"/>
  <c r="C377" i="2"/>
  <c r="B377" i="2"/>
  <c r="C376" i="2"/>
  <c r="B376" i="2"/>
  <c r="C375" i="2"/>
  <c r="B375" i="2"/>
  <c r="C374" i="2"/>
  <c r="B374" i="2"/>
  <c r="C373" i="2"/>
  <c r="B373" i="2"/>
  <c r="C372" i="2"/>
  <c r="B372" i="2"/>
  <c r="C371" i="2"/>
  <c r="B371" i="2"/>
  <c r="C370" i="2"/>
  <c r="B370" i="2"/>
  <c r="C369" i="2"/>
  <c r="B369" i="2"/>
  <c r="C368" i="2"/>
  <c r="B368" i="2"/>
  <c r="C367" i="2"/>
  <c r="B367" i="2"/>
  <c r="C366" i="2"/>
  <c r="B366" i="2"/>
  <c r="C365" i="2"/>
  <c r="B365" i="2"/>
  <c r="C364" i="2"/>
  <c r="B364" i="2"/>
  <c r="C363" i="2"/>
  <c r="B363" i="2"/>
  <c r="C362" i="2"/>
  <c r="B362" i="2"/>
  <c r="C361" i="2"/>
  <c r="B361" i="2"/>
  <c r="C360" i="2"/>
  <c r="B360" i="2"/>
  <c r="C359" i="2"/>
  <c r="B359" i="2"/>
  <c r="C358" i="2"/>
  <c r="B358" i="2"/>
  <c r="C357" i="2"/>
  <c r="B357" i="2"/>
  <c r="C356" i="2"/>
  <c r="B356" i="2"/>
  <c r="C355" i="2"/>
  <c r="B355" i="2"/>
  <c r="C354" i="2"/>
  <c r="B354" i="2"/>
  <c r="C353" i="2"/>
  <c r="B353" i="2"/>
  <c r="C352" i="2"/>
  <c r="B352" i="2"/>
  <c r="C351" i="2"/>
  <c r="B351" i="2"/>
  <c r="C350" i="2"/>
  <c r="B350" i="2"/>
  <c r="C349" i="2"/>
  <c r="B349" i="2"/>
  <c r="C348" i="2"/>
  <c r="B348" i="2"/>
  <c r="C347" i="2"/>
  <c r="B347" i="2"/>
  <c r="C346" i="2"/>
  <c r="B346" i="2"/>
  <c r="C345" i="2"/>
  <c r="B345" i="2"/>
  <c r="C344" i="2"/>
  <c r="B344" i="2"/>
  <c r="C343" i="2"/>
  <c r="B343" i="2"/>
  <c r="C342" i="2"/>
  <c r="B342" i="2"/>
  <c r="C341" i="2"/>
  <c r="B341" i="2"/>
  <c r="C340" i="2"/>
  <c r="B340" i="2"/>
  <c r="C339" i="2"/>
  <c r="B339" i="2"/>
  <c r="C338" i="2"/>
  <c r="B338" i="2"/>
  <c r="C337" i="2"/>
  <c r="B337" i="2"/>
  <c r="C336" i="2"/>
  <c r="B336" i="2"/>
  <c r="C335" i="2"/>
  <c r="B335" i="2"/>
  <c r="C334" i="2"/>
  <c r="B334" i="2"/>
  <c r="C333" i="2"/>
  <c r="B333" i="2"/>
  <c r="C332" i="2"/>
  <c r="B332" i="2"/>
  <c r="C331" i="2"/>
  <c r="B331" i="2"/>
  <c r="C330" i="2"/>
  <c r="B330" i="2"/>
  <c r="C329" i="2"/>
  <c r="B329" i="2"/>
  <c r="C328" i="2"/>
  <c r="B328" i="2"/>
  <c r="C327" i="2"/>
  <c r="B327" i="2"/>
  <c r="C326" i="2"/>
  <c r="B326" i="2"/>
  <c r="C325" i="2"/>
  <c r="B325" i="2"/>
  <c r="C324" i="2"/>
  <c r="B324" i="2"/>
  <c r="C323" i="2"/>
  <c r="B323" i="2"/>
  <c r="C322" i="2"/>
  <c r="B322" i="2"/>
  <c r="C321" i="2"/>
  <c r="B321" i="2"/>
  <c r="C320" i="2"/>
  <c r="B320" i="2"/>
  <c r="C319" i="2"/>
  <c r="B319" i="2"/>
  <c r="C318" i="2"/>
  <c r="B318" i="2"/>
  <c r="C317" i="2"/>
  <c r="B317" i="2"/>
  <c r="C316" i="2"/>
  <c r="B316" i="2"/>
  <c r="C315" i="2"/>
  <c r="B315" i="2"/>
  <c r="C314" i="2"/>
  <c r="B314" i="2"/>
  <c r="C313" i="2"/>
  <c r="B313" i="2"/>
  <c r="C312" i="2"/>
  <c r="B312" i="2"/>
  <c r="C311" i="2"/>
  <c r="B311" i="2"/>
  <c r="C310" i="2"/>
  <c r="B310" i="2"/>
  <c r="C309" i="2"/>
  <c r="B309" i="2"/>
  <c r="C308" i="2"/>
  <c r="B308" i="2"/>
  <c r="C307" i="2"/>
  <c r="B307" i="2"/>
  <c r="C306" i="2"/>
  <c r="B306" i="2"/>
  <c r="C305" i="2"/>
  <c r="B305" i="2"/>
  <c r="C304" i="2"/>
  <c r="B304" i="2"/>
  <c r="C303" i="2"/>
  <c r="B303" i="2"/>
  <c r="C302" i="2"/>
  <c r="B302" i="2"/>
  <c r="C301" i="2"/>
  <c r="B301" i="2"/>
  <c r="C300" i="2"/>
  <c r="B300" i="2"/>
  <c r="C299" i="2"/>
  <c r="B299" i="2"/>
  <c r="C298" i="2"/>
  <c r="B298" i="2"/>
  <c r="C297" i="2"/>
  <c r="B297" i="2"/>
  <c r="C296" i="2"/>
  <c r="B296" i="2"/>
  <c r="C295" i="2"/>
  <c r="B295" i="2"/>
  <c r="C294" i="2"/>
  <c r="B294" i="2"/>
  <c r="C293" i="2"/>
  <c r="B293" i="2"/>
  <c r="C292" i="2"/>
  <c r="B292" i="2"/>
  <c r="C291" i="2"/>
  <c r="B291" i="2"/>
  <c r="C290" i="2"/>
  <c r="B290" i="2"/>
  <c r="C289" i="2"/>
  <c r="B289" i="2"/>
  <c r="C288" i="2"/>
  <c r="B288" i="2"/>
  <c r="C287" i="2"/>
  <c r="B287" i="2"/>
  <c r="C286" i="2"/>
  <c r="B286" i="2"/>
  <c r="C285" i="2"/>
  <c r="B285" i="2"/>
  <c r="C284" i="2"/>
  <c r="B284" i="2"/>
  <c r="C283" i="2"/>
  <c r="B283" i="2"/>
  <c r="C282" i="2"/>
  <c r="B282" i="2"/>
  <c r="C281" i="2"/>
  <c r="B281" i="2"/>
  <c r="C280" i="2"/>
  <c r="B280" i="2"/>
  <c r="C279" i="2"/>
  <c r="B279" i="2"/>
  <c r="C278" i="2"/>
  <c r="B278" i="2"/>
  <c r="C277" i="2"/>
  <c r="B277" i="2"/>
  <c r="C276" i="2"/>
  <c r="B276" i="2"/>
  <c r="C275" i="2"/>
  <c r="B275" i="2"/>
  <c r="C274" i="2"/>
  <c r="B274" i="2"/>
  <c r="C273" i="2"/>
  <c r="B273" i="2"/>
  <c r="C272" i="2"/>
  <c r="B272" i="2"/>
  <c r="C271" i="2"/>
  <c r="B271" i="2"/>
  <c r="C270" i="2"/>
  <c r="B270" i="2"/>
  <c r="C269" i="2"/>
  <c r="B269" i="2"/>
  <c r="C268" i="2"/>
  <c r="B268" i="2"/>
  <c r="C267" i="2"/>
  <c r="B267" i="2"/>
  <c r="C266" i="2"/>
  <c r="B266" i="2"/>
  <c r="C265" i="2"/>
  <c r="B265" i="2"/>
  <c r="C264" i="2"/>
  <c r="B264" i="2"/>
  <c r="C263" i="2"/>
  <c r="B263" i="2"/>
  <c r="C262" i="2"/>
  <c r="B262" i="2"/>
  <c r="C261" i="2"/>
  <c r="B261" i="2"/>
  <c r="C260" i="2"/>
  <c r="B260" i="2"/>
  <c r="C259" i="2"/>
  <c r="B259" i="2"/>
  <c r="C258" i="2"/>
  <c r="B258" i="2"/>
  <c r="C257" i="2"/>
  <c r="B257" i="2"/>
  <c r="C256" i="2"/>
  <c r="B256" i="2"/>
  <c r="C255" i="2"/>
  <c r="B255" i="2"/>
  <c r="C254" i="2"/>
  <c r="B254" i="2"/>
  <c r="C253" i="2"/>
  <c r="B253" i="2"/>
  <c r="C252" i="2"/>
  <c r="B252" i="2"/>
  <c r="C251" i="2"/>
  <c r="B251" i="2"/>
  <c r="C250" i="2"/>
  <c r="B250" i="2"/>
  <c r="C249" i="2"/>
  <c r="B249" i="2"/>
  <c r="C248" i="2"/>
  <c r="B248" i="2"/>
  <c r="C247" i="2"/>
  <c r="B247" i="2"/>
  <c r="C246" i="2"/>
  <c r="B246" i="2"/>
  <c r="C245" i="2"/>
  <c r="B245" i="2"/>
  <c r="C244" i="2"/>
  <c r="B244" i="2"/>
  <c r="C243" i="2"/>
  <c r="B243" i="2"/>
  <c r="C242" i="2"/>
  <c r="B242" i="2"/>
  <c r="C241" i="2"/>
  <c r="B241" i="2"/>
  <c r="C240" i="2"/>
  <c r="B240" i="2"/>
  <c r="C239" i="2"/>
  <c r="B239" i="2"/>
  <c r="C238" i="2"/>
  <c r="B238" i="2"/>
  <c r="C237" i="2"/>
  <c r="B237" i="2"/>
  <c r="C236" i="2"/>
  <c r="B236" i="2"/>
  <c r="C235" i="2"/>
  <c r="B235" i="2"/>
  <c r="C234" i="2"/>
  <c r="B234" i="2"/>
  <c r="C233" i="2"/>
  <c r="B233" i="2"/>
  <c r="C232" i="2"/>
  <c r="B232" i="2"/>
  <c r="C231" i="2"/>
  <c r="B231" i="2"/>
  <c r="C230" i="2"/>
  <c r="B230" i="2"/>
  <c r="C229" i="2"/>
  <c r="B229" i="2"/>
  <c r="C228" i="2"/>
  <c r="B228" i="2"/>
  <c r="C227" i="2"/>
  <c r="B227" i="2"/>
  <c r="C226" i="2"/>
  <c r="B226" i="2"/>
  <c r="C225" i="2"/>
  <c r="B225" i="2"/>
  <c r="C224" i="2"/>
  <c r="B224" i="2"/>
  <c r="C223" i="2"/>
  <c r="B223" i="2"/>
  <c r="C222" i="2"/>
  <c r="B222" i="2"/>
  <c r="C221" i="2"/>
  <c r="B221" i="2"/>
  <c r="C220" i="2"/>
  <c r="B220" i="2"/>
  <c r="C219" i="2"/>
  <c r="B219" i="2"/>
  <c r="C218" i="2"/>
  <c r="B218" i="2"/>
  <c r="C217" i="2"/>
  <c r="B217" i="2"/>
  <c r="C216" i="2"/>
  <c r="B216" i="2"/>
  <c r="C215" i="2"/>
  <c r="B215" i="2"/>
  <c r="C214" i="2"/>
  <c r="B214" i="2"/>
  <c r="C213" i="2"/>
  <c r="B213" i="2"/>
  <c r="C212" i="2"/>
  <c r="B212" i="2"/>
  <c r="C211" i="2"/>
  <c r="B211" i="2"/>
  <c r="C210" i="2"/>
  <c r="B210" i="2"/>
  <c r="C209" i="2"/>
  <c r="B209" i="2"/>
  <c r="C208" i="2"/>
  <c r="B208" i="2"/>
  <c r="C207" i="2"/>
  <c r="B207" i="2"/>
  <c r="C206" i="2"/>
  <c r="B206" i="2"/>
  <c r="C205" i="2"/>
  <c r="B205" i="2"/>
  <c r="C204" i="2"/>
  <c r="B204" i="2"/>
  <c r="C203" i="2"/>
  <c r="B203" i="2"/>
  <c r="C202" i="2"/>
  <c r="B202" i="2"/>
  <c r="C201" i="2"/>
  <c r="B201" i="2"/>
  <c r="C200" i="2"/>
  <c r="B200" i="2"/>
  <c r="C199" i="2"/>
  <c r="B199" i="2"/>
  <c r="C198" i="2"/>
  <c r="B198" i="2"/>
  <c r="C197" i="2"/>
  <c r="B197" i="2"/>
  <c r="C196" i="2"/>
  <c r="B196" i="2"/>
  <c r="C195" i="2"/>
  <c r="B195" i="2"/>
  <c r="C194" i="2"/>
  <c r="B194" i="2"/>
  <c r="C193" i="2"/>
  <c r="B193" i="2"/>
  <c r="C192" i="2"/>
  <c r="B192" i="2"/>
  <c r="C191" i="2"/>
  <c r="B191" i="2"/>
  <c r="C190" i="2"/>
  <c r="B190" i="2"/>
  <c r="C189" i="2"/>
  <c r="B189" i="2"/>
  <c r="C188" i="2"/>
  <c r="B188" i="2"/>
  <c r="C187" i="2"/>
  <c r="B187" i="2"/>
  <c r="C186" i="2"/>
  <c r="B186" i="2"/>
  <c r="C185" i="2"/>
  <c r="B185" i="2"/>
  <c r="C184" i="2"/>
  <c r="B184" i="2"/>
  <c r="C183" i="2"/>
  <c r="B183" i="2"/>
  <c r="C182" i="2"/>
  <c r="B182" i="2"/>
  <c r="C181" i="2"/>
  <c r="B181" i="2"/>
  <c r="C180" i="2"/>
  <c r="B180" i="2"/>
  <c r="C179" i="2"/>
  <c r="B179" i="2"/>
  <c r="C178" i="2"/>
  <c r="B178" i="2"/>
  <c r="C177" i="2"/>
  <c r="B177" i="2"/>
  <c r="C176" i="2"/>
  <c r="B176" i="2"/>
  <c r="C175" i="2"/>
  <c r="B175" i="2"/>
  <c r="C174" i="2"/>
  <c r="B174" i="2"/>
  <c r="C173" i="2"/>
  <c r="B173" i="2"/>
  <c r="C172" i="2"/>
  <c r="B172" i="2"/>
  <c r="C171" i="2"/>
  <c r="B171" i="2"/>
  <c r="C170" i="2"/>
  <c r="B170" i="2"/>
  <c r="C169" i="2"/>
  <c r="B169" i="2"/>
  <c r="C168" i="2"/>
  <c r="B168" i="2"/>
  <c r="C167" i="2"/>
  <c r="B167" i="2"/>
  <c r="C166" i="2"/>
  <c r="B166" i="2"/>
  <c r="C165" i="2"/>
  <c r="B165" i="2"/>
  <c r="C164" i="2"/>
  <c r="B164" i="2"/>
  <c r="C163" i="2"/>
  <c r="B163" i="2"/>
  <c r="C162" i="2"/>
  <c r="B162" i="2"/>
  <c r="C161" i="2"/>
  <c r="B161" i="2"/>
  <c r="C160" i="2"/>
  <c r="B160" i="2"/>
  <c r="C159" i="2"/>
  <c r="B159" i="2"/>
  <c r="C158" i="2"/>
  <c r="B158" i="2"/>
  <c r="C157" i="2"/>
  <c r="B157" i="2"/>
  <c r="C156" i="2"/>
  <c r="B156" i="2"/>
  <c r="C155" i="2"/>
  <c r="B155" i="2"/>
  <c r="C154" i="2"/>
  <c r="B154" i="2"/>
  <c r="C153" i="2"/>
  <c r="B153" i="2"/>
  <c r="C152" i="2"/>
  <c r="B152" i="2"/>
  <c r="C151" i="2"/>
  <c r="B151" i="2"/>
  <c r="C150" i="2"/>
  <c r="B150" i="2"/>
  <c r="C149" i="2"/>
  <c r="B149" i="2"/>
  <c r="C148" i="2"/>
  <c r="B148" i="2"/>
  <c r="C147" i="2"/>
  <c r="B147" i="2"/>
  <c r="C146" i="2"/>
  <c r="B146" i="2"/>
  <c r="C145" i="2"/>
  <c r="B145" i="2"/>
  <c r="C144" i="2"/>
  <c r="B144" i="2"/>
  <c r="C143" i="2"/>
  <c r="B143" i="2"/>
  <c r="C142" i="2"/>
  <c r="B142" i="2"/>
  <c r="C141" i="2"/>
  <c r="B141" i="2"/>
  <c r="C140" i="2"/>
  <c r="B140" i="2"/>
  <c r="C139" i="2"/>
  <c r="B139" i="2"/>
  <c r="C138" i="2"/>
  <c r="B138" i="2"/>
  <c r="C137" i="2"/>
  <c r="B137" i="2"/>
  <c r="C136" i="2"/>
  <c r="B136" i="2"/>
  <c r="C135" i="2"/>
  <c r="B135" i="2"/>
  <c r="C134" i="2"/>
  <c r="B134" i="2"/>
  <c r="C133" i="2"/>
  <c r="B133" i="2"/>
  <c r="C132" i="2"/>
  <c r="B132" i="2"/>
  <c r="C131" i="2"/>
  <c r="B131" i="2"/>
  <c r="C130" i="2"/>
  <c r="B130" i="2"/>
  <c r="C129" i="2"/>
  <c r="B129" i="2"/>
  <c r="C128" i="2"/>
  <c r="B128" i="2"/>
  <c r="C127" i="2"/>
  <c r="B127" i="2"/>
  <c r="C126" i="2"/>
  <c r="B126" i="2"/>
  <c r="C125" i="2"/>
  <c r="B125" i="2"/>
  <c r="C124" i="2"/>
  <c r="B124" i="2"/>
  <c r="C123" i="2"/>
  <c r="B123" i="2"/>
  <c r="C122" i="2"/>
  <c r="B122" i="2"/>
  <c r="C121" i="2"/>
  <c r="B121" i="2"/>
  <c r="C120" i="2"/>
  <c r="B120" i="2"/>
  <c r="C119" i="2"/>
  <c r="B119" i="2"/>
  <c r="C118" i="2"/>
  <c r="B118" i="2"/>
  <c r="C117" i="2"/>
  <c r="B117" i="2"/>
  <c r="C116" i="2"/>
  <c r="B116" i="2"/>
  <c r="C115" i="2"/>
  <c r="B115" i="2"/>
  <c r="C114" i="2"/>
  <c r="B114" i="2"/>
  <c r="C113" i="2"/>
  <c r="B113" i="2"/>
  <c r="C112" i="2"/>
  <c r="B112" i="2"/>
  <c r="C111" i="2"/>
  <c r="B111" i="2"/>
  <c r="C110" i="2"/>
  <c r="B110" i="2"/>
  <c r="C109" i="2"/>
  <c r="B109" i="2"/>
  <c r="C108" i="2"/>
  <c r="B108" i="2"/>
  <c r="C107" i="2"/>
  <c r="B107" i="2"/>
  <c r="C106" i="2"/>
  <c r="B106" i="2"/>
  <c r="C105" i="2"/>
  <c r="B105" i="2"/>
  <c r="C104" i="2"/>
  <c r="B104" i="2"/>
  <c r="C103" i="2"/>
  <c r="B103" i="2"/>
  <c r="C102" i="2"/>
  <c r="B102" i="2"/>
  <c r="C101" i="2"/>
  <c r="B101" i="2"/>
  <c r="C100" i="2"/>
  <c r="B100" i="2"/>
  <c r="C99" i="2"/>
  <c r="B99" i="2"/>
  <c r="C98" i="2"/>
  <c r="B98" i="2"/>
  <c r="C97" i="2"/>
  <c r="B97" i="2"/>
  <c r="C96" i="2"/>
  <c r="B96" i="2"/>
  <c r="C95" i="2"/>
  <c r="B95" i="2"/>
  <c r="C94" i="2"/>
  <c r="B94" i="2"/>
  <c r="C93" i="2"/>
  <c r="B93" i="2"/>
  <c r="C92" i="2"/>
  <c r="B92" i="2"/>
  <c r="C91" i="2"/>
  <c r="B91" i="2"/>
  <c r="C90" i="2"/>
  <c r="B90" i="2"/>
  <c r="C89" i="2"/>
  <c r="B89" i="2"/>
  <c r="C88" i="2"/>
  <c r="B88" i="2"/>
  <c r="C87" i="2"/>
  <c r="B87" i="2"/>
  <c r="C86" i="2"/>
  <c r="B86" i="2"/>
  <c r="C85" i="2"/>
  <c r="B85" i="2"/>
  <c r="C84" i="2"/>
  <c r="B84" i="2"/>
  <c r="C83" i="2"/>
  <c r="B83" i="2"/>
  <c r="C82" i="2"/>
  <c r="B82" i="2"/>
  <c r="C81" i="2"/>
  <c r="B81" i="2"/>
  <c r="C80" i="2"/>
  <c r="B80" i="2"/>
  <c r="C79" i="2"/>
  <c r="B79" i="2"/>
  <c r="C78" i="2"/>
  <c r="B78" i="2"/>
  <c r="C77" i="2"/>
  <c r="B77" i="2"/>
  <c r="C76" i="2"/>
  <c r="B76" i="2"/>
  <c r="C74" i="2"/>
  <c r="B74" i="2"/>
  <c r="C73" i="2"/>
  <c r="B73" i="2"/>
  <c r="C72" i="2"/>
  <c r="B72" i="2"/>
  <c r="C71" i="2"/>
  <c r="B71" i="2"/>
  <c r="C70" i="2"/>
  <c r="B70" i="2"/>
  <c r="C69" i="2"/>
  <c r="B69" i="2"/>
  <c r="C68" i="2"/>
  <c r="B68" i="2"/>
  <c r="C67" i="2"/>
  <c r="B67" i="2"/>
  <c r="C66" i="2"/>
  <c r="B66" i="2"/>
  <c r="C65" i="2"/>
  <c r="B65" i="2"/>
  <c r="C64" i="2"/>
  <c r="B64" i="2"/>
  <c r="C63" i="2"/>
  <c r="B63" i="2"/>
  <c r="C62" i="2"/>
  <c r="B62" i="2"/>
  <c r="C61" i="2"/>
  <c r="B61" i="2"/>
  <c r="C60" i="2"/>
  <c r="B60" i="2"/>
  <c r="C59" i="2"/>
  <c r="B59" i="2"/>
  <c r="C58" i="2"/>
  <c r="B58" i="2"/>
  <c r="C57" i="2"/>
  <c r="B57" i="2"/>
  <c r="C56" i="2"/>
  <c r="B56" i="2"/>
  <c r="C55" i="2"/>
  <c r="B55" i="2"/>
  <c r="C54" i="2"/>
  <c r="B54" i="2"/>
  <c r="C53" i="2"/>
  <c r="B53" i="2"/>
  <c r="C52" i="2"/>
  <c r="B52" i="2"/>
  <c r="C51" i="2"/>
  <c r="B51" i="2"/>
  <c r="C50" i="2"/>
  <c r="B50" i="2"/>
  <c r="C49" i="2"/>
  <c r="B49" i="2"/>
  <c r="C48" i="2"/>
  <c r="B48" i="2"/>
  <c r="C47" i="2"/>
  <c r="B47" i="2"/>
  <c r="C46" i="2"/>
  <c r="B46" i="2"/>
  <c r="C45" i="2"/>
  <c r="B45" i="2"/>
  <c r="C44" i="2"/>
  <c r="B44" i="2"/>
  <c r="C43" i="2"/>
  <c r="B43" i="2"/>
  <c r="C42" i="2"/>
  <c r="B42" i="2"/>
  <c r="C41" i="2"/>
  <c r="B41" i="2"/>
  <c r="C40" i="2"/>
  <c r="B40" i="2"/>
  <c r="C39" i="2"/>
  <c r="B39" i="2"/>
  <c r="C38" i="2"/>
  <c r="B38" i="2"/>
  <c r="C37" i="2"/>
  <c r="B37" i="2"/>
  <c r="C36" i="2"/>
  <c r="B36" i="2"/>
  <c r="C35" i="2"/>
  <c r="B35" i="2"/>
  <c r="C34" i="2"/>
  <c r="B34" i="2"/>
  <c r="C33" i="2"/>
  <c r="B33" i="2"/>
  <c r="C32" i="2"/>
  <c r="B32" i="2"/>
  <c r="C31" i="2"/>
  <c r="B31" i="2"/>
  <c r="C30" i="2"/>
  <c r="B30" i="2"/>
  <c r="C29" i="2"/>
  <c r="B29" i="2"/>
  <c r="C28" i="2"/>
  <c r="B28" i="2"/>
  <c r="C27" i="2"/>
  <c r="B27" i="2"/>
  <c r="C26" i="2"/>
  <c r="B26" i="2"/>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C4" i="2"/>
  <c r="B4" i="2"/>
  <c r="C3" i="2"/>
  <c r="B3" i="2"/>
  <c r="C2" i="2"/>
  <c r="B2" i="2"/>
</calcChain>
</file>

<file path=xl/sharedStrings.xml><?xml version="1.0" encoding="utf-8"?>
<sst xmlns="http://schemas.openxmlformats.org/spreadsheetml/2006/main" count="3256" uniqueCount="373">
  <si>
    <t xml:space="preserve">No
</t>
    <phoneticPr fontId="4"/>
  </si>
  <si>
    <t>重複</t>
  </si>
  <si>
    <t>状況</t>
    <rPh sb="0" eb="2">
      <t>ジョウキョウ</t>
    </rPh>
    <phoneticPr fontId="5"/>
  </si>
  <si>
    <t>キーワード</t>
    <phoneticPr fontId="5"/>
  </si>
  <si>
    <t>正式名称</t>
    <rPh sb="0" eb="2">
      <t>セイシキ</t>
    </rPh>
    <rPh sb="2" eb="4">
      <t>メイショウ</t>
    </rPh>
    <phoneticPr fontId="4"/>
  </si>
  <si>
    <t>説明</t>
    <rPh sb="0" eb="2">
      <t>セツメイ</t>
    </rPh>
    <phoneticPr fontId="4"/>
  </si>
  <si>
    <t>カテゴリ</t>
    <phoneticPr fontId="5"/>
  </si>
  <si>
    <t>関連キーワード</t>
    <rPh sb="0" eb="2">
      <t>カンレン</t>
    </rPh>
    <phoneticPr fontId="4"/>
  </si>
  <si>
    <t>発生源</t>
    <rPh sb="0" eb="3">
      <t>ハッセイゲン</t>
    </rPh>
    <phoneticPr fontId="4"/>
  </si>
  <si>
    <t>出典１</t>
    <rPh sb="0" eb="2">
      <t>シュッテン</t>
    </rPh>
    <phoneticPr fontId="4"/>
  </si>
  <si>
    <t>出典２</t>
  </si>
  <si>
    <t>出典３</t>
    <phoneticPr fontId="5"/>
  </si>
  <si>
    <t>出典４</t>
    <phoneticPr fontId="5"/>
  </si>
  <si>
    <t>出典５</t>
    <phoneticPr fontId="5"/>
  </si>
  <si>
    <t>コピーレフトライセンス</t>
    <phoneticPr fontId="5"/>
  </si>
  <si>
    <t>許諾されたソフトウェアの派生作品がオリジナルのソフトウェアと同じライセンスでリリースされることを要求します。言い換えれば、変更されたコードはオリジナルとまったく同じように「オープン」でなければなりません。</t>
    <phoneticPr fontId="5"/>
  </si>
  <si>
    <t>https://app.box.com/file/1293500277303</t>
    <phoneticPr fontId="4"/>
  </si>
  <si>
    <t>https://www.hitachi-solutions.co.jp/sbom/sp/blog/2021100103/</t>
    <phoneticPr fontId="4"/>
  </si>
  <si>
    <t>-</t>
    <phoneticPr fontId="4"/>
  </si>
  <si>
    <t>パーミッシブライセンス</t>
    <phoneticPr fontId="5"/>
  </si>
  <si>
    <t>派生物の配布に関する制約が少ないもの。特に、派生ソフトウェアのソースコードの公開を強要しないものを指すことが多い。</t>
    <phoneticPr fontId="5"/>
  </si>
  <si>
    <t>https://e-words.jp/w/%E3%83%91%E3%83%BC%E3%83%9F%E3%83%83%E3%82%B7%E3%83%96%E3%83%A9%E3%82%A4%E3%82%BB%E3%83%B3%E3%82%B9.html</t>
    <phoneticPr fontId="4"/>
  </si>
  <si>
    <t>ツールチェンジャー</t>
    <phoneticPr fontId="5"/>
  </si>
  <si>
    <t>ロボットの手首（先端）に取り付くハンド、ツールやエンドエフェクターを自動または手動で「交換」できる製品</t>
    <phoneticPr fontId="5"/>
  </si>
  <si>
    <t>http://www.kosmek.co.jp/ap/swr/</t>
    <phoneticPr fontId="4"/>
  </si>
  <si>
    <t>ローバー</t>
    <phoneticPr fontId="5"/>
  </si>
  <si>
    <r>
      <t>移動・旋回機能のみを備えたロボット
モーターへ</t>
    </r>
    <r>
      <rPr>
        <b/>
        <sz val="9"/>
        <rFont val="ＭＳ ゴシック"/>
        <family val="3"/>
        <charset val="128"/>
      </rPr>
      <t>回転数</t>
    </r>
    <r>
      <rPr>
        <sz val="9"/>
        <rFont val="ＭＳ ゴシック"/>
        <family val="3"/>
        <charset val="128"/>
      </rPr>
      <t>を指定して動く移動ロボット。</t>
    </r>
    <phoneticPr fontId="5"/>
  </si>
  <si>
    <t>次世代ロボットフレームワーク_要件定義書.docx</t>
    <phoneticPr fontId="4"/>
  </si>
  <si>
    <t>次世代ロボットフレームワーク_基本設計書_v1.01.docx</t>
    <phoneticPr fontId="4"/>
  </si>
  <si>
    <t>std::bind</t>
    <phoneticPr fontId="5"/>
  </si>
  <si>
    <t>functionの引数を束縛し、新しいオブジェクトを生成します。</t>
    <phoneticPr fontId="5"/>
  </si>
  <si>
    <t>https://kaworu.jpn.org/cpp/std::bind</t>
    <phoneticPr fontId="4"/>
  </si>
  <si>
    <t>IIFE形式</t>
    <phoneticPr fontId="5"/>
  </si>
  <si>
    <t>Immediately Invoked Function Expressions</t>
    <phoneticPr fontId="5"/>
  </si>
  <si>
    <t>複雑な初期化をラムダ式で実現する方法（と思われる）</t>
    <rPh sb="0" eb="2">
      <t>フクザツ</t>
    </rPh>
    <rPh sb="3" eb="6">
      <t>ショキカ</t>
    </rPh>
    <rPh sb="10" eb="11">
      <t>シキ</t>
    </rPh>
    <rPh sb="12" eb="14">
      <t>ジツゲン</t>
    </rPh>
    <rPh sb="16" eb="18">
      <t>ホウホウ</t>
    </rPh>
    <rPh sb="20" eb="21">
      <t>オモ</t>
    </rPh>
    <phoneticPr fontId="5"/>
  </si>
  <si>
    <t>https://www.cppstories.com/2016/11/iife-for-complex-initialization/</t>
    <phoneticPr fontId="4"/>
  </si>
  <si>
    <t>https://rigtorp.se/iife/</t>
    <phoneticPr fontId="4"/>
  </si>
  <si>
    <t>スライダー</t>
    <phoneticPr fontId="5"/>
  </si>
  <si>
    <t>ロボットのアームなどをあらかじめ設置したレール上で動かせるようにする装置（と思われる）</t>
    <rPh sb="16" eb="18">
      <t>セッチ</t>
    </rPh>
    <rPh sb="23" eb="24">
      <t>ジョウ</t>
    </rPh>
    <rPh sb="25" eb="26">
      <t>ウゴ</t>
    </rPh>
    <rPh sb="34" eb="36">
      <t>ソウチ</t>
    </rPh>
    <rPh sb="38" eb="39">
      <t>オモ</t>
    </rPh>
    <phoneticPr fontId="5"/>
  </si>
  <si>
    <t>次世代ロボットフレームワーク_モジュール関係図_v1.01.xlsx</t>
    <phoneticPr fontId="4"/>
  </si>
  <si>
    <t>https://robot-slider.com/peripherals/#container</t>
    <phoneticPr fontId="4"/>
  </si>
  <si>
    <t>力覚センサ</t>
    <phoneticPr fontId="5"/>
  </si>
  <si>
    <t>複数の向きに作用する力やトルクの大きさをリアルタイムに計測することのできるセンサー</t>
    <phoneticPr fontId="5"/>
  </si>
  <si>
    <t>https://connect.nissha.com/filmdevice/filmdevice_column/force_sensor_feature</t>
    <phoneticPr fontId="4"/>
  </si>
  <si>
    <t>SDF</t>
    <phoneticPr fontId="5"/>
  </si>
  <si>
    <t>Simulation Description Format</t>
    <phoneticPr fontId="5"/>
  </si>
  <si>
    <t>Gazeboという人気のあるロボットシミュレーション環境で使用されるフォーマット。
URDFよりも詳細な物理的特性（摩擦、不完全性、バネ特性など）を持つオブジェクトや環境を記述するためのフォーマット。
ロボットだけでなく、物理シミュレーション全体のシーンや環境を記述する能力がある。
多体の動的シミュレーションや環境要素（風、光など）の詳細な記述が可能。
URDFは一つのロボットしか記述できないが、SDFは複数のロボットや照明条件、環境条件を記述することができる。SDFの記述を変えるだけで物理特性を変えることができる。
URDFと比較したときのSDFの特徴は「絶対座標記述」「閉リンク構成が可能」。
URDFはツリー構造しか記述できないことが閉リンク構造をサポートできない原因…？
しかし，Gazeboの特定のプラグインがURDFしかサポートしていない場合があったりする．
また，MATLABのSimscape MultibodyはURDFのインポートに対応している．
SDFをURDFに変換するROSパッケージ(pysdf)が存在するので，必要なら変換する．</t>
    <phoneticPr fontId="5"/>
  </si>
  <si>
    <t>https://note.com/rodz/n/n16260f158973</t>
    <phoneticPr fontId="4"/>
  </si>
  <si>
    <t>https://twitter.com/rosconjp/status/1176718523260755968</t>
    <phoneticPr fontId="4"/>
  </si>
  <si>
    <t>https://yuqlid.sakura.ne.jp/dokuwiki/sdf</t>
    <phoneticPr fontId="4"/>
  </si>
  <si>
    <t>URDF</t>
    <phoneticPr fontId="5"/>
  </si>
  <si>
    <t>Unified Robot Description Format</t>
    <phoneticPr fontId="5"/>
  </si>
  <si>
    <t>ROS（Robot Operating System）で使用される主要なロボット記述フォーマット。
ロボットの機械構造、関節、センサー、その他の部品を定義するためのXMLベースのフォーマット。
主にロボットのキネマティクス（運動学）とビジュアルおよびコリジョンジオメトリの定義に使用される。
力学的な詳細（摩擦、不完全性など）の表現は限られている。</t>
    <phoneticPr fontId="5"/>
  </si>
  <si>
    <t>リンク</t>
    <phoneticPr fontId="5"/>
  </si>
  <si>
    <t>組み合わせた複数の物体が相対的に動作する機械要素</t>
    <phoneticPr fontId="5"/>
  </si>
  <si>
    <t>閉リンク</t>
    <rPh sb="0" eb="1">
      <t>ヘイ</t>
    </rPh>
    <phoneticPr fontId="5"/>
  </si>
  <si>
    <t>https://www.keyence.co.jp/ss/products/measure-sys/machine-elements/link/type.jsp</t>
    <phoneticPr fontId="4"/>
  </si>
  <si>
    <t>閉リンク</t>
    <phoneticPr fontId="5"/>
  </si>
  <si>
    <t>n 個のヒンジが環状に連結された機構</t>
    <phoneticPr fontId="5"/>
  </si>
  <si>
    <t>https://www.math.kyoto-u.ac.jp/~kaji/papers/linkage.pdf</t>
    <phoneticPr fontId="4"/>
  </si>
  <si>
    <t>Ignition Gazebo</t>
    <phoneticPr fontId="5"/>
  </si>
  <si>
    <t>Ignitionは，高性能なアプリケーション開発を簡単にできるよう設計されたオープンソースライブラリ群。
このライブラリで作り直されたGazebo がIgnition Gazebo。</t>
    <phoneticPr fontId="5"/>
  </si>
  <si>
    <t>https://qiita.com/tygoto/items/052954ff5905f7733b77#%E6%A6%82%E8%A6%81</t>
    <phoneticPr fontId="4"/>
  </si>
  <si>
    <t>フランジ</t>
    <phoneticPr fontId="5"/>
  </si>
  <si>
    <t>部材の端部を他の部材などに接合するためのツバのこと。ロボットアームの先端。</t>
    <phoneticPr fontId="5"/>
  </si>
  <si>
    <t>次世代ロボットフレームワーク_情報一覧_設定ファイル_v1.01.xlsx</t>
    <phoneticPr fontId="4"/>
  </si>
  <si>
    <t>https://mitsu-ri.net/articles/flange/</t>
    <phoneticPr fontId="4"/>
  </si>
  <si>
    <t>https://chatgpt.com/c/672434cf-76ec-800b-8d0f-4f66fef45f13</t>
    <phoneticPr fontId="4"/>
  </si>
  <si>
    <t>剛体</t>
    <rPh sb="0" eb="2">
      <t>ゴウタイ</t>
    </rPh>
    <phoneticPr fontId="5"/>
  </si>
  <si>
    <t>決して変形しないような，大きさのある物体のこと</t>
    <phoneticPr fontId="5"/>
  </si>
  <si>
    <t>https://hooktail.sub.jp/mechanics/rigidBody/</t>
    <phoneticPr fontId="4"/>
  </si>
  <si>
    <t>剛性係数</t>
    <phoneticPr fontId="5"/>
  </si>
  <si>
    <t>https://docs.ros.org/en/humble/Tutorials/Intermediate/URDF/Adding-Physical-and-Collision-Properties-to-a-URDF-Model.html#contact-coefficients</t>
    <phoneticPr fontId="4"/>
  </si>
  <si>
    <t>減衰係数</t>
    <phoneticPr fontId="5"/>
  </si>
  <si>
    <t>AGV</t>
    <phoneticPr fontId="5"/>
  </si>
  <si>
    <t>Automatic Guided Vehicle
無人搬送車</t>
    <phoneticPr fontId="5"/>
  </si>
  <si>
    <r>
      <rPr>
        <b/>
        <sz val="9"/>
        <rFont val="ＭＳ ゴシック"/>
        <family val="3"/>
        <charset val="128"/>
      </rPr>
      <t>座標</t>
    </r>
    <r>
      <rPr>
        <sz val="9"/>
        <rFont val="ＭＳ ゴシック"/>
        <family val="3"/>
        <charset val="128"/>
      </rPr>
      <t>を指定することで目的位置に移動する移動ロボット。モーターの回転角度をセンサ（エンコーダ）で計測しつつモーターを制御、及びLiDAR等での位置の計測を行い、内部で目的位置までの経路を生成する機能を持っている。
「A地点からB地点へモノを運ぶ」ためのクルマ
製造現場などにおいて必要となる材料や工作物、部品、工具などを積んで、人の力を借りることなく所定の場所に運ぶ移動ロボット</t>
    </r>
    <rPh sb="82" eb="84">
      <t>モクテキ</t>
    </rPh>
    <phoneticPr fontId="5"/>
  </si>
  <si>
    <t>https://www.kantsu.com/case/2019-10-11/</t>
    <phoneticPr fontId="4"/>
  </si>
  <si>
    <t>https://www.keyence.co.jp/ss/general/iot-glossary/agv.jsp</t>
    <phoneticPr fontId="4"/>
  </si>
  <si>
    <t>AMR</t>
    <phoneticPr fontId="5"/>
  </si>
  <si>
    <t>Autonomous Mobile Robot
自律走行搬送ロボット</t>
    <phoneticPr fontId="5"/>
  </si>
  <si>
    <r>
      <rPr>
        <b/>
        <sz val="9"/>
        <rFont val="ＭＳ ゴシック"/>
        <family val="3"/>
        <charset val="128"/>
      </rPr>
      <t>磁気シート</t>
    </r>
    <r>
      <rPr>
        <sz val="9"/>
        <rFont val="ＭＳ ゴシック"/>
        <family val="3"/>
        <charset val="128"/>
      </rPr>
      <t>や</t>
    </r>
    <r>
      <rPr>
        <b/>
        <sz val="9"/>
        <rFont val="ＭＳ ゴシック"/>
        <family val="3"/>
        <charset val="128"/>
      </rPr>
      <t>ラインマーカ</t>
    </r>
    <r>
      <rPr>
        <sz val="9"/>
        <rFont val="ＭＳ ゴシック"/>
        <family val="3"/>
        <charset val="128"/>
      </rPr>
      <t>ーのIDを指定されることで目的地に移動する移動ロボット。
モーターの回転角度をセンサ（エンコーダ）で計測しつつモーターを制御、及びLiDAR等での位置の計測を行う機能を持っている。
「人と稼働範囲を共有している場所でモノを運ぶ」ためのロボット
自律移動しながら搬送作業を行うロボットで、協働型搬送ロボットとも呼ばれます。カメラやセンサーによるセンシング技術やビジョン技術を活用し、周囲の状況を認識しつつ目的地に向かいます。人や障害物との接触を回避できるため、倉庫や工場などの狭い空間でもガイドなしで自律走行し、荷物を指定の場所へ安全かつ効率的に搬送します。
AGVは磁気テープなどであらかじめ設定されたルート上を移動するのに対し、AMRは誘導体を必要とせず、センサーを使って周囲の状況を把握しながら、目的地までの最適なルートを自ら導き出して自律走行します。</t>
    </r>
    <phoneticPr fontId="5"/>
  </si>
  <si>
    <t>https://www.kantsu.com/case/amr%EF%BC%88%E8%87%AA%E5%BE%8B%E8%B5%B0%E8%A1%8C%E6%90%AC%E9%80%81%E3%83%AD%E3%83%9C%E3%83%83%E3%83%88%EF%BC%89%E3%81%A8%E3%81%AF%EF%BD%9Cagv%E3%81%A8%E3%81%AE%E9%81%95%E3%81%84%E3%82%84%E9%81%8B/</t>
    <phoneticPr fontId="4"/>
  </si>
  <si>
    <t>https://www.fiweek.jp/hub/ja-jp/blog/article03-agv.html</t>
    <phoneticPr fontId="4"/>
  </si>
  <si>
    <t>AMM</t>
    <phoneticPr fontId="5"/>
  </si>
  <si>
    <t>Autonomous Mobile Manipulator
自律移動マニピュレーター</t>
    <phoneticPr fontId="5"/>
  </si>
  <si>
    <t>自律移動ロボット (AMR) の機動性と協働ロボット (コボット) の操作能力を組み合わせたロボットシステム
移動機構（AMRベース）にマニピュレータ（ロボットアーム）を搭載し、搬送＋把持・ピッキングなど「作業」まで自律実行できる</t>
    <phoneticPr fontId="5"/>
  </si>
  <si>
    <t>https://www.eurobots.jp/rebots-mobile-manipulator-jp.html</t>
    <phoneticPr fontId="4"/>
  </si>
  <si>
    <t>https://chatgpt.com/share/683813e0-57e0-800b-a2dc-936b16581cf3</t>
    <phoneticPr fontId="4"/>
  </si>
  <si>
    <t>モバイルマニピュレータ</t>
    <phoneticPr fontId="5"/>
  </si>
  <si>
    <t>移動型ロボットに機械アームを組み合わせたもの
物流や製造業の人手不足解決が期待されますが、普及にはスケジューリングや協調制御の複雑さ、技術的課題、高コストが障壁です。利点は柔軟な移動と自動化で、技術進化によるコスト削減が普及の鍵</t>
    <phoneticPr fontId="5"/>
  </si>
  <si>
    <t>シミュレーション打ち合わせ 2025/4/10</t>
    <phoneticPr fontId="4"/>
  </si>
  <si>
    <t>https://amr-guide.com/amr/%E3%83%A2%E3%83%90%E3%82%A4%E3%83%AB%E3%83%9E%E3%83%8B%E3%83%94%E3%83%A5%E3%83%AC%E3%83%BC%E3%82%BF/</t>
    <phoneticPr fontId="4"/>
  </si>
  <si>
    <t>OGRE</t>
    <phoneticPr fontId="5"/>
  </si>
  <si>
    <t>Object-Oriented Graphics Rendering Engine</t>
    <phoneticPr fontId="5"/>
  </si>
  <si>
    <t>開発者がハードウェアアクセラレーションによる3Dグラフィックスを利用するアプリケーションを簡単かつ直感的に作成できるように設計された、C ++で記述されたシーン指向の柔軟な3Dエンジン</t>
    <phoneticPr fontId="5"/>
  </si>
  <si>
    <t>Gazebo</t>
    <phoneticPr fontId="5"/>
  </si>
  <si>
    <t>https://www.allisonthackston.com/articles/ignition-vs-gazebo</t>
    <phoneticPr fontId="4"/>
  </si>
  <si>
    <t>http://wiki.ros.org/ogre</t>
    <phoneticPr fontId="4"/>
  </si>
  <si>
    <t>ODE</t>
    <phoneticPr fontId="5"/>
  </si>
  <si>
    <t>Open Dynamics Engine</t>
    <phoneticPr fontId="5"/>
  </si>
  <si>
    <t>Gazeboで使えるphysics engineの一つ。
・Gazeboのデフォルト
・Gazebo debianで利用可能
・簡易ロボットダイナミクス
・乱雑な環境をシミュレート
・最大座標ソルバー</t>
    <rPh sb="7" eb="8">
      <t>ツカ</t>
    </rPh>
    <rPh sb="25" eb="26">
      <t>ヒト</t>
    </rPh>
    <phoneticPr fontId="5"/>
  </si>
  <si>
    <t>https://qiita.com/shmpwk/items/c3df121c66c484a95fef</t>
    <phoneticPr fontId="4"/>
  </si>
  <si>
    <t>DART</t>
    <phoneticPr fontId="5"/>
  </si>
  <si>
    <t>Dynamic Animation and Robotics Toolkit</t>
    <phoneticPr fontId="5"/>
  </si>
  <si>
    <t>Gazeboで使えるphysics engineの一つ。
・source install
・コンピュータグラフィックスおよびロボットコントロール
・Georgia Tech発
・Featherstoneベースのソルバー
・ヒューマノイドロボットなどの多関節システムのシミュレーション</t>
    <phoneticPr fontId="5"/>
  </si>
  <si>
    <t>STL</t>
    <phoneticPr fontId="5"/>
  </si>
  <si>
    <t>3Dプリンターで標準的であるのが「STL」です。</t>
    <phoneticPr fontId="5"/>
  </si>
  <si>
    <t>https://fusiontechnology.co.jp/column/211220-2/</t>
    <phoneticPr fontId="4"/>
  </si>
  <si>
    <t>OBJ</t>
    <phoneticPr fontId="5"/>
  </si>
  <si>
    <t>発光とテクスチャのデータを保持できます。
「STL」は一つの色彩にしか対応していませんが、「OBJ」では色彩や素材に関して複数のデータを保持することが特徴です。
3Dオブジェクトの表現を保存したい場合におすすめ。
しかし保持するデータが複雑であるがために、ファイルの修正は「STL」に比べ難しい傾向があります。</t>
    <phoneticPr fontId="5"/>
  </si>
  <si>
    <t>テンソル</t>
    <phoneticPr fontId="5"/>
  </si>
  <si>
    <t>沢山の数値を集めて「1つの情報」として表現するもの</t>
    <phoneticPr fontId="5"/>
  </si>
  <si>
    <t>https://en.wikipedia.org/wiki/List_of_moments_of_inertia</t>
    <phoneticPr fontId="4"/>
  </si>
  <si>
    <t>https://www.sbbit.jp/article/cont1/63580</t>
    <phoneticPr fontId="4"/>
  </si>
  <si>
    <t>慣性モーメント</t>
    <phoneticPr fontId="5"/>
  </si>
  <si>
    <t>物体の回転しにくさを表す量。
物体が回転運動で動こうとする時、もしくは止まろうする時に「必要な力の量」を示すもの。
回転させにくい要素は２つあります。１つは重いもの、もう１つは回転軸から物体が離れているものです。
物体の直線加速度に対する抵抗力が「質量」であるのに対し、回転加速度に対する抵抗力が「慣性モーメント」になります。</t>
    <phoneticPr fontId="5"/>
  </si>
  <si>
    <t>https://www.sg.dendai.ac.jp/s1g-energy/contents/blog/inertia/inertia.html</t>
    <phoneticPr fontId="4"/>
  </si>
  <si>
    <t>https://www.golfdo.com/knowledge/golfgear/806/</t>
    <phoneticPr fontId="4"/>
  </si>
  <si>
    <t>https://note.com/npaka/n/n37dbe4eae232</t>
    <phoneticPr fontId="4"/>
  </si>
  <si>
    <t>剛性</t>
    <phoneticPr fontId="5"/>
  </si>
  <si>
    <t>物体の変形のしにくさ（しやすさ）を表す値</t>
    <phoneticPr fontId="5"/>
  </si>
  <si>
    <t>gazebo kp/kd</t>
    <phoneticPr fontId="5"/>
  </si>
  <si>
    <t>http://kentiku-kouzou.jp/struc-danmenzikuryoku.html</t>
    <phoneticPr fontId="4"/>
  </si>
  <si>
    <t>接触剛性</t>
    <phoneticPr fontId="5"/>
  </si>
  <si>
    <t>mimic</t>
    <phoneticPr fontId="5"/>
  </si>
  <si>
    <t>〔人・動物などの動き・声・話し方など〕をまねる［の物まねをする］</t>
    <phoneticPr fontId="5"/>
  </si>
  <si>
    <t>gz_ros2_control minicタグ</t>
    <phoneticPr fontId="5"/>
  </si>
  <si>
    <t>https://github.com/ros-controls/gz_ros2_control/blob/humble/doc/index.rst#using-mimic-joints-in-simulation</t>
    <phoneticPr fontId="4"/>
  </si>
  <si>
    <t>https://eow.alc.co.jp/search?q=mimic</t>
    <phoneticPr fontId="4"/>
  </si>
  <si>
    <t>headless</t>
    <phoneticPr fontId="5"/>
  </si>
  <si>
    <t>ディスプレイやキーボード、マウスなどの入出力機器を接続しない状態でコンピュータを運用すること</t>
    <phoneticPr fontId="5"/>
  </si>
  <si>
    <t>https://e-words.jp/w/%E3%83%98%E3%83%83%E3%83%89%E3%83%AC%E3%82%B9.html</t>
    <phoneticPr fontId="4"/>
  </si>
  <si>
    <t>bpy</t>
    <phoneticPr fontId="5"/>
  </si>
  <si>
    <t>Blender Python（BPY）</t>
    <phoneticPr fontId="5"/>
  </si>
  <si>
    <t>Blenderの様々な機能をPythonで簡単に呼び出せるようにするため，Blender開発者が公開している橋渡し的な役割を持つモジュール（関数・構造体の集まり）のこと。</t>
    <phoneticPr fontId="5"/>
  </si>
  <si>
    <t>http://kutodatabase.com/kuto1970.shop/Works_BPYNyumon.html</t>
    <phoneticPr fontId="4"/>
  </si>
  <si>
    <t>外形把持</t>
    <phoneticPr fontId="5"/>
  </si>
  <si>
    <t>把持物の外側からつかむようにして把持する方式</t>
    <rPh sb="0" eb="2">
      <t>ハジ</t>
    </rPh>
    <rPh sb="2" eb="3">
      <t>ブツ</t>
    </rPh>
    <rPh sb="4" eb="6">
      <t>ソトガワ</t>
    </rPh>
    <rPh sb="16" eb="18">
      <t>ハジ</t>
    </rPh>
    <rPh sb="20" eb="22">
      <t>ホウシキ</t>
    </rPh>
    <phoneticPr fontId="5"/>
  </si>
  <si>
    <t>https://app.box.com/file/1242581406312</t>
    <phoneticPr fontId="4"/>
  </si>
  <si>
    <t>https://daiya.co.jp/product/collethand/collet-hand/</t>
    <phoneticPr fontId="4"/>
  </si>
  <si>
    <t>内径把持</t>
    <rPh sb="0" eb="2">
      <t>ナイケイ</t>
    </rPh>
    <rPh sb="2" eb="4">
      <t>ハジ</t>
    </rPh>
    <phoneticPr fontId="5"/>
  </si>
  <si>
    <t>把持物の内側から広げるようにして把持する方式</t>
    <rPh sb="4" eb="6">
      <t>ウチガワ</t>
    </rPh>
    <rPh sb="8" eb="9">
      <t>ヒロ</t>
    </rPh>
    <phoneticPr fontId="5"/>
  </si>
  <si>
    <t>effort</t>
    <phoneticPr fontId="5"/>
  </si>
  <si>
    <t>"Effort"は、何かを達成するために費やすエネルギーや働きかけの量を指します。
これは主に行動や精神的なエネルギーに関連しており、目標や課題に向けて個人が注いだ取り組みや苦労を指します。
例えば、新しいスキルを学ぶために時間を費やすこと、プロジェクトに対して継続的に作業することは、努力の一例です。</t>
    <phoneticPr fontId="5"/>
  </si>
  <si>
    <t>ChatGPT</t>
    <phoneticPr fontId="4"/>
  </si>
  <si>
    <t>strength</t>
    <phoneticPr fontId="5"/>
  </si>
  <si>
    <t>"Strength"は、物理的な力や能力を指すことが一般的です。また、精神的な強さや抵抗力も含まれることがあります。
これは通常、筋力や持久力、知力、意志力など、さまざまな側面に関連しています。
例えば、重い物を持ち上げることや、難しい状況に立ち向かうことが、それぞれ体力や精神的な強さを必要とする場面です。</t>
    <phoneticPr fontId="5"/>
  </si>
  <si>
    <t>ティーチングプレイバック方式</t>
    <phoneticPr fontId="5"/>
  </si>
  <si>
    <t>人間がティーチボックスなどを用いて，ロボットが行うべき作業を逐次順を追って，その位置，センサ出力条件などを教示し，そのときのデータを記録し，これを再生することによって所期の作業を実現しようとする方式。(＝教示再生方式）</t>
    <phoneticPr fontId="5"/>
  </si>
  <si>
    <t>佐藤宏樹さんより</t>
    <rPh sb="0" eb="2">
      <t>サトウ</t>
    </rPh>
    <rPh sb="2" eb="4">
      <t>ヒロキ</t>
    </rPh>
    <phoneticPr fontId="4"/>
  </si>
  <si>
    <t>https://www.jsme.or.jp/jsme-medwiki/doku.php?id=14:1008536</t>
    <phoneticPr fontId="4"/>
  </si>
  <si>
    <t>SKU</t>
    <phoneticPr fontId="5"/>
  </si>
  <si>
    <t>Stock Keeping Unit</t>
    <phoneticPr fontId="5"/>
  </si>
  <si>
    <t>受発注や在庫管理を行う時の『最小の管理単位』のこと。</t>
    <phoneticPr fontId="5"/>
  </si>
  <si>
    <t>12.ワーク情報のDB設計.pptx</t>
    <phoneticPr fontId="4"/>
  </si>
  <si>
    <t>https://www.kantsu.com/terms/2815/</t>
    <phoneticPr fontId="4"/>
  </si>
  <si>
    <t>S3</t>
    <phoneticPr fontId="5"/>
  </si>
  <si>
    <t>USD/URDF/メッシュ等のファイルの配置場所。</t>
    <phoneticPr fontId="5"/>
  </si>
  <si>
    <t>籾田さんより</t>
    <rPh sb="0" eb="2">
      <t>モミタ</t>
    </rPh>
    <phoneticPr fontId="4"/>
  </si>
  <si>
    <t>タクトタイム</t>
    <phoneticPr fontId="5"/>
  </si>
  <si>
    <t>一つの製品の製造にかけられる時間のこと。生産ラインの目標。お客さんがどれくらいの速さで製品を求めているか。
顧客需要から逆算して決まる理想のペース。例えば、「N秒ごとに1個作らないと需要に間に合わない」ということ。</t>
    <rPh sb="74" eb="75">
      <t>タト</t>
    </rPh>
    <phoneticPr fontId="5"/>
  </si>
  <si>
    <t>サイクルタイム</t>
    <phoneticPr fontId="5"/>
  </si>
  <si>
    <t>一つの製品が作られるまで実際にかかった時間。現場の実力値。</t>
    <phoneticPr fontId="5"/>
  </si>
  <si>
    <t>リードタイム</t>
    <phoneticPr fontId="5"/>
  </si>
  <si>
    <t>製品の生産を開始してから完成するまでの総時間。</t>
    <phoneticPr fontId="5"/>
  </si>
  <si>
    <t>Unity Editor</t>
    <phoneticPr fontId="5"/>
  </si>
  <si>
    <t>Unityの開発環境や開発画面のことを指す。
Unityをインストールすることは同時にUnity Editorもインストールすることになるため、厳密に区別せずに表記される場合がある。</t>
    <phoneticPr fontId="5"/>
  </si>
  <si>
    <t>https://school.dhw.co.jp/word/cg/Unity_install.html</t>
    <phoneticPr fontId="4"/>
  </si>
  <si>
    <t>Unity Hub</t>
    <phoneticPr fontId="5"/>
  </si>
  <si>
    <t>複数のバージョン（ベータ版・アルファ版含む）のUnityをインストール・管理できるアプリケーション。
これまで作成したプロジェクトの一覧や、学習リソースの管理、Unityアカウント・ライセンスの管理なども可能で、文字通りUnityのHub（拠点）となるアプリケーション。</t>
    <phoneticPr fontId="5"/>
  </si>
  <si>
    <t>FMS</t>
    <phoneticPr fontId="5"/>
  </si>
  <si>
    <t xml:space="preserve">フリートマネジメントシステム
</t>
    <phoneticPr fontId="5"/>
  </si>
  <si>
    <t>AMRを群制御すると同時に周辺機器を連携する自動化プラットフォーム。
AMR/AGVを群制御
　複数台のAMR/AGVを協調制御し、最適な配車や渋滞が起こりずらい経路生成などを行います。
他の周辺機器との連携
　工場・倉庫にあるエレベーターや自動フォークなどと連携し、双方向の制御を行います</t>
    <phoneticPr fontId="5"/>
  </si>
  <si>
    <t>https://www.industryalpha.net/fms/</t>
    <phoneticPr fontId="4"/>
  </si>
  <si>
    <t>機械学習</t>
  </si>
  <si>
    <t>Machine Learning（ML）</t>
    <phoneticPr fontId="5"/>
  </si>
  <si>
    <t>主に「大量のデータから特徴を学習し、新しいデータに対して予測や分類を行う」手法群</t>
    <phoneticPr fontId="5"/>
  </si>
  <si>
    <t>simulator_comparison.xlsx</t>
    <phoneticPr fontId="4"/>
  </si>
  <si>
    <t>https://chatgpt.com/share/683fcd2c-5058-800b-b5c2-dae33e1a2c6b</t>
    <phoneticPr fontId="4"/>
  </si>
  <si>
    <t>強化学習</t>
  </si>
  <si>
    <t>Reinforcement Learning（RL）</t>
    <phoneticPr fontId="5"/>
  </si>
  <si>
    <t>エージェントが「行動を選択し、環境から得られる報酬を最大化する」ように方策を学習する手法。ともいう</t>
    <phoneticPr fontId="5"/>
  </si>
  <si>
    <t>Sim2Real</t>
  </si>
  <si>
    <t>Simulation-to-Reality</t>
    <phoneticPr fontId="5"/>
  </si>
  <si>
    <t>「シミュレーションで学習させたモデルやポリシーを、追加の実機学習をほとんど行わずにリアルロボットへ転用する手法」を指す。
現実環境で直接強化学習を回すより安全かつ高速に多様な状況を経験させられるのが利点。</t>
    <phoneticPr fontId="5"/>
  </si>
  <si>
    <t>https://zero2one.jp/ai-word/sim2real/?srsltid=AfmBOorqxs4cZpspvrC4mJ-EWEwPiyY1H4RD0gFvNWfAyhswQXJvynSB&amp;utm_source=chatgpt.com</t>
    <phoneticPr fontId="4"/>
  </si>
  <si>
    <t>Articulation Body</t>
    <phoneticPr fontId="5"/>
  </si>
  <si>
    <t>多関節ロボットやキネマティックチェーンのために Unity 2020.1 で追加された新しい物理コンポーネント。
従来の Rigidbody + Joint に比べて「連結全体をひとつの連立方程式で解く低自由度（reduced-coordinate）ソルバ」を使うため、多数の関節でも発散しにくく、産業ロボットの精密シミュレーションに向きます。</t>
    <phoneticPr fontId="5"/>
  </si>
  <si>
    <t>https://chatgpt.com/share/683fafcc-08d0-800b-b018-9e4b0fd7c6f0</t>
    <phoneticPr fontId="4"/>
  </si>
  <si>
    <t>Unity Robotics Hub</t>
  </si>
  <si>
    <t>公式の GitHub 上で公開されているオープンソースプロジェクト群で、Unity と ROS（主に ROS 1／ROS 2）を連携させるためのサンプルやツール、パッケージをまとめたもの。
Unity の拡張機能やプラグインではなく、GitHub リポジトリとして公開されているソースコード群。
必要なものを Unity Package Manager（UPM）や手動でインポートして、自分の Unity プロジェクトに組み込むかたちで利用する。</t>
    <phoneticPr fontId="5"/>
  </si>
  <si>
    <t>https://chatgpt.com/share/683fafd6-e7f0-800b-b54e-bf7d4a669e6f</t>
    <phoneticPr fontId="4"/>
  </si>
  <si>
    <t>Ignition-Omniverse Connector</t>
    <phoneticPr fontId="5"/>
  </si>
  <si>
    <t>リポジトリはgz-omni。
Ignition GazeboとNVIDIA Omniverse（主にIsaac Sim）間でシミュレーション環境を双方向に同期し、ハイブリッドシミュレーションを実現するミドルウェアです。
通常、ロボットの物理シミュレーションはIgnition Gazebo側で行い、高品質なビジュアライゼーションやセンサーシミュレーションはIsaac Sim側（Omniverseベース）で行うといった使い分けが可能になります。
これにより、たとえば物理計算をGazeboで軽量に行い、グラフィックス負荷の高いレンダリングはOmniverse側にオフロードすることで、両方の強みを活かせる設計となっています。</t>
    <phoneticPr fontId="5"/>
  </si>
  <si>
    <t>https://chatgpt.com/share/6840eafe-66f8-800b-ae63-010a34d7e152</t>
    <phoneticPr fontId="4"/>
  </si>
  <si>
    <t>DOPE</t>
    <phoneticPr fontId="5"/>
  </si>
  <si>
    <t>Deep Object Pose Estimation
深層物体姿勢推定</t>
    <phoneticPr fontId="5"/>
  </si>
  <si>
    <t>画像中の物体の3次元姿勢（位置と向き）を推定するタスクで、ロボティクス、AR/VR、シーン理解などで重要。</t>
    <phoneticPr fontId="5"/>
  </si>
  <si>
    <t>https://chatgpt.com/share/686225b9-b2c0-800b-acc9-dbdb1513f84a</t>
    <phoneticPr fontId="4"/>
  </si>
  <si>
    <t>Amazon Robomaker</t>
    <phoneticPr fontId="5"/>
  </si>
  <si>
    <t>AWS（Amazon Web Services）が提供するクラウドベースのロボット開発環境。
主にROS（Robot Operating System）を利用したロボットアプリケーションの開発・シミュレーション・デプロイ・運用を支援するサービス。
ただし、2025年9月10日にサポート終了およびサービス廃止される予定。</t>
    <phoneticPr fontId="5"/>
  </si>
  <si>
    <t>https://aws.amazon.com/jp/robomaker/</t>
    <phoneticPr fontId="4"/>
  </si>
  <si>
    <t>https://chatgpt.com/share/68639316-ccbc-800b-aa2a-9c6f675c7a3e</t>
    <phoneticPr fontId="4"/>
  </si>
  <si>
    <t>https://docs.aws.amazon.com/robomaker/latest/dg/migrating-ros.html?utm_source=chatgpt.com</t>
    <phoneticPr fontId="4"/>
  </si>
  <si>
    <t>走行軸マニピュレータ</t>
    <rPh sb="0" eb="2">
      <t>ソウコウ</t>
    </rPh>
    <rPh sb="2" eb="3">
      <t>ジク</t>
    </rPh>
    <phoneticPr fontId="5"/>
  </si>
  <si>
    <t>マニピュレータの基部が線路やガイドレール（走行軸）に沿って直線的に移動可能なロボット。
固定された軌道上を移動する台にアームが載っており、X軸方向など一方向に拡張された作業領域を持つ。</t>
    <phoneticPr fontId="5"/>
  </si>
  <si>
    <t>議事録（シミュレーション 2025/7/2）</t>
    <rPh sb="0" eb="3">
      <t>ギジロク</t>
    </rPh>
    <phoneticPr fontId="4"/>
  </si>
  <si>
    <t>https://chatgpt.com/share/68649583-2358-800b-94ea-763232b67a83</t>
    <phoneticPr fontId="4"/>
  </si>
  <si>
    <t>台車型マニピュレータ</t>
    <phoneticPr fontId="5"/>
  </si>
  <si>
    <t>マニピュレータが自走可能な台車の上に搭載されている構成。
車輪付きの台車 + アーム。台車はある程度自由に移動できるが、一般には事前に定められた経路や区画内で移動する。
→作業員が押して移動、またはラインの前後だけ自動走行？</t>
    <phoneticPr fontId="5"/>
  </si>
  <si>
    <t>マニピュレータ</t>
    <phoneticPr fontId="5"/>
  </si>
  <si>
    <t>人間の手のように物体を掴んだり動かしたりできるロボットの機構。
物体を操作（manipulate）するための機械的装置であり、手や腕の動作を模倣して動作するもの。</t>
  </si>
  <si>
    <t>段替え</t>
    <rPh sb="0" eb="2">
      <t>ダンガ</t>
    </rPh>
    <phoneticPr fontId="5"/>
  </si>
  <si>
    <t>https://chatgpt.com/share/686499f9-5514-800b-9c3f-fd8852cc7ef5</t>
    <phoneticPr fontId="4"/>
  </si>
  <si>
    <t>https://www.kosmek.co.jp/webten/fa001_main/setup/index.html</t>
    <phoneticPr fontId="4"/>
  </si>
  <si>
    <t>現象論モデル</t>
    <phoneticPr fontId="5"/>
  </si>
  <si>
    <t>観察された現象に基づいて構築されるモデル。
背後にある詳細なメカニズムや本質的な原因を必ずしも解明しようとしない。
例）
【現象論モデル】アクセル踏んだら10秒後に時速100kmになる（観察された事実を使う）
【理論モデル】エンジンの出力、重さ、摩擦を計算して加速を求める（中の物理をちゃんと考える）</t>
    <phoneticPr fontId="5"/>
  </si>
  <si>
    <t>切削加工</t>
    <rPh sb="0" eb="2">
      <t>セッサク</t>
    </rPh>
    <rPh sb="2" eb="4">
      <t>カコウ</t>
    </rPh>
    <phoneticPr fontId="5"/>
  </si>
  <si>
    <t>刃物を使用して加工物を削り取る加工方法。
以下の３種類がある。
・旋削加工
・フライス加工
・穴あけ加工</t>
    <rPh sb="21" eb="23">
      <t>イカ</t>
    </rPh>
    <rPh sb="25" eb="27">
      <t>シュルイ</t>
    </rPh>
    <rPh sb="47" eb="48">
      <t>アナ</t>
    </rPh>
    <rPh sb="50" eb="52">
      <t>カコウ</t>
    </rPh>
    <phoneticPr fontId="5"/>
  </si>
  <si>
    <t>切削工程</t>
    <rPh sb="2" eb="4">
      <t>コウテイ</t>
    </rPh>
    <phoneticPr fontId="5"/>
  </si>
  <si>
    <t>https://www.youtube.com/watch?v=yN-FddcIbJU</t>
    <phoneticPr fontId="4"/>
  </si>
  <si>
    <t>フライス加工</t>
    <phoneticPr fontId="5"/>
  </si>
  <si>
    <t>切削加工の方法の一つ。工作物を固定して工具（刃物）を回転させて加工する方法。</t>
    <phoneticPr fontId="5"/>
  </si>
  <si>
    <t>切削加工</t>
    <phoneticPr fontId="5"/>
  </si>
  <si>
    <t>https://nikougiken.jp/column/2109-cutting/</t>
    <phoneticPr fontId="4"/>
  </si>
  <si>
    <t>https://www.youtube.com/watch?v=g7RS0oLRkQM</t>
    <phoneticPr fontId="4"/>
  </si>
  <si>
    <t>旋削加工</t>
    <phoneticPr fontId="5"/>
  </si>
  <si>
    <t>切削加工の方法の一つ。工作物を回転させて加工する方法。「せんさくかこう」と読む。</t>
    <rPh sb="0" eb="2">
      <t>セッサク</t>
    </rPh>
    <rPh sb="2" eb="4">
      <t>カコウ</t>
    </rPh>
    <rPh sb="5" eb="7">
      <t>ホウホウ</t>
    </rPh>
    <rPh sb="8" eb="9">
      <t>ヒト</t>
    </rPh>
    <rPh sb="37" eb="38">
      <t>ヨ</t>
    </rPh>
    <phoneticPr fontId="5"/>
  </si>
  <si>
    <t>milling</t>
    <phoneticPr fontId="5"/>
  </si>
  <si>
    <t>(ひきうすで)ひくこと</t>
    <phoneticPr fontId="5"/>
  </si>
  <si>
    <t>英単語</t>
    <rPh sb="0" eb="3">
      <t>エイタンゴ</t>
    </rPh>
    <phoneticPr fontId="5"/>
  </si>
  <si>
    <t>ミーリング</t>
    <phoneticPr fontId="5"/>
  </si>
  <si>
    <t>https://ejje.weblio.jp/content/milling</t>
    <phoneticPr fontId="4"/>
  </si>
  <si>
    <t>ミーリング</t>
  </si>
  <si>
    <t>milling</t>
  </si>
  <si>
    <t>「フライス加工」と同義</t>
    <rPh sb="9" eb="11">
      <t>ドウギ</t>
    </rPh>
    <phoneticPr fontId="5"/>
  </si>
  <si>
    <t>ターニング</t>
  </si>
  <si>
    <t>turning</t>
  </si>
  <si>
    <t>「旋削加工」と同義</t>
    <rPh sb="7" eb="9">
      <t>ドウギ</t>
    </rPh>
    <phoneticPr fontId="5"/>
  </si>
  <si>
    <t>Unity Simulation</t>
    <phoneticPr fontId="5"/>
  </si>
  <si>
    <t>Unity Simulation は、Unity で作成したシーンをクラウド上で大量並列実行し、結果を収集できるマネージドサービスです。
・大規模シミュレーション：数百～数万のインスタンスを同時に動かせる
・CI/CD 連携：ビルド後の自動テストや品質検証に活用可能
・機械学習との親和性：Unity ML-Agents と組み合わせて強化学習のトレーニング基盤にも
→Unity Simulation は 2023 年 12 月をもって非推奨となり、利用できなくなりました。</t>
    <phoneticPr fontId="5"/>
  </si>
  <si>
    <t>https://chatgpt.com/share/68773240-eedc-800b-85a5-27b36817b10f</t>
    <phoneticPr fontId="4"/>
  </si>
  <si>
    <t>https://chatgpt.com/share/68773233-5688-800b-8e9c-6eb96bdf7ff9</t>
    <phoneticPr fontId="4"/>
  </si>
  <si>
    <t>https://docs.unity3d.com/Simulation/manual/index.html</t>
    <phoneticPr fontId="4"/>
  </si>
  <si>
    <t>Unity Perception</t>
    <phoneticPr fontId="5"/>
  </si>
  <si>
    <t>Unity 上で大量の合成（シンセティック）データを生成し、機械学習（特にコンピュータビジョン）モデルの学習・評価に利用できるツールキット</t>
    <phoneticPr fontId="5"/>
  </si>
  <si>
    <t>https://github.com/Unity-Technologies/com.unity.perception</t>
    <phoneticPr fontId="4"/>
  </si>
  <si>
    <t>https://chatgpt.com/share/68773541-f110-800b-9525-524e768291b8</t>
    <phoneticPr fontId="4"/>
  </si>
  <si>
    <t>ジッタ</t>
    <phoneticPr fontId="5"/>
  </si>
  <si>
    <t>デジタル信号の「タイミングの揺らぎ」のこと</t>
    <phoneticPr fontId="5"/>
  </si>
  <si>
    <t>https://chatgpt.com/share/68774b64-2df4-800b-b4d7-119c9c462c7c</t>
    <phoneticPr fontId="4"/>
  </si>
  <si>
    <t>https://www.orixrentec.jp/helpful_info/detail.html?id=44</t>
    <phoneticPr fontId="4"/>
  </si>
  <si>
    <t>最大TCP並進速度</t>
    <phoneticPr fontId="5"/>
  </si>
  <si>
    <t>ロボットアームのエンドエフェクタ先端が直線で移動できる理論上の最高速度</t>
    <phoneticPr fontId="5"/>
  </si>
  <si>
    <t>https://www.denso-wave.com/ja/robot/ex/cobottapro_product.html</t>
    <phoneticPr fontId="4"/>
  </si>
  <si>
    <t>https://chatgpt.com/share/68799722-fad4-800b-9625-de82794e6ec9</t>
    <phoneticPr fontId="4"/>
  </si>
  <si>
    <t>NC</t>
    <phoneticPr fontId="5"/>
  </si>
  <si>
    <t>Numerical Control
数値制御</t>
    <phoneticPr fontId="5"/>
  </si>
  <si>
    <t>NC工作機械とは数値制御によってコントロールされる工作機械のこと。
様々な種類の金属を磨いたり、削ったり、穴をあけたりする工作機械に数値制御装置が付くことで、プログラム通りに自動で材料や工具を動かすことが可能になる。</t>
    <phoneticPr fontId="5"/>
  </si>
  <si>
    <t>議事録（シミュレーション 2025/8/22）</t>
    <rPh sb="0" eb="3">
      <t>ギジロク</t>
    </rPh>
    <phoneticPr fontId="4"/>
  </si>
  <si>
    <t>https://www.e-kusanagi.jp/blog/post-803.html</t>
    <phoneticPr fontId="4"/>
  </si>
  <si>
    <t>MC</t>
    <phoneticPr fontId="5"/>
  </si>
  <si>
    <t>Machining Center
マシニングセンタ</t>
    <phoneticPr fontId="5"/>
  </si>
  <si>
    <t>「穴をあける」「表面を削る」など多種類の金属加工を1台で連続して実施できるNC工作機械。
ATC（Auto Tool Changer）と呼ばれる自動工具交換装置が付いており、数値制御により自動で工具を交換し、指示した通りに作業・加工を行うことができる。</t>
    <phoneticPr fontId="5"/>
  </si>
  <si>
    <t>ATC</t>
    <phoneticPr fontId="5"/>
  </si>
  <si>
    <t>Auto Tool Changer
自動工具交換装置</t>
    <phoneticPr fontId="5"/>
  </si>
  <si>
    <t>ATCによって工作機械を停止させることなく加工をすることができる。</t>
    <phoneticPr fontId="5"/>
  </si>
  <si>
    <t>NC/MC</t>
    <phoneticPr fontId="5"/>
  </si>
  <si>
    <t>https://www.metal-machining-costdown.com/column/detail.php?blog_id2=245</t>
    <phoneticPr fontId="4"/>
  </si>
  <si>
    <t>gRPC</t>
    <phoneticPr fontId="3"/>
  </si>
  <si>
    <t>Remote Procedure Calls</t>
    <phoneticPr fontId="3"/>
  </si>
  <si>
    <t>Google が開発した 高性能な RPC（遠隔手続き呼び出し）フレームワークです。マイクロサービス間通信や分散システムで広く使われています。</t>
    <phoneticPr fontId="3"/>
  </si>
  <si>
    <t>WRS振返り</t>
    <rPh sb="3" eb="4">
      <t>フ</t>
    </rPh>
    <rPh sb="4" eb="5">
      <t>カエ</t>
    </rPh>
    <phoneticPr fontId="4"/>
  </si>
  <si>
    <t>https://chatgpt.com/share/694e3759-2d20-800b-99f6-439d040502de</t>
    <phoneticPr fontId="4"/>
  </si>
  <si>
    <t>リスクアセスメント</t>
    <phoneticPr fontId="3"/>
  </si>
  <si>
    <t>事業場にある危険性や有害性の特定、リスクの見積り、優先度の設定、リスク低減措置の決定の一連の手順。
事業者は、その結果に基づいて適切な労働災害防止対策を講じる必要がある。</t>
    <phoneticPr fontId="3"/>
  </si>
  <si>
    <t>https://anzeninfo.mhlw.go.jp/yougo/yougo01_1.html</t>
    <phoneticPr fontId="4"/>
  </si>
  <si>
    <t>VLA</t>
    <phoneticPr fontId="3"/>
  </si>
  <si>
    <t>Vision-Language-Action Models</t>
    <phoneticPr fontId="3"/>
  </si>
  <si>
    <t>https://ai.access-company.com/articles-11/</t>
    <phoneticPr fontId="4"/>
  </si>
  <si>
    <t>チョコ停</t>
    <phoneticPr fontId="3"/>
  </si>
  <si>
    <t>製造設備のトラブルにより一時的に設備や製造が停止・空転する現象</t>
    <phoneticPr fontId="3"/>
  </si>
  <si>
    <t>https://www.keyence.co.jp/ss/general/manufacture-tips/short-stop.jsp</t>
    <phoneticPr fontId="4"/>
  </si>
  <si>
    <t>マルチモーダルAI</t>
    <phoneticPr fontId="3"/>
  </si>
  <si>
    <t>異なる種類の情報をまとめて扱うAIのこと。
例えば、カメラで撮影した映像とマイクで録音した音という異なる種類の情報から1つのAIを学習させることで、映像の中に写っている人が何を話しているのかをより正確に推定できるなど。</t>
    <rPh sb="22" eb="23">
      <t>タト</t>
    </rPh>
    <phoneticPr fontId="3"/>
  </si>
  <si>
    <t>https://www.aist.go.jp/aist_j/magazine/20231129.html</t>
    <phoneticPr fontId="4"/>
  </si>
  <si>
    <t>ダングリングポインタ</t>
    <phoneticPr fontId="3"/>
  </si>
  <si>
    <t>https://marycore.jp/coding/dangling-pointer/</t>
    <phoneticPr fontId="4"/>
  </si>
  <si>
    <t>https://qiita.com/N700A/items/3a6ace7388b827351894</t>
    <phoneticPr fontId="4"/>
  </si>
  <si>
    <t>ワイルドポインタ</t>
    <phoneticPr fontId="3"/>
  </si>
  <si>
    <t>不正なメモリ領域を指すポインタ。不正なメモリ領域とは、未初期化のポインタ変数や、誤ったポインタ演算によって発生したポインタ等のこと。</t>
    <rPh sb="16" eb="18">
      <t>フセイ</t>
    </rPh>
    <rPh sb="22" eb="24">
      <t>リョウイキ</t>
    </rPh>
    <phoneticPr fontId="3"/>
  </si>
  <si>
    <t>無効なメモリ領域を指すポインタ。無効なメモリ領域とは、解放済みのメモリ領域のこと。</t>
    <rPh sb="27" eb="29">
      <t>カイホウ</t>
    </rPh>
    <rPh sb="29" eb="30">
      <t>ズ</t>
    </rPh>
    <rPh sb="35" eb="37">
      <t>リョウイキ</t>
    </rPh>
    <phoneticPr fontId="3"/>
  </si>
  <si>
    <t>Modbus</t>
    <phoneticPr fontId="3"/>
  </si>
  <si>
    <t>アメリカのModicon Inc.により開発されたPLC用のネットワーク。仕様は一般に公開されており、FA業界では汎用的に採用されているネットワークの一つ。</t>
    <phoneticPr fontId="3"/>
  </si>
  <si>
    <t>https://www.keyence.co.jp/ss/products/controls/network/fieldnetwork/modbus.jsp</t>
    <phoneticPr fontId="4"/>
  </si>
  <si>
    <t>モダリティ</t>
    <phoneticPr fontId="3"/>
  </si>
  <si>
    <t>AIが入力として受け取るテキスト・画像・音声・動画・センサーデータなど「情報の形式」を指す概念。</t>
    <phoneticPr fontId="3"/>
  </si>
  <si>
    <t>https://liskul.com/modality-168534</t>
    <phoneticPr fontId="4"/>
  </si>
  <si>
    <t>VLM</t>
    <phoneticPr fontId="3"/>
  </si>
  <si>
    <t>Vision-Language Model</t>
    <phoneticPr fontId="3"/>
  </si>
  <si>
    <t>https://fastlabel.ai/blog/vision-language-model</t>
    <phoneticPr fontId="4"/>
  </si>
  <si>
    <t>RAG</t>
    <phoneticPr fontId="3"/>
  </si>
  <si>
    <t>Retrieval-Augmented Generation</t>
    <phoneticPr fontId="3"/>
  </si>
  <si>
    <t>https://fastlabel.ai/blog/rag</t>
    <phoneticPr fontId="4"/>
  </si>
  <si>
    <t>信頼性の高い情報を格納した「外部データベース」から関連情報を検索し、それを基に大規模言語モデル（LLM）が回答生成する手法。
具体的には、ユーザーからの質問に対して、まず関連する情報をデータベースや文書から探し出し、その検索結果と質問内容を組み合わせてLLMに入力し、回答を生成します。</t>
    <phoneticPr fontId="3"/>
  </si>
  <si>
    <t>材料を挟んで固定する際に使用される作業工具</t>
    <phoneticPr fontId="3"/>
  </si>
  <si>
    <t>バイス</t>
    <phoneticPr fontId="3"/>
  </si>
  <si>
    <t>https://www.monotaro.com/s/c-27120/</t>
    <phoneticPr fontId="4"/>
  </si>
  <si>
    <t>https://www.tiktok.com/@mono.que/video/7494174209858407687</t>
    <phoneticPr fontId="4"/>
  </si>
  <si>
    <t>チャッキング</t>
    <phoneticPr fontId="3"/>
  </si>
  <si>
    <t>主に旋盤やフライス盤などの加工機において、ワークを固定するための方法。
チャックと呼ばれるクランプ装置を使用して、ワークピースを機械に完全固定する。</t>
    <rPh sb="2" eb="4">
      <t>センバン</t>
    </rPh>
    <rPh sb="9" eb="10">
      <t>バン</t>
    </rPh>
    <rPh sb="13" eb="16">
      <t>カコウキ</t>
    </rPh>
    <rPh sb="25" eb="27">
      <t>コテイ</t>
    </rPh>
    <rPh sb="32" eb="34">
      <t>ホウホウ</t>
    </rPh>
    <rPh sb="41" eb="42">
      <t>ヨ</t>
    </rPh>
    <rPh sb="49" eb="51">
      <t>ソウチ</t>
    </rPh>
    <rPh sb="52" eb="54">
      <t>シヨウ</t>
    </rPh>
    <rPh sb="64" eb="66">
      <t>キカイ</t>
    </rPh>
    <rPh sb="67" eb="69">
      <t>カンゼン</t>
    </rPh>
    <rPh sb="69" eb="71">
      <t>コテイ</t>
    </rPh>
    <phoneticPr fontId="5"/>
  </si>
  <si>
    <t>https://newji.ai/procurement-purchasing/difference-between-chucking-and-clamping/</t>
    <phoneticPr fontId="4"/>
  </si>
  <si>
    <t>モノづくり太郎Youtube</t>
    <rPh sb="5" eb="7">
      <t>タロウ</t>
    </rPh>
    <phoneticPr fontId="4"/>
  </si>
  <si>
    <t>VRSC</t>
    <phoneticPr fontId="3"/>
  </si>
  <si>
    <t>三明機工が構築した、産業ロボットシステムの構築を3Dシミュレーション上で行えるようにしたシステム。</t>
    <rPh sb="0" eb="2">
      <t>サンメイ</t>
    </rPh>
    <rPh sb="2" eb="4">
      <t>キコウ</t>
    </rPh>
    <rPh sb="5" eb="7">
      <t>コウチク</t>
    </rPh>
    <rPh sb="10" eb="12">
      <t>サンギョウ</t>
    </rPh>
    <rPh sb="21" eb="23">
      <t>コウチク</t>
    </rPh>
    <rPh sb="34" eb="35">
      <t>ジョウ</t>
    </rPh>
    <rPh sb="36" eb="37">
      <t>オコナ</t>
    </rPh>
    <phoneticPr fontId="3"/>
  </si>
  <si>
    <t>https://sanmei-kikou.co.jp/vrsc/</t>
    <phoneticPr fontId="4"/>
  </si>
  <si>
    <t>ロボットが作業対象の種類や段取りを切り替える作業
  例) 自動車工場でA車種からB車種の部品を組み立てる
      →ロボットの溶接パスや組付け手順を変更
  例) 梱包ロボットが商品Aの箱詰めから商品Bに切り替わる
      →吸着ハンドの変更、箱サイズに応じた動作変更
  例) 検査ロボットが異なる製品ラインを扱う
      →画像認識のパラメータや検査項目の変更</t>
    <phoneticPr fontId="5"/>
  </si>
  <si>
    <t>DCCツール</t>
    <phoneticPr fontId="3"/>
  </si>
  <si>
    <t>Digital Content Creation Tool</t>
    <phoneticPr fontId="3"/>
  </si>
  <si>
    <t>3DCG領域に置いて必要な機能が全て入ったソフトのこと。
主に、モデリング、シェーディング、ライティング、リギング、アニメーション、レンダリングを行う。
代表的なソフトとしては、Blender、MAYA、Zbrush、3dsmaxが挙げられる。</t>
    <phoneticPr fontId="3"/>
  </si>
  <si>
    <t>https://note.com/uper_engin/n/n3433d2bc2f3f</t>
    <phoneticPr fontId="4"/>
  </si>
  <si>
    <t>ロングテール問題</t>
    <phoneticPr fontId="3"/>
  </si>
  <si>
    <t>「頻繁に発生する一般的な状況には対応できるが、稀にしか発生しない特殊な状況に対応するのが難しい」という問題</t>
    <phoneticPr fontId="3"/>
  </si>
  <si>
    <t>https://www.skygroup.jp/tech-blog/article/1113/</t>
    <phoneticPr fontId="4"/>
  </si>
  <si>
    <t>LCS</t>
    <phoneticPr fontId="3"/>
  </si>
  <si>
    <t>Local Coodinate System</t>
    <phoneticPr fontId="3"/>
  </si>
  <si>
    <t>ローカル座標系</t>
    <rPh sb="4" eb="6">
      <t>ザヒョウ</t>
    </rPh>
    <rPh sb="6" eb="7">
      <t>ケイ</t>
    </rPh>
    <phoneticPr fontId="3"/>
  </si>
  <si>
    <t>https://vk.com/@robotforge-robotelezhka-po-shagam-chast-1-rukovodstvo-po-robotcad-pod</t>
    <phoneticPr fontId="4"/>
  </si>
  <si>
    <t>https://help.altair.com/ss/ja_jp/topics/tutorials/ss/intro_local_coordinate_systems_r.htm</t>
    <phoneticPr fontId="4"/>
  </si>
  <si>
    <t>画像とテキストを統合的に処理するAIモデル
【入力】画像＋テキスト【出力】テキスト</t>
    <rPh sb="23" eb="25">
      <t>ニュウリョク</t>
    </rPh>
    <rPh sb="26" eb="28">
      <t>ガゾウ</t>
    </rPh>
    <rPh sb="34" eb="36">
      <t>シュツリョク</t>
    </rPh>
    <phoneticPr fontId="3"/>
  </si>
  <si>
    <t>視覚、言語、そして行動の3つのモダリティからの情報を統合的に処理するマルチモーダルモデル。
テキストベースの対話を行う ChatGPT のような会話型AIとは異なり、環境とインタラクションする物理的な実体（ロボットなど）を制御することを目的とする。
例えば、VLA を統合したロボットはユーザーからの「ボトルをとって」（Language）という指示が与えられると、カメラ画像（Vision）を元に環境（例: ボトルの形状や位置）を把握し、ボトルを掴むための行動（Action）を生成できる。
【入力】画像＋テキスト【出力】アクション</t>
    <rPh sb="247" eb="249">
      <t>ニュウリョク</t>
    </rPh>
    <rPh sb="250" eb="252">
      <t>ガゾウ</t>
    </rPh>
    <rPh sb="258" eb="260">
      <t>シュツリョク</t>
    </rPh>
    <phoneticPr fontId="3"/>
  </si>
  <si>
    <t>TCP</t>
    <phoneticPr fontId="3"/>
  </si>
  <si>
    <t>Tool Center Point</t>
    <phoneticPr fontId="3"/>
  </si>
  <si>
    <t>ロボットハンドが対象物に触れる点の中心。</t>
    <phoneticPr fontId="3"/>
  </si>
  <si>
    <t>https://www.keyence.co.jp/ss/products/vision/fa-robot/industrial_robot/robotic-arm.jsp</t>
    <phoneticPr fontId="4"/>
  </si>
  <si>
    <t>特異点</t>
    <phoneticPr fontId="3"/>
  </si>
  <si>
    <t>ロボットの先端を動かす事が出来なくなる方向。構造的に制御出来なくなる姿勢の事。
例えば、ロボットの腕が伸びきった姿勢や、2つ以上の軸が一直線上に並んだ時などの姿勢。</t>
    <rPh sb="40" eb="41">
      <t>タト</t>
    </rPh>
    <phoneticPr fontId="3"/>
  </si>
  <si>
    <t>https://robot-meister.com/infomations/420/</t>
    <phoneticPr fontId="4"/>
  </si>
  <si>
    <t>U字ライン</t>
    <phoneticPr fontId="3"/>
  </si>
  <si>
    <t>コンベア搬送を用いず、工程をU字型に配置したライン形状。作業者の手の届く範囲に材料や工具が配置されるため、少人数の作業者による多品種少量生産に適する。</t>
    <phoneticPr fontId="3"/>
  </si>
  <si>
    <t>https://www.keyence.co.jp/ss/general/fa-glossary/0005.jsp</t>
    <phoneticPr fontId="4"/>
  </si>
  <si>
    <t>https://www.keyence.co.jp/ss/products/vision/fa-robot/rv-example/machine-tools.jsp</t>
    <phoneticPr fontId="4"/>
  </si>
  <si>
    <t>CNC加工機</t>
    <phoneticPr fontId="3"/>
  </si>
  <si>
    <t>Computer Numerical Control Machining</t>
    <phoneticPr fontId="3"/>
  </si>
  <si>
    <t>コンピュータ数値制御技術を使用して部品や製品を加工する製造方法です。
デジタルデバイスと情報を使用して部品とカッターの変位を制御し、CNC機械で部品を処理します。</t>
    <phoneticPr fontId="3"/>
  </si>
  <si>
    <t>https://evort.jp/article/cnc</t>
    <phoneticPr fontId="4"/>
  </si>
  <si>
    <t>せん断</t>
    <phoneticPr fontId="3"/>
  </si>
  <si>
    <t>剪断。はさみなどを使って挟み切るように、物体や流体の内部の任意の面に関して面に平行方向に力が作用すること。</t>
    <phoneticPr fontId="3"/>
  </si>
  <si>
    <t>https://ja.wikipedia.org/wiki/%E3%81%9B%E3%82%93%E6%96%AD</t>
    <phoneticPr fontId="4"/>
  </si>
  <si>
    <t>https://www.keyence.co.jp/ss/products/safety/knowledge/about/risk.jsp</t>
    <phoneticPr fontId="4"/>
  </si>
  <si>
    <t>動脈産業</t>
    <phoneticPr fontId="3"/>
  </si>
  <si>
    <t>原材料から製品を製造する過程</t>
    <phoneticPr fontId="3"/>
  </si>
  <si>
    <t xml:space="preserve">使用済の製品を回収し、リサイクルする過程 </t>
    <phoneticPr fontId="3"/>
  </si>
  <si>
    <t>静脈産業</t>
    <phoneticPr fontId="3"/>
  </si>
  <si>
    <t>書籍「the ROBOT BUSSINESS」</t>
    <rPh sb="0" eb="2">
      <t>ショセキ</t>
    </rPh>
    <phoneticPr fontId="4"/>
  </si>
  <si>
    <t>ロングテール</t>
  </si>
  <si>
    <t>販売機会の少ない商品でもアイテム数を幅広く取り揃えること。
ロングテール市場への対応を行いたい＝小さい工場へもロボット導入しやすい環境を構築するところをやりたい</t>
    <rPh sb="36" eb="38">
      <t>シジョウ</t>
    </rPh>
    <rPh sb="40" eb="42">
      <t>タイオウ</t>
    </rPh>
    <rPh sb="43" eb="44">
      <t>オコナ</t>
    </rPh>
    <rPh sb="48" eb="49">
      <t>チイ</t>
    </rPh>
    <rPh sb="51" eb="53">
      <t>コウジョウ</t>
    </rPh>
    <rPh sb="59" eb="61">
      <t>ドウニュウ</t>
    </rPh>
    <rPh sb="65" eb="67">
      <t>カンキョウ</t>
    </rPh>
    <rPh sb="68" eb="70">
      <t>コウチク</t>
    </rPh>
    <phoneticPr fontId="3"/>
  </si>
  <si>
    <t>-</t>
  </si>
  <si>
    <t>https://ja.wikipedia.org/wiki/%E3%83%AD%E3%83%B3%E3%82%B0%E3%83%86%E3%83%BC%E3%83%AB#%E9%96%A2%E9%80%A3%E9%A0%85%E7%9B%AE</t>
  </si>
  <si>
    <t>リーク検査</t>
    <rPh sb="3" eb="5">
      <t>ケンサ</t>
    </rPh>
    <phoneticPr fontId="3"/>
  </si>
  <si>
    <t>密封性を確認し、気体や液体の漏れを検出する品質管理工程</t>
  </si>
  <si>
    <t>https://www.google.com/search?q=%E3%83%AA%E3%83%BC%E3%82%AF%E6%A4%9C%E6%9F%BB&amp;oq=%E3%83%AA%E3%83%BC%E3%82%AF%E6%A4%9C%E6%9F%BB&amp;gs_lcrp=EgRlZGdlKgcIABBFGIAEMgcIABBFGIAEMgcIARAAGIAEMgcIAhAAGIAEMgcIAxAAGIAEMgcIBBAAGIAEMgcIBRAAGIAEMgcIBhAAGIAEMgcIBxAAGIAE0gEIMTA3MWowajSoAgCwAgE&amp;sourceid=chrome&amp;ie=UTF-8</t>
  </si>
  <si>
    <t>ファインチューニング</t>
  </si>
  <si>
    <t>機械学習の分野において、事前学習済みのモデルの一部または全部に対して再トレーニングを行い、パラメーターの微調整をすること</t>
  </si>
  <si>
    <t>https://www.skygroup.jp/media/article/4090/</t>
  </si>
  <si>
    <t>マテハン</t>
  </si>
  <si>
    <t>マテリアル・ハンドリング</t>
  </si>
  <si>
    <t>流や製造現場でモノの移動、保管、荷役、梱包を効率化する機器や作業の総称</t>
  </si>
  <si>
    <t>https://www.okamura.co.jp/mhs/column/008010.html</t>
  </si>
  <si>
    <t>RL</t>
  </si>
  <si>
    <t>Reinforcement Learning</t>
  </si>
  <si>
    <t>強化学習参照</t>
    <rPh sb="4" eb="6">
      <t>サンショウ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</si>
</sst>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9"/>
      <color theme="1"/>
      <name val="ＭＳ ゴシック"/>
      <family val="2"/>
      <charset val="128"/>
    </font>
    <font>
      <sz val="9"/>
      <color theme="1"/>
      <name val="ＭＳ ゴシック"/>
      <family val="3"/>
      <charset val="128"/>
    </font>
    <font>
      <b/>
      <sz val="9"/>
      <color theme="0"/>
      <name val="ＭＳ ゴシック"/>
      <family val="3"/>
      <charset val="128"/>
    </font>
    <font>
      <sz val="6"/>
      <name val="ＭＳ ゴシック"/>
      <family val="2"/>
      <charset val="128"/>
    </font>
    <font>
      <sz val="6"/>
      <name val="游ゴシック"/>
      <family val="3"/>
      <charset val="128"/>
      <scheme val="minor"/>
    </font>
    <font>
      <sz val="6"/>
      <name val="ＭＳ ゴシック"/>
      <family val="3"/>
      <charset val="128"/>
    </font>
    <font>
      <sz val="9"/>
      <name val="ＭＳ ゴシック"/>
      <family val="3"/>
      <charset val="128"/>
    </font>
    <font>
      <u/>
      <sz val="9"/>
      <color theme="10"/>
      <name val="ＭＳ ゴシック"/>
      <family val="3"/>
      <charset val="128"/>
    </font>
    <font>
      <b/>
      <sz val="9"/>
      <name val="ＭＳ ゴシック"/>
      <family val="3"/>
      <charset val="128"/>
    </font>
    <font>
      <u/>
      <sz val="9"/>
      <color theme="10"/>
      <name val="ＭＳ ゴシック"/>
      <family val="2"/>
      <charset val="128"/>
    </font>
  </fonts>
  <fills count="2">
    <fill>
      <patternFill patternType="none"/>
    </fill>
    <fill>
      <patternFill patternType="gray125"/>
    </fill>
  </fills>
  <borders count="1">
    <border>
      <left/>
      <right/>
      <top/>
      <bottom/>
      <diagonal/>
    </border>
  </borders>
  <cellStyleXfs count="4">
    <xf numFmtId="0" fontId="0" fillId="0" borderId="0">
      <alignment vertical="center"/>
    </xf>
    <xf numFmtId="0" fontId="1" fillId="0" borderId="0">
      <alignment vertical="top"/>
    </xf>
    <xf numFmtId="0" fontId="7" fillId="0" borderId="0" applyNumberFormat="0" applyFill="0" applyBorder="0" applyAlignment="0" applyProtection="0">
      <alignment vertical="top"/>
    </xf>
    <xf numFmtId="0" fontId="9" fillId="0" borderId="0" applyNumberFormat="0" applyFill="0" applyBorder="0" applyAlignment="0" applyProtection="0">
      <alignment vertical="center"/>
    </xf>
  </cellStyleXfs>
  <cellXfs count="25">
    <xf numFmtId="0" fontId="0" fillId="0" borderId="0" xfId="0">
      <alignment vertical="center"/>
    </xf>
    <xf numFmtId="0" fontId="2" fillId="0" borderId="0" xfId="1" applyFont="1" applyAlignment="1">
      <alignment horizontal="center" vertical="top" wrapText="1"/>
    </xf>
    <xf numFmtId="0" fontId="1" fillId="0" borderId="0" xfId="1" applyAlignment="1">
      <alignment vertical="top" wrapText="1"/>
    </xf>
    <xf numFmtId="0" fontId="6" fillId="0" borderId="0" xfId="1" applyFont="1" applyAlignment="1">
      <alignment vertical="top" wrapText="1"/>
    </xf>
    <xf numFmtId="0" fontId="6" fillId="0" borderId="0" xfId="1" applyFont="1" applyAlignment="1">
      <alignment horizontal="center" vertical="top" wrapText="1"/>
    </xf>
    <xf numFmtId="0" fontId="6" fillId="0" borderId="0" xfId="1" applyFont="1" applyAlignment="1">
      <alignment horizontal="left" vertical="top" wrapText="1"/>
    </xf>
    <xf numFmtId="0" fontId="7" fillId="0" borderId="0" xfId="2">
      <alignment vertical="top"/>
    </xf>
    <xf numFmtId="0" fontId="6" fillId="0" borderId="0" xfId="1" applyFont="1">
      <alignment vertical="top"/>
    </xf>
    <xf numFmtId="14" fontId="6" fillId="0" borderId="0" xfId="1" applyNumberFormat="1" applyFont="1" applyAlignment="1">
      <alignment vertical="top" wrapText="1"/>
    </xf>
    <xf numFmtId="14" fontId="6" fillId="0" borderId="0" xfId="1" applyNumberFormat="1" applyFont="1" applyAlignment="1">
      <alignment horizontal="center" vertical="top" wrapText="1"/>
    </xf>
    <xf numFmtId="3" fontId="6" fillId="0" borderId="0" xfId="1" applyNumberFormat="1" applyFont="1" applyAlignment="1">
      <alignment vertical="top" wrapText="1"/>
    </xf>
    <xf numFmtId="3" fontId="6" fillId="0" borderId="0" xfId="1" applyNumberFormat="1" applyFont="1" applyAlignment="1">
      <alignment horizontal="center" vertical="top" wrapText="1"/>
    </xf>
    <xf numFmtId="0" fontId="1" fillId="0" borderId="0" xfId="1">
      <alignment vertical="top"/>
    </xf>
    <xf numFmtId="0" fontId="1" fillId="0" borderId="0" xfId="1" applyAlignment="1">
      <alignment horizontal="center"/>
    </xf>
    <xf numFmtId="0" fontId="9" fillId="0" borderId="0" xfId="3" applyAlignment="1">
      <alignment vertical="top"/>
    </xf>
    <xf numFmtId="0" fontId="6" fillId="0" borderId="0" xfId="1" applyFont="1" applyAlignment="1">
      <alignment vertical="top" wrapText="1"/>
    </xf>
    <xf numFmtId="0" fontId="6" fillId="0" borderId="0" xfId="1" applyFont="1" applyAlignment="1">
      <alignment horizontal="center" vertical="top" wrapText="1"/>
    </xf>
    <xf numFmtId="0" fontId="6" fillId="0" borderId="0" xfId="1" applyFont="1" applyAlignment="1">
      <alignment horizontal="left" vertical="top" wrapText="1"/>
    </xf>
    <xf numFmtId="0" fontId="6" fillId="0" borderId="0" xfId="1" applyFont="1">
      <alignment vertical="top"/>
    </xf>
    <xf numFmtId="0" fontId="9" fillId="0" borderId="0" xfId="3" applyAlignment="1">
      <alignment vertical="top"/>
    </xf>
    <xf numFmtId="0" fontId="6" fillId="0" borderId="0" xfId="1" applyFont="1" applyAlignment="1">
      <alignment vertical="top" wrapText="1"/>
    </xf>
    <xf numFmtId="0" fontId="6" fillId="0" borderId="0" xfId="1" applyFont="1" applyAlignment="1">
      <alignment horizontal="center" vertical="top" wrapText="1"/>
    </xf>
    <xf numFmtId="0" fontId="6" fillId="0" borderId="0" xfId="1" applyFont="1" applyAlignment="1">
      <alignment horizontal="left" vertical="top" wrapText="1"/>
    </xf>
    <xf numFmtId="0" fontId="6" fillId="0" borderId="0" xfId="1" applyFont="1">
      <alignment vertical="top"/>
    </xf>
    <xf numFmtId="0" fontId="9" fillId="0" borderId="0" xfId="3" applyAlignment="1">
      <alignment vertical="top"/>
    </xf>
  </cellXfs>
  <cellStyles count="4">
    <cellStyle name="ハイパーリンク" xfId="3" builtinId="8"/>
    <cellStyle name="ハイパーリンク 2" xfId="2" xr:uid="{41D40A72-E328-4123-8EFE-7AFB77EEE27F}"/>
    <cellStyle name="標準" xfId="0" builtinId="0"/>
    <cellStyle name="標準 2" xfId="1" xr:uid="{2B38D7C9-68C9-42F8-A764-B3CD2E1F0120}"/>
  </cellStyles>
  <dxfs count="30">
    <dxf>
      <fill>
        <patternFill>
          <bgColor theme="8" tint="0.79998168889431442"/>
        </patternFill>
      </fill>
    </dxf>
    <dxf>
      <fill>
        <patternFill>
          <bgColor theme="5" tint="0.79998168889431442"/>
        </patternFill>
      </fill>
    </dxf>
    <dxf>
      <font>
        <color rgb="FFFF0000"/>
      </font>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general" vertical="top" textRotation="0" wrapText="0" indent="0" justifyLastLine="0" shrinkToFit="0" readingOrder="0"/>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general" vertical="top" textRotation="0" wrapText="0" indent="0" justifyLastLine="0" shrinkToFit="0" readingOrder="0"/>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general" vertical="top" textRotation="0" wrapText="0" indent="0" justifyLastLine="0" shrinkToFit="0" readingOrder="0"/>
    </dxf>
    <dxf>
      <font>
        <b val="0"/>
        <i val="0"/>
        <strike val="0"/>
        <condense val="0"/>
        <extend val="0"/>
        <outline val="0"/>
        <shadow val="0"/>
        <u val="none"/>
        <vertAlign val="baseline"/>
        <sz val="9"/>
        <color auto="1"/>
        <name val="ＭＳ ゴシック"/>
        <family val="3"/>
        <charset val="128"/>
        <scheme val="none"/>
      </font>
      <numFmt numFmtId="0" formatCode="General"/>
      <alignment horizontal="center"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center"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left"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numFmt numFmtId="0" formatCode="General"/>
      <alignment horizontal="center"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9"/>
        <color theme="1"/>
        <name val="ＭＳ ゴシック"/>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ＭＳ ゴシック"/>
        <family val="3"/>
        <charset val="128"/>
        <scheme val="none"/>
      </font>
      <alignment horizontal="general" vertical="top" textRotation="0" wrapText="1" indent="0" justifyLastLine="0" shrinkToFit="0" readingOrder="0"/>
    </dxf>
    <dxf>
      <font>
        <strike val="0"/>
        <outline val="0"/>
        <shadow val="0"/>
        <u val="none"/>
        <vertAlign val="baseline"/>
        <sz val="9"/>
        <name val="ＭＳ ゴシック"/>
        <family val="3"/>
        <charset val="128"/>
        <scheme val="none"/>
      </font>
      <alignment vertical="top" textRotation="0" indent="0" justifyLastLine="0" shrinkToFit="0" readingOrder="0"/>
    </dxf>
    <dxf>
      <font>
        <strike val="0"/>
        <outline val="0"/>
        <shadow val="0"/>
        <u val="none"/>
        <vertAlign val="baseline"/>
        <sz val="9"/>
        <color auto="1"/>
        <name val="ＭＳ ゴシック"/>
        <family val="3"/>
        <charset val="128"/>
        <scheme val="none"/>
      </font>
      <alignment vertical="top" textRotation="0" indent="0" justifyLastLine="0" shrinkToFit="0" readingOrder="0"/>
    </dxf>
    <dxf>
      <font>
        <b/>
        <i val="0"/>
        <strike val="0"/>
        <condense val="0"/>
        <extend val="0"/>
        <outline val="0"/>
        <shadow val="0"/>
        <u val="none"/>
        <vertAlign val="baseline"/>
        <sz val="9"/>
        <color theme="0"/>
        <name val="ＭＳ ゴシック"/>
        <family val="3"/>
        <charset val="128"/>
        <scheme val="none"/>
      </font>
      <fill>
        <patternFill patternType="none">
          <fgColor indexed="64"/>
          <bgColor auto="1"/>
        </patternFill>
      </fill>
      <alignment horizontal="center" vertical="top" textRotation="0" wrapText="1" indent="0" justifyLastLine="0" shrinkToFit="0" readingOrder="0"/>
      <border diagonalUp="0" diagonalDown="0" outline="0">
        <left style="dotted">
          <color indexed="64"/>
        </left>
        <right style="dotted">
          <color indexed="64"/>
        </right>
        <top/>
        <bottom/>
      </border>
    </dxf>
    <dxf>
      <font>
        <b/>
        <i val="0"/>
        <color theme="0"/>
      </font>
      <fill>
        <patternFill>
          <bgColor theme="1"/>
        </patternFill>
      </fill>
    </dxf>
    <dxf>
      <border>
        <left style="dotted">
          <color auto="1"/>
        </left>
        <right style="dotted">
          <color auto="1"/>
        </right>
        <top/>
        <bottom style="dotted">
          <color auto="1"/>
        </bottom>
        <vertical style="dotted">
          <color auto="1"/>
        </vertical>
        <horizontal style="dotted">
          <color auto="1"/>
        </horizontal>
      </border>
    </dxf>
  </dxfs>
  <tableStyles count="1" defaultTableStyle="TableStyleMedium2" defaultPivotStyle="PivotStyleLight16">
    <tableStyle name="テーブル スタイル 1" pivot="0" count="2" xr9:uid="{65862241-5D15-4EE7-AB2A-D5B96AE19628}">
      <tableStyleElement type="wholeTable" dxfId="29"/>
      <tableStyleElement type="headerRow"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969C53-63BA-495E-B7D4-E2B61DA34382}" name="用語集" displayName="用語集" ref="A1:N501" headerRowDxfId="27" dataDxfId="26" totalsRowDxfId="25">
  <autoFilter ref="A1:N501" xr:uid="{AA1766EF-F10E-469A-A67F-410608B5CECC}"/>
  <tableColumns count="14">
    <tableColumn id="1" xr3:uid="{1F848792-8091-4879-8E18-3BC0EB978C4A}" name="No_x000a__x000a__x000a__x000a__x000a__x000a__x000a__x000a_" totalsRowLabel="集計" dataDxfId="24" totalsRowDxfId="23"/>
    <tableColumn id="2" xr3:uid="{364A137F-39E0-4EAE-A336-39D330FD7837}" name="重複" totalsRowFunction="min" dataDxfId="22">
      <calculatedColumnFormula>IF(COUNTIF(用語集[キーワード],用語集[[#This Row],[キーワード]])&gt;1,"!","")</calculatedColumnFormula>
    </tableColumn>
    <tableColumn id="3" xr3:uid="{11C2FA72-3C9A-40C1-8D9F-F5853A2E3A41}" name="状況" dataDxfId="21">
      <calculatedColumnFormula>IF(用語集[[#This Row],[キーワード]]="","",IF(OR(用語集[[#This Row],[説明]]="",NOT(ISERROR(FIND("★",用語集[[#This Row],[説明]])))),"★","☆"))</calculatedColumnFormula>
    </tableColumn>
    <tableColumn id="8" xr3:uid="{4D473A0C-4F1E-4BF3-8A70-B0DED64895F2}" name="キーワード" dataDxfId="20"/>
    <tableColumn id="4" xr3:uid="{6B7806BD-4C8C-4654-BEC1-2927CD1082FE}" name="正式名称" dataDxfId="19" totalsRowDxfId="18"/>
    <tableColumn id="5" xr3:uid="{2BADD39B-2E24-46C3-9785-6B242B151BD1}" name="説明" dataDxfId="17"/>
    <tableColumn id="7" xr3:uid="{112F8C76-078E-4A40-8B54-B74C278A7045}" name="カテゴリ" dataDxfId="16"/>
    <tableColumn id="6" xr3:uid="{894A0AFB-BCAA-47AC-8FA3-C539A7294D14}" name="関連キーワード" dataDxfId="15"/>
    <tableColumn id="11" xr3:uid="{2B018E59-C581-41DD-895F-C6704D9EB6F6}" name="発生源" dataDxfId="14" totalsRowDxfId="13"/>
    <tableColumn id="14" xr3:uid="{72EEA66C-575D-4A70-BD39-5B25F455AE3E}" name="出典１" dataDxfId="12" totalsRowDxfId="11"/>
    <tableColumn id="9" xr3:uid="{71D0D4E4-E942-4863-A402-F2C1928750FA}" name="出典２" dataDxfId="10" totalsRowDxfId="9"/>
    <tableColumn id="12" xr3:uid="{019E0261-6DA8-4488-A4D8-7F9D34CE00FD}" name="出典３" dataDxfId="8" totalsRowDxfId="7"/>
    <tableColumn id="10" xr3:uid="{B1B3E341-5520-4527-A2B9-A163805A51E8}" name="出典４" dataDxfId="6" totalsRowDxfId="5"/>
    <tableColumn id="13" xr3:uid="{4CAA2887-DADA-40CF-9647-EBD5629BFB01}" name="出典５" dataDxfId="4" totalsRowDxfId="3"/>
  </tableColumns>
  <tableStyleInfo name="テーブル スタイル 1" showFirstColumn="0" showLastColumn="0" showRowStripes="1" showColumnStripes="1"/>
</table>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help.altair.com/ss/ja_jp/topics/tutorials/ss/intro_local_coordinate_systems_r.htm" TargetMode="External"/><Relationship Id="rId21" Type="http://schemas.openxmlformats.org/officeDocument/2006/relationships/hyperlink" Target="https://yuqlid.sakura.ne.jp/dokuwiki/sdf" TargetMode="External"/><Relationship Id="rId42" Type="http://schemas.openxmlformats.org/officeDocument/2006/relationships/hyperlink" Target="https://www.golfdo.com/knowledge/golfgear/806/" TargetMode="External"/><Relationship Id="rId47" Type="http://schemas.openxmlformats.org/officeDocument/2006/relationships/hyperlink" Target="https://e-words.jp/w/%E3%83%98%E3%83%83%E3%83%89%E3%83%AC%E3%82%B9.html" TargetMode="External"/><Relationship Id="rId63" Type="http://schemas.openxmlformats.org/officeDocument/2006/relationships/hyperlink" Target="https://www.industryalpha.net/fms/" TargetMode="External"/><Relationship Id="rId68" Type="http://schemas.openxmlformats.org/officeDocument/2006/relationships/hyperlink" Target="https://chatgpt.com/share/683fafd6-e7f0-800b-b54e-bf7d4a669e6f" TargetMode="External"/><Relationship Id="rId84" Type="http://schemas.openxmlformats.org/officeDocument/2006/relationships/hyperlink" Target="https://chatgpt.com/share/68773240-eedc-800b-85a5-27b36817b10f" TargetMode="External"/><Relationship Id="rId89" Type="http://schemas.openxmlformats.org/officeDocument/2006/relationships/hyperlink" Target="https://www.orixrentec.jp/helpful_info/detail.html?id=44" TargetMode="External"/><Relationship Id="rId112" Type="http://schemas.openxmlformats.org/officeDocument/2006/relationships/hyperlink" Target="https://newji.ai/procurement-purchasing/difference-between-chucking-and-clamping/" TargetMode="External"/><Relationship Id="rId16" Type="http://schemas.openxmlformats.org/officeDocument/2006/relationships/hyperlink" Target="https://note.com/rodz/n/n16260f158973" TargetMode="External"/><Relationship Id="rId107" Type="http://schemas.openxmlformats.org/officeDocument/2006/relationships/hyperlink" Target="https://fastlabel.ai/blog/vision-language-model" TargetMode="External"/><Relationship Id="rId11" Type="http://schemas.openxmlformats.org/officeDocument/2006/relationships/hyperlink" Target="https://app.box.com/file/1293500277303" TargetMode="External"/><Relationship Id="rId32" Type="http://schemas.openxmlformats.org/officeDocument/2006/relationships/hyperlink" Target="https://qiita.com/shmpwk/items/c3df121c66c484a95fef" TargetMode="External"/><Relationship Id="rId37" Type="http://schemas.openxmlformats.org/officeDocument/2006/relationships/hyperlink" Target="https://fusiontechnology.co.jp/column/211220-2/" TargetMode="External"/><Relationship Id="rId53" Type="http://schemas.openxmlformats.org/officeDocument/2006/relationships/hyperlink" Target="https://chatgpt.com/c/672434cf-76ec-800b-8d0f-4f66fef45f13" TargetMode="External"/><Relationship Id="rId58" Type="http://schemas.openxmlformats.org/officeDocument/2006/relationships/hyperlink" Target="https://www.eurobots.jp/rebots-mobile-manipulator-jp.html" TargetMode="External"/><Relationship Id="rId74" Type="http://schemas.openxmlformats.org/officeDocument/2006/relationships/hyperlink" Target="https://chatgpt.com/share/686499f9-5514-800b-9c3f-fd8852cc7ef5" TargetMode="External"/><Relationship Id="rId79" Type="http://schemas.openxmlformats.org/officeDocument/2006/relationships/hyperlink" Target="https://ejje.weblio.jp/content/milling" TargetMode="External"/><Relationship Id="rId102" Type="http://schemas.openxmlformats.org/officeDocument/2006/relationships/hyperlink" Target="https://qiita.com/N700A/items/3a6ace7388b827351894" TargetMode="External"/><Relationship Id="rId123" Type="http://schemas.openxmlformats.org/officeDocument/2006/relationships/hyperlink" Target="https://www.keyence.co.jp/ss/products/vision/fa-robot/rv-example/machine-tools.jsp" TargetMode="External"/><Relationship Id="rId128" Type="http://schemas.openxmlformats.org/officeDocument/2006/relationships/hyperlink" Target="https://www.skygroup.jp/media/article/4090/" TargetMode="External"/><Relationship Id="rId5" Type="http://schemas.openxmlformats.org/officeDocument/2006/relationships/hyperlink" Target="http://www.kosmek.co.jp/ap/swr/" TargetMode="External"/><Relationship Id="rId90" Type="http://schemas.openxmlformats.org/officeDocument/2006/relationships/hyperlink" Target="https://chatgpt.com/share/68774b64-2df4-800b-b4d7-119c9c462c7c" TargetMode="External"/><Relationship Id="rId95" Type="http://schemas.openxmlformats.org/officeDocument/2006/relationships/hyperlink" Target="https://www.metal-machining-costdown.com/column/detail.php?blog_id2=245" TargetMode="External"/><Relationship Id="rId22" Type="http://schemas.openxmlformats.org/officeDocument/2006/relationships/hyperlink" Target="https://qiita.com/tygoto/items/052954ff5905f7733b77" TargetMode="External"/><Relationship Id="rId27" Type="http://schemas.openxmlformats.org/officeDocument/2006/relationships/hyperlink" Target="https://www.kantsu.com/case/amr%EF%BC%88%E8%87%AA%E5%BE%8B%E8%B5%B0%E8%A1%8C%E6%90%AC%E9%80%81%E3%83%AD%E3%83%9C%E3%83%83%E3%83%88%EF%BC%89%E3%81%A8%E3%81%AF%EF%BD%9Cagv%E3%81%A8%E3%81%AE%E9%81%95%E3%81%84%E3%82%84%E9%81%8B/" TargetMode="External"/><Relationship Id="rId43" Type="http://schemas.openxmlformats.org/officeDocument/2006/relationships/hyperlink" Target="https://note.com/npaka/n/n37dbe4eae232" TargetMode="External"/><Relationship Id="rId48" Type="http://schemas.openxmlformats.org/officeDocument/2006/relationships/hyperlink" Target="http://kutodatabase.com/kuto1970.shop/Works_BPYNyumon.html" TargetMode="External"/><Relationship Id="rId64" Type="http://schemas.openxmlformats.org/officeDocument/2006/relationships/hyperlink" Target="https://chatgpt.com/share/683fcd2c-5058-800b-b5c2-dae33e1a2c6b" TargetMode="External"/><Relationship Id="rId69" Type="http://schemas.openxmlformats.org/officeDocument/2006/relationships/hyperlink" Target="https://chatgpt.com/share/6840eafe-66f8-800b-ae63-010a34d7e152" TargetMode="External"/><Relationship Id="rId113" Type="http://schemas.openxmlformats.org/officeDocument/2006/relationships/hyperlink" Target="https://sanmei-kikou.co.jp/vrsc/" TargetMode="External"/><Relationship Id="rId118" Type="http://schemas.openxmlformats.org/officeDocument/2006/relationships/hyperlink" Target="https://www.keyence.co.jp/ss/products/vision/fa-robot/industrial_robot/robotic-arm.jsp" TargetMode="External"/><Relationship Id="rId80" Type="http://schemas.openxmlformats.org/officeDocument/2006/relationships/hyperlink" Target="https://nikougiken.jp/column/2109-cutting/" TargetMode="External"/><Relationship Id="rId85" Type="http://schemas.openxmlformats.org/officeDocument/2006/relationships/hyperlink" Target="https://docs.unity3d.com/Simulation/manual/index.html" TargetMode="External"/><Relationship Id="rId12" Type="http://schemas.openxmlformats.org/officeDocument/2006/relationships/hyperlink" Target="https://rigtorp.se/iife/" TargetMode="External"/><Relationship Id="rId17" Type="http://schemas.openxmlformats.org/officeDocument/2006/relationships/hyperlink" Target="https://twitter.com/rosconjp/status/1176718523260755968" TargetMode="External"/><Relationship Id="rId33" Type="http://schemas.openxmlformats.org/officeDocument/2006/relationships/hyperlink" Target="https://www.allisonthackston.com/articles/ignition-vs-gazebo" TargetMode="External"/><Relationship Id="rId38" Type="http://schemas.openxmlformats.org/officeDocument/2006/relationships/hyperlink" Target="https://en.wikipedia.org/wiki/List_of_moments_of_inertia" TargetMode="External"/><Relationship Id="rId59" Type="http://schemas.openxmlformats.org/officeDocument/2006/relationships/hyperlink" Target="https://www.fiweek.jp/hub/ja-jp/blog/article03-agv.html" TargetMode="External"/><Relationship Id="rId103" Type="http://schemas.openxmlformats.org/officeDocument/2006/relationships/hyperlink" Target="https://marycore.jp/coding/dangling-pointer/" TargetMode="External"/><Relationship Id="rId108" Type="http://schemas.openxmlformats.org/officeDocument/2006/relationships/hyperlink" Target="https://fastlabel.ai/blog/rag" TargetMode="External"/><Relationship Id="rId124" Type="http://schemas.openxmlformats.org/officeDocument/2006/relationships/hyperlink" Target="https://ja.wikipedia.org/wiki/%E3%81%9B%E3%82%93%E6%96%AD" TargetMode="External"/><Relationship Id="rId129" Type="http://schemas.openxmlformats.org/officeDocument/2006/relationships/hyperlink" Target="https://www.okamura.co.jp/mhs/column/008010.html" TargetMode="External"/><Relationship Id="rId54" Type="http://schemas.openxmlformats.org/officeDocument/2006/relationships/hyperlink" Target="https://www.jsme.or.jp/jsme-medwiki/doku.php?id=14:1008536" TargetMode="External"/><Relationship Id="rId70" Type="http://schemas.openxmlformats.org/officeDocument/2006/relationships/hyperlink" Target="https://chatgpt.com/share/686225b9-b2c0-800b-acc9-dbdb1513f84a" TargetMode="External"/><Relationship Id="rId75" Type="http://schemas.openxmlformats.org/officeDocument/2006/relationships/hyperlink" Target="https://www.kosmek.co.jp/webten/fa001_main/setup/index.html" TargetMode="External"/><Relationship Id="rId91" Type="http://schemas.openxmlformats.org/officeDocument/2006/relationships/hyperlink" Target="https://www.denso-wave.com/ja/robot/ex/cobottapro_product.html" TargetMode="External"/><Relationship Id="rId96" Type="http://schemas.openxmlformats.org/officeDocument/2006/relationships/hyperlink" Target="https://chatgpt.com/share/694e3759-2d20-800b-99f6-439d040502de" TargetMode="External"/><Relationship Id="rId1" Type="http://schemas.openxmlformats.org/officeDocument/2006/relationships/hyperlink" Target="https://www.hitachi-solutions.co.jp/sbom/sp/blog/2021100103/" TargetMode="External"/><Relationship Id="rId6" Type="http://schemas.openxmlformats.org/officeDocument/2006/relationships/hyperlink" Target="https://app.box.com/file/1293500277303" TargetMode="External"/><Relationship Id="rId23" Type="http://schemas.openxmlformats.org/officeDocument/2006/relationships/hyperlink" Target="https://mitsu-ri.net/articles/flange/" TargetMode="External"/><Relationship Id="rId28" Type="http://schemas.openxmlformats.org/officeDocument/2006/relationships/hyperlink" Target="https://www.kantsu.com/case/2019-10-11/" TargetMode="External"/><Relationship Id="rId49" Type="http://schemas.openxmlformats.org/officeDocument/2006/relationships/hyperlink" Target="https://app.box.com/file/1242581406312" TargetMode="External"/><Relationship Id="rId114" Type="http://schemas.openxmlformats.org/officeDocument/2006/relationships/hyperlink" Target="https://note.com/uper_engin/n/n3433d2bc2f3f" TargetMode="External"/><Relationship Id="rId119" Type="http://schemas.openxmlformats.org/officeDocument/2006/relationships/hyperlink" Target="https://robot-meister.com/infomations/420/" TargetMode="External"/><Relationship Id="rId44" Type="http://schemas.openxmlformats.org/officeDocument/2006/relationships/hyperlink" Target="http://kentiku-kouzou.jp/struc-danmenzikuryoku.html" TargetMode="External"/><Relationship Id="rId60" Type="http://schemas.openxmlformats.org/officeDocument/2006/relationships/hyperlink" Target="https://chatgpt.com/share/683813e0-57e0-800b-a2dc-936b16581cf3" TargetMode="External"/><Relationship Id="rId65" Type="http://schemas.openxmlformats.org/officeDocument/2006/relationships/hyperlink" Target="https://chatgpt.com/share/683fcd2c-5058-800b-b5c2-dae33e1a2c6b" TargetMode="External"/><Relationship Id="rId81" Type="http://schemas.openxmlformats.org/officeDocument/2006/relationships/hyperlink" Target="https://www.youtube.com/watch?v=g7RS0oLRkQM" TargetMode="External"/><Relationship Id="rId86" Type="http://schemas.openxmlformats.org/officeDocument/2006/relationships/hyperlink" Target="https://github.com/Unity-Technologies/com.unity.perception" TargetMode="External"/><Relationship Id="rId130" Type="http://schemas.openxmlformats.org/officeDocument/2006/relationships/printerSettings" Target="../printerSettings/printerSettings1.bin"/><Relationship Id="rId13" Type="http://schemas.openxmlformats.org/officeDocument/2006/relationships/hyperlink" Target="https://robot-slider.com/peripherals/" TargetMode="External"/><Relationship Id="rId18" Type="http://schemas.openxmlformats.org/officeDocument/2006/relationships/hyperlink" Target="https://www.keyence.co.jp/ss/products/measure-sys/machine-elements/link/type.jsp" TargetMode="External"/><Relationship Id="rId39" Type="http://schemas.openxmlformats.org/officeDocument/2006/relationships/hyperlink" Target="https://www.sbbit.jp/article/cont1/63580" TargetMode="External"/><Relationship Id="rId109" Type="http://schemas.openxmlformats.org/officeDocument/2006/relationships/hyperlink" Target="https://fastlabel.ai/blog/vision-language-model" TargetMode="External"/><Relationship Id="rId34" Type="http://schemas.openxmlformats.org/officeDocument/2006/relationships/hyperlink" Target="https://qiita.com/shmpwk/items/c3df121c66c484a95fef" TargetMode="External"/><Relationship Id="rId50" Type="http://schemas.openxmlformats.org/officeDocument/2006/relationships/hyperlink" Target="https://app.box.com/file/1242581406312" TargetMode="External"/><Relationship Id="rId55" Type="http://schemas.openxmlformats.org/officeDocument/2006/relationships/hyperlink" Target="https://www.kantsu.com/terms/2815/" TargetMode="External"/><Relationship Id="rId76" Type="http://schemas.openxmlformats.org/officeDocument/2006/relationships/hyperlink" Target="https://www.youtube.com/watch?v=yN-FddcIbJU" TargetMode="External"/><Relationship Id="rId97" Type="http://schemas.openxmlformats.org/officeDocument/2006/relationships/hyperlink" Target="https://anzeninfo.mhlw.go.jp/yougo/yougo01_1.html" TargetMode="External"/><Relationship Id="rId104" Type="http://schemas.openxmlformats.org/officeDocument/2006/relationships/hyperlink" Target="https://marycore.jp/coding/dangling-pointer/" TargetMode="External"/><Relationship Id="rId120" Type="http://schemas.openxmlformats.org/officeDocument/2006/relationships/hyperlink" Target="https://www.keyence.co.jp/ss/general/fa-glossary/0005.jsp" TargetMode="External"/><Relationship Id="rId125" Type="http://schemas.openxmlformats.org/officeDocument/2006/relationships/hyperlink" Target="https://www.keyence.co.jp/ss/products/safety/knowledge/about/risk.jsp" TargetMode="External"/><Relationship Id="rId7" Type="http://schemas.openxmlformats.org/officeDocument/2006/relationships/hyperlink" Target="https://app.box.com/file/1293500277303" TargetMode="External"/><Relationship Id="rId71" Type="http://schemas.openxmlformats.org/officeDocument/2006/relationships/hyperlink" Target="https://aws.amazon.com/jp/robomaker/" TargetMode="External"/><Relationship Id="rId92" Type="http://schemas.openxmlformats.org/officeDocument/2006/relationships/hyperlink" Target="https://chatgpt.com/share/68799722-fad4-800b-9625-de82794e6ec9" TargetMode="External"/><Relationship Id="rId2" Type="http://schemas.openxmlformats.org/officeDocument/2006/relationships/hyperlink" Target="https://app.box.com/file/1293500277303" TargetMode="External"/><Relationship Id="rId29" Type="http://schemas.openxmlformats.org/officeDocument/2006/relationships/hyperlink" Target="https://www.kantsu.com/case/2019-10-11/" TargetMode="External"/><Relationship Id="rId24" Type="http://schemas.openxmlformats.org/officeDocument/2006/relationships/hyperlink" Target="https://hooktail.sub.jp/mechanics/rigidBody/" TargetMode="External"/><Relationship Id="rId40" Type="http://schemas.openxmlformats.org/officeDocument/2006/relationships/hyperlink" Target="https://en.wikipedia.org/wiki/List_of_moments_of_inertia" TargetMode="External"/><Relationship Id="rId45" Type="http://schemas.openxmlformats.org/officeDocument/2006/relationships/hyperlink" Target="https://eow.alc.co.jp/search?q=mimic" TargetMode="External"/><Relationship Id="rId66" Type="http://schemas.openxmlformats.org/officeDocument/2006/relationships/hyperlink" Target="https://zero2one.jp/ai-word/sim2real/?srsltid=AfmBOorqxs4cZpspvrC4mJ-EWEwPiyY1H4RD0gFvNWfAyhswQXJvynSB&amp;utm_source=chatgpt.com" TargetMode="External"/><Relationship Id="rId87" Type="http://schemas.openxmlformats.org/officeDocument/2006/relationships/hyperlink" Target="https://chatgpt.com/share/68773240-eedc-800b-85a5-27b36817b10f" TargetMode="External"/><Relationship Id="rId110" Type="http://schemas.openxmlformats.org/officeDocument/2006/relationships/hyperlink" Target="https://www.monotaro.com/s/c-27120/" TargetMode="External"/><Relationship Id="rId115" Type="http://schemas.openxmlformats.org/officeDocument/2006/relationships/hyperlink" Target="https://www.skygroup.jp/tech-blog/article/1113/" TargetMode="External"/><Relationship Id="rId131" Type="http://schemas.openxmlformats.org/officeDocument/2006/relationships/table" Target="../tables/table1.xml"/><Relationship Id="rId61" Type="http://schemas.openxmlformats.org/officeDocument/2006/relationships/hyperlink" Target="https://school.dhw.co.jp/word/cg/Unity_install.html" TargetMode="External"/><Relationship Id="rId82" Type="http://schemas.openxmlformats.org/officeDocument/2006/relationships/hyperlink" Target="https://www.youtube.com/watch?v=g7RS0oLRkQM" TargetMode="External"/><Relationship Id="rId19" Type="http://schemas.openxmlformats.org/officeDocument/2006/relationships/hyperlink" Target="https://www.math.kyoto-u.ac.jp/~kaji/papers/linkage.pdf" TargetMode="External"/><Relationship Id="rId14" Type="http://schemas.openxmlformats.org/officeDocument/2006/relationships/hyperlink" Target="https://connect.nissha.com/filmdevice/filmdevice_column/force_sensor_feature" TargetMode="External"/><Relationship Id="rId30" Type="http://schemas.openxmlformats.org/officeDocument/2006/relationships/hyperlink" Target="http://wiki.ros.org/ogre" TargetMode="External"/><Relationship Id="rId35" Type="http://schemas.openxmlformats.org/officeDocument/2006/relationships/hyperlink" Target="https://www.allisonthackston.com/articles/ignition-vs-gazebo" TargetMode="External"/><Relationship Id="rId56" Type="http://schemas.openxmlformats.org/officeDocument/2006/relationships/hyperlink" Target="https://amr-guide.com/amr/%E3%83%A2%E3%83%90%E3%82%A4%E3%83%AB%E3%83%9E%E3%83%8B%E3%83%94%E3%83%A5%E3%83%AC%E3%83%BC%E3%82%BF/" TargetMode="External"/><Relationship Id="rId77" Type="http://schemas.openxmlformats.org/officeDocument/2006/relationships/hyperlink" Target="https://nikougiken.jp/column/2109-cutting/" TargetMode="External"/><Relationship Id="rId100" Type="http://schemas.openxmlformats.org/officeDocument/2006/relationships/hyperlink" Target="https://www.aist.go.jp/aist_j/magazine/20231129.html" TargetMode="External"/><Relationship Id="rId105" Type="http://schemas.openxmlformats.org/officeDocument/2006/relationships/hyperlink" Target="https://www.keyence.co.jp/ss/products/controls/network/fieldnetwork/modbus.jsp" TargetMode="External"/><Relationship Id="rId126" Type="http://schemas.openxmlformats.org/officeDocument/2006/relationships/hyperlink" Target="https://ja.wikipedia.org/wiki/%E3%83%AD%E3%83%B3%E3%82%B0%E3%83%86%E3%83%BC%E3%83%AB" TargetMode="External"/><Relationship Id="rId8" Type="http://schemas.openxmlformats.org/officeDocument/2006/relationships/hyperlink" Target="https://kaworu.jpn.org/cpp/std::bind" TargetMode="External"/><Relationship Id="rId51" Type="http://schemas.openxmlformats.org/officeDocument/2006/relationships/hyperlink" Target="https://daiya.co.jp/product/collethand/collet-hand/" TargetMode="External"/><Relationship Id="rId72" Type="http://schemas.openxmlformats.org/officeDocument/2006/relationships/hyperlink" Target="https://chatgpt.com/share/68639316-ccbc-800b-aa2a-9c6f675c7a3e" TargetMode="External"/><Relationship Id="rId93" Type="http://schemas.openxmlformats.org/officeDocument/2006/relationships/hyperlink" Target="https://www.e-kusanagi.jp/blog/post-803.html" TargetMode="External"/><Relationship Id="rId98" Type="http://schemas.openxmlformats.org/officeDocument/2006/relationships/hyperlink" Target="https://ai.access-company.com/articles-11/" TargetMode="External"/><Relationship Id="rId121" Type="http://schemas.openxmlformats.org/officeDocument/2006/relationships/hyperlink" Target="https://www.keyence.co.jp/ss/products/vision/fa-robot/rv-example/machine-tools.jsp" TargetMode="External"/><Relationship Id="rId3" Type="http://schemas.openxmlformats.org/officeDocument/2006/relationships/hyperlink" Target="https://e-words.jp/w/%E3%83%91%E3%83%BC%E3%83%9F%E3%83%83%E3%82%B7%E3%83%96%E3%83%A9%E3%82%A4%E3%82%BB%E3%83%B3%E3%82%B9.html" TargetMode="External"/><Relationship Id="rId25" Type="http://schemas.openxmlformats.org/officeDocument/2006/relationships/hyperlink" Target="https://docs.ros.org/en/humble/Tutorials/Intermediate/URDF/Adding-Physical-and-Collision-Properties-to-a-URDF-Model.html" TargetMode="External"/><Relationship Id="rId46" Type="http://schemas.openxmlformats.org/officeDocument/2006/relationships/hyperlink" Target="https://github.com/ros-controls/gz_ros2_control/blob/humble/doc/index.rst" TargetMode="External"/><Relationship Id="rId67" Type="http://schemas.openxmlformats.org/officeDocument/2006/relationships/hyperlink" Target="https://chatgpt.com/share/683fafcc-08d0-800b-b018-9e4b0fd7c6f0" TargetMode="External"/><Relationship Id="rId116" Type="http://schemas.openxmlformats.org/officeDocument/2006/relationships/hyperlink" Target="https://vk.com/@robotforge-robotelezhka-po-shagam-chast-1-rukovodstvo-po-robotcad-pod" TargetMode="External"/><Relationship Id="rId20" Type="http://schemas.openxmlformats.org/officeDocument/2006/relationships/hyperlink" Target="https://yuqlid.sakura.ne.jp/dokuwiki/sdf" TargetMode="External"/><Relationship Id="rId41" Type="http://schemas.openxmlformats.org/officeDocument/2006/relationships/hyperlink" Target="https://www.sg.dendai.ac.jp/s1g-energy/contents/blog/inertia/inertia.html" TargetMode="External"/><Relationship Id="rId62" Type="http://schemas.openxmlformats.org/officeDocument/2006/relationships/hyperlink" Target="https://school.dhw.co.jp/word/cg/Unity_install.html" TargetMode="External"/><Relationship Id="rId83" Type="http://schemas.openxmlformats.org/officeDocument/2006/relationships/hyperlink" Target="https://chatgpt.com/share/68773233-5688-800b-8e9c-6eb96bdf7ff9" TargetMode="External"/><Relationship Id="rId88" Type="http://schemas.openxmlformats.org/officeDocument/2006/relationships/hyperlink" Target="https://chatgpt.com/share/68773541-f110-800b-9525-524e768291b8" TargetMode="External"/><Relationship Id="rId111" Type="http://schemas.openxmlformats.org/officeDocument/2006/relationships/hyperlink" Target="https://www.tiktok.com/@mono.que/video/7494174209858407687" TargetMode="External"/><Relationship Id="rId15" Type="http://schemas.openxmlformats.org/officeDocument/2006/relationships/hyperlink" Target="https://note.com/rodz/n/n16260f158973" TargetMode="External"/><Relationship Id="rId36" Type="http://schemas.openxmlformats.org/officeDocument/2006/relationships/hyperlink" Target="https://fusiontechnology.co.jp/column/211220-2/" TargetMode="External"/><Relationship Id="rId57" Type="http://schemas.openxmlformats.org/officeDocument/2006/relationships/hyperlink" Target="https://www.keyence.co.jp/ss/general/iot-glossary/agv.jsp" TargetMode="External"/><Relationship Id="rId106" Type="http://schemas.openxmlformats.org/officeDocument/2006/relationships/hyperlink" Target="https://liskul.com/modality-168534" TargetMode="External"/><Relationship Id="rId127" Type="http://schemas.openxmlformats.org/officeDocument/2006/relationships/hyperlink" Target="https://www.google.com/search?q=%E3%83%AA%E3%83%BC%E3%82%AF%E6%A4%9C%E6%9F%BB&amp;oq=%E3%83%AA%E3%83%BC%E3%82%AF%E6%A4%9C%E6%9F%BB&amp;gs_lcrp=EgRlZGdlKgcIABBFGIAEMgcIABBFGIAEMgcIARAAGIAEMgcIAhAAGIAEMgcIAxAAGIAEMgcIBBAAGIAEMgcIBRAAGIAEMgcIBhAAGIAEMgcIBxAAGIAE0gEIMTA3MWowajSoAgCwAgE&amp;sourceid=chrome&amp;ie=UTF-8" TargetMode="External"/><Relationship Id="rId10" Type="http://schemas.openxmlformats.org/officeDocument/2006/relationships/hyperlink" Target="https://www.cppstories.com/2016/11/iife-for-complex-initialization/" TargetMode="External"/><Relationship Id="rId31" Type="http://schemas.openxmlformats.org/officeDocument/2006/relationships/hyperlink" Target="https://www.allisonthackston.com/articles/ignition-vs-gazebo" TargetMode="External"/><Relationship Id="rId52" Type="http://schemas.openxmlformats.org/officeDocument/2006/relationships/hyperlink" Target="https://daiya.co.jp/product/collethand/collet-hand/" TargetMode="External"/><Relationship Id="rId73" Type="http://schemas.openxmlformats.org/officeDocument/2006/relationships/hyperlink" Target="https://docs.aws.amazon.com/robomaker/latest/dg/migrating-ros.html?utm_source=chatgpt.com" TargetMode="External"/><Relationship Id="rId78" Type="http://schemas.openxmlformats.org/officeDocument/2006/relationships/hyperlink" Target="https://nikougiken.jp/column/2109-cutting/" TargetMode="External"/><Relationship Id="rId94" Type="http://schemas.openxmlformats.org/officeDocument/2006/relationships/hyperlink" Target="https://www.e-kusanagi.jp/blog/post-803.html" TargetMode="External"/><Relationship Id="rId99" Type="http://schemas.openxmlformats.org/officeDocument/2006/relationships/hyperlink" Target="https://www.keyence.co.jp/ss/general/manufacture-tips/short-stop.jsp" TargetMode="External"/><Relationship Id="rId101" Type="http://schemas.openxmlformats.org/officeDocument/2006/relationships/hyperlink" Target="https://marycore.jp/coding/dangling-pointer/" TargetMode="External"/><Relationship Id="rId122" Type="http://schemas.openxmlformats.org/officeDocument/2006/relationships/hyperlink" Target="https://evort.jp/article/cnc" TargetMode="External"/><Relationship Id="rId4" Type="http://schemas.openxmlformats.org/officeDocument/2006/relationships/hyperlink" Target="https://app.box.com/file/1293500277303" TargetMode="External"/><Relationship Id="rId9" Type="http://schemas.openxmlformats.org/officeDocument/2006/relationships/hyperlink" Target="https://app.box.com/file/1293500277303" TargetMode="External"/><Relationship Id="rId26" Type="http://schemas.openxmlformats.org/officeDocument/2006/relationships/hyperlink" Target="https://docs.ros.org/en/humble/Tutorials/Intermediate/URDF/Adding-Physical-and-Collision-Properties-to-a-URDF-Mode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3BF5-60E3-4BA7-9926-348F1A94BDB9}">
  <sheetPr codeName="Sheet4">
    <tabColor theme="8" tint="0.79998168889431442"/>
  </sheetPr>
  <dimension ref="A1:AH501"/>
  <sheetViews>
    <sheetView showGridLines="0" tabSelected="1" zoomScale="115" zoomScaleNormal="115" workbookViewId="0">
      <pane ySplit="1" topLeftCell="A47" activePane="bottomLeft" state="frozen"/>
      <selection activeCell="N21" sqref="N21"/>
      <selection pane="bottomLeft" activeCell="D100" sqref="D100"/>
    </sheetView>
  </sheetViews>
  <sheetFormatPr defaultColWidth="0" defaultRowHeight="11.25" x14ac:dyDescent="0.15"/>
  <cols>
    <col min="1" max="1" width="4.83203125" style="12" customWidth="1"/>
    <col min="2" max="2" width="3.5" style="13" customWidth="1"/>
    <col min="3" max="3" width="3.83203125" style="13" customWidth="1"/>
    <col min="4" max="4" width="32" style="13" customWidth="1"/>
    <col min="5" max="5" width="44.83203125" style="12" customWidth="1"/>
    <col min="6" max="6" width="113" style="12" customWidth="1"/>
    <col min="7" max="8" width="30" style="12" customWidth="1"/>
    <col min="9" max="14" width="3.83203125" style="12" customWidth="1"/>
    <col min="15" max="18" width="9.33203125" style="12" hidden="1" customWidth="1"/>
    <col min="19" max="20" width="8.5" style="13" hidden="1" customWidth="1"/>
    <col min="21" max="21" width="8.5" style="12" hidden="1" customWidth="1"/>
    <col min="22" max="23" width="9.1640625" style="12" hidden="1" customWidth="1"/>
    <col min="24" max="24" width="8" style="12" hidden="1" customWidth="1"/>
    <col min="25" max="27" width="9.33203125" style="12" hidden="1" customWidth="1"/>
    <col min="28" max="30" width="8.5" style="12" hidden="1" customWidth="1"/>
    <col min="31" max="32" width="9.1640625" style="12" hidden="1" customWidth="1"/>
    <col min="33" max="34" width="8" style="12" hidden="1" customWidth="1"/>
    <col min="35" max="16384" width="9.33203125" style="12" hidden="1"/>
  </cols>
  <sheetData>
    <row r="1" spans="1:14" s="2" customFormat="1" ht="101.25" x14ac:dyDescent="0.1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ht="22.5" x14ac:dyDescent="0.15">
      <c r="A2" s="3">
        <v>1</v>
      </c>
      <c r="B2" s="4" t="str">
        <f>IF(COUNTIF(用語集[キーワード],用語集[[#This Row],[キーワード]])&gt;1,"!","")</f>
        <v/>
      </c>
      <c r="C2" s="4" t="str">
        <f>IF(用語集[[#This Row],[キーワード]]="","",IF(OR(用語集[[#This Row],[説明]]="",NOT(ISERROR(FIND("★",用語集[[#This Row],[説明]])))),"★","☆"))</f>
        <v>☆</v>
      </c>
      <c r="D2" s="5" t="s">
        <v>14</v>
      </c>
      <c r="E2" s="3"/>
      <c r="F2" s="3" t="s">
        <v>15</v>
      </c>
      <c r="G2" s="4"/>
      <c r="H2" s="4"/>
      <c r="I2" s="6" t="s">
        <v>16</v>
      </c>
      <c r="J2" s="6" t="s">
        <v>17</v>
      </c>
      <c r="K2" s="7" t="s">
        <v>18</v>
      </c>
      <c r="L2" s="7" t="s">
        <v>18</v>
      </c>
      <c r="M2" s="7" t="s">
        <v>18</v>
      </c>
      <c r="N2" s="7" t="s">
        <v>18</v>
      </c>
    </row>
    <row r="3" spans="1:14" s="2" customFormat="1" ht="22.5" x14ac:dyDescent="0.15">
      <c r="A3" s="3">
        <v>2</v>
      </c>
      <c r="B3" s="4" t="str">
        <f>IF(COUNTIF(用語集[キーワード],用語集[[#This Row],[キーワード]])&gt;1,"!","")</f>
        <v/>
      </c>
      <c r="C3" s="4" t="str">
        <f>IF(用語集[[#This Row],[キーワード]]="","",IF(OR(用語集[[#This Row],[説明]]="",NOT(ISERROR(FIND("★",用語集[[#This Row],[説明]])))),"★","☆"))</f>
        <v>☆</v>
      </c>
      <c r="D3" s="5" t="s">
        <v>19</v>
      </c>
      <c r="E3" s="3"/>
      <c r="F3" s="3" t="s">
        <v>20</v>
      </c>
      <c r="G3" s="4"/>
      <c r="H3" s="4"/>
      <c r="I3" s="6" t="s">
        <v>16</v>
      </c>
      <c r="J3" s="6" t="s">
        <v>21</v>
      </c>
      <c r="K3" s="7" t="s">
        <v>18</v>
      </c>
      <c r="L3" s="7" t="s">
        <v>18</v>
      </c>
      <c r="M3" s="7" t="s">
        <v>18</v>
      </c>
      <c r="N3" s="7" t="s">
        <v>18</v>
      </c>
    </row>
    <row r="4" spans="1:14" s="2" customFormat="1" x14ac:dyDescent="0.15">
      <c r="A4" s="3">
        <v>3</v>
      </c>
      <c r="B4" s="4" t="str">
        <f>IF(COUNTIF(用語集[キーワード],用語集[[#This Row],[キーワード]])&gt;1,"!","")</f>
        <v/>
      </c>
      <c r="C4" s="4" t="str">
        <f>IF(用語集[[#This Row],[キーワード]]="","",IF(OR(用語集[[#This Row],[説明]]="",NOT(ISERROR(FIND("★",用語集[[#This Row],[説明]])))),"★","☆"))</f>
        <v>☆</v>
      </c>
      <c r="D4" s="5" t="s">
        <v>22</v>
      </c>
      <c r="E4" s="3"/>
      <c r="F4" s="3" t="s">
        <v>23</v>
      </c>
      <c r="G4" s="4"/>
      <c r="H4" s="4"/>
      <c r="I4" s="6" t="s">
        <v>16</v>
      </c>
      <c r="J4" s="6" t="s">
        <v>24</v>
      </c>
      <c r="K4" s="7" t="s">
        <v>18</v>
      </c>
      <c r="L4" s="7" t="s">
        <v>18</v>
      </c>
      <c r="M4" s="7" t="s">
        <v>18</v>
      </c>
      <c r="N4" s="7" t="s">
        <v>18</v>
      </c>
    </row>
    <row r="5" spans="1:14" s="2" customFormat="1" ht="22.5" x14ac:dyDescent="0.15">
      <c r="A5" s="3">
        <v>4</v>
      </c>
      <c r="B5" s="4" t="str">
        <f>IF(COUNTIF(用語集[キーワード],用語集[[#This Row],[キーワード]])&gt;1,"!","")</f>
        <v/>
      </c>
      <c r="C5" s="4" t="str">
        <f>IF(用語集[[#This Row],[キーワード]]="","",IF(OR(用語集[[#This Row],[説明]]="",NOT(ISERROR(FIND("★",用語集[[#This Row],[説明]])))),"★","☆"))</f>
        <v>☆</v>
      </c>
      <c r="D5" s="5" t="s">
        <v>25</v>
      </c>
      <c r="E5" s="3"/>
      <c r="F5" s="3" t="s">
        <v>26</v>
      </c>
      <c r="G5" s="4"/>
      <c r="H5" s="4"/>
      <c r="I5" s="6" t="s">
        <v>16</v>
      </c>
      <c r="J5" s="7" t="s">
        <v>27</v>
      </c>
      <c r="K5" s="7" t="s">
        <v>28</v>
      </c>
      <c r="L5" s="7" t="s">
        <v>18</v>
      </c>
      <c r="M5" s="7" t="s">
        <v>18</v>
      </c>
      <c r="N5" s="7" t="s">
        <v>18</v>
      </c>
    </row>
    <row r="6" spans="1:14" s="2" customFormat="1" x14ac:dyDescent="0.15">
      <c r="A6" s="3">
        <v>5</v>
      </c>
      <c r="B6" s="4" t="str">
        <f>IF(COUNTIF(用語集[キーワード],用語集[[#This Row],[キーワード]])&gt;1,"!","")</f>
        <v/>
      </c>
      <c r="C6" s="4" t="str">
        <f>IF(用語集[[#This Row],[キーワード]]="","",IF(OR(用語集[[#This Row],[説明]]="",NOT(ISERROR(FIND("★",用語集[[#This Row],[説明]])))),"★","☆"))</f>
        <v>☆</v>
      </c>
      <c r="D6" s="5" t="s">
        <v>29</v>
      </c>
      <c r="E6" s="3"/>
      <c r="F6" s="3" t="s">
        <v>30</v>
      </c>
      <c r="G6" s="4"/>
      <c r="H6" s="4"/>
      <c r="I6" s="6" t="s">
        <v>16</v>
      </c>
      <c r="J6" s="6" t="s">
        <v>31</v>
      </c>
      <c r="K6" s="7" t="s">
        <v>18</v>
      </c>
      <c r="L6" s="7" t="s">
        <v>18</v>
      </c>
      <c r="M6" s="7" t="s">
        <v>18</v>
      </c>
      <c r="N6" s="7" t="s">
        <v>18</v>
      </c>
    </row>
    <row r="7" spans="1:14" s="2" customFormat="1" x14ac:dyDescent="0.15">
      <c r="A7" s="3">
        <v>6</v>
      </c>
      <c r="B7" s="4" t="str">
        <f>IF(COUNTIF(用語集[キーワード],用語集[[#This Row],[キーワード]])&gt;1,"!","")</f>
        <v/>
      </c>
      <c r="C7" s="4" t="str">
        <f>IF(用語集[[#This Row],[キーワード]]="","",IF(OR(用語集[[#This Row],[説明]]="",NOT(ISERROR(FIND("★",用語集[[#This Row],[説明]])))),"★","☆"))</f>
        <v>☆</v>
      </c>
      <c r="D7" s="5" t="s">
        <v>32</v>
      </c>
      <c r="E7" s="3" t="s">
        <v>33</v>
      </c>
      <c r="F7" s="3" t="s">
        <v>34</v>
      </c>
      <c r="G7" s="4"/>
      <c r="H7" s="4"/>
      <c r="I7" s="6" t="s">
        <v>16</v>
      </c>
      <c r="J7" s="6" t="s">
        <v>35</v>
      </c>
      <c r="K7" s="6" t="s">
        <v>36</v>
      </c>
      <c r="L7" s="7" t="s">
        <v>18</v>
      </c>
      <c r="M7" s="7" t="s">
        <v>18</v>
      </c>
      <c r="N7" s="7" t="s">
        <v>18</v>
      </c>
    </row>
    <row r="8" spans="1:14" s="2" customFormat="1" x14ac:dyDescent="0.15">
      <c r="A8" s="3">
        <v>7</v>
      </c>
      <c r="B8" s="4" t="str">
        <f>IF(COUNTIF(用語集[キーワード],用語集[[#This Row],[キーワード]])&gt;1,"!","")</f>
        <v/>
      </c>
      <c r="C8" s="4" t="str">
        <f>IF(用語集[[#This Row],[キーワード]]="","",IF(OR(用語集[[#This Row],[説明]]="",NOT(ISERROR(FIND("★",用語集[[#This Row],[説明]])))),"★","☆"))</f>
        <v>☆</v>
      </c>
      <c r="D8" s="5" t="s">
        <v>37</v>
      </c>
      <c r="E8" s="3"/>
      <c r="F8" s="3" t="s">
        <v>38</v>
      </c>
      <c r="G8" s="4"/>
      <c r="H8" s="4"/>
      <c r="I8" s="7" t="s">
        <v>39</v>
      </c>
      <c r="J8" s="6" t="s">
        <v>40</v>
      </c>
      <c r="K8" s="7" t="s">
        <v>18</v>
      </c>
      <c r="L8" s="7" t="s">
        <v>18</v>
      </c>
      <c r="M8" s="7" t="s">
        <v>18</v>
      </c>
      <c r="N8" s="7" t="s">
        <v>18</v>
      </c>
    </row>
    <row r="9" spans="1:14" s="2" customFormat="1" x14ac:dyDescent="0.15">
      <c r="A9" s="3">
        <v>8</v>
      </c>
      <c r="B9" s="4" t="str">
        <f>IF(COUNTIF(用語集[キーワード],用語集[[#This Row],[キーワード]])&gt;1,"!","")</f>
        <v/>
      </c>
      <c r="C9" s="4" t="str">
        <f>IF(用語集[[#This Row],[キーワード]]="","",IF(OR(用語集[[#This Row],[説明]]="",NOT(ISERROR(FIND("★",用語集[[#This Row],[説明]])))),"★","☆"))</f>
        <v>☆</v>
      </c>
      <c r="D9" s="5" t="s">
        <v>41</v>
      </c>
      <c r="E9" s="3"/>
      <c r="F9" s="8" t="s">
        <v>42</v>
      </c>
      <c r="G9" s="9"/>
      <c r="H9" s="4"/>
      <c r="I9" s="7" t="s">
        <v>27</v>
      </c>
      <c r="J9" s="6" t="s">
        <v>43</v>
      </c>
      <c r="K9" s="7" t="s">
        <v>18</v>
      </c>
      <c r="L9" s="7" t="s">
        <v>18</v>
      </c>
      <c r="M9" s="7" t="s">
        <v>18</v>
      </c>
      <c r="N9" s="7" t="s">
        <v>18</v>
      </c>
    </row>
    <row r="10" spans="1:14" s="2" customFormat="1" ht="146.25" x14ac:dyDescent="0.15">
      <c r="A10" s="3">
        <v>9</v>
      </c>
      <c r="B10" s="4" t="str">
        <f>IF(COUNTIF(用語集[キーワード],用語集[[#This Row],[キーワード]])&gt;1,"!","")</f>
        <v/>
      </c>
      <c r="C10" s="4" t="str">
        <f>IF(用語集[[#This Row],[キーワード]]="","",IF(OR(用語集[[#This Row],[説明]]="",NOT(ISERROR(FIND("★",用語集[[#This Row],[説明]])))),"★","☆"))</f>
        <v>☆</v>
      </c>
      <c r="D10" s="5" t="s">
        <v>44</v>
      </c>
      <c r="E10" s="3" t="s">
        <v>45</v>
      </c>
      <c r="F10" s="3" t="s">
        <v>46</v>
      </c>
      <c r="G10" s="4"/>
      <c r="H10" s="4"/>
      <c r="I10" s="7" t="s">
        <v>18</v>
      </c>
      <c r="J10" s="6" t="s">
        <v>47</v>
      </c>
      <c r="K10" s="6" t="s">
        <v>48</v>
      </c>
      <c r="L10" s="6" t="s">
        <v>49</v>
      </c>
      <c r="M10" s="7" t="s">
        <v>18</v>
      </c>
      <c r="N10" s="7" t="s">
        <v>18</v>
      </c>
    </row>
    <row r="11" spans="1:14" s="2" customFormat="1" ht="45" x14ac:dyDescent="0.15">
      <c r="A11" s="3">
        <v>10</v>
      </c>
      <c r="B11" s="4" t="str">
        <f>IF(COUNTIF(用語集[キーワード],用語集[[#This Row],[キーワード]])&gt;1,"!","")</f>
        <v/>
      </c>
      <c r="C11" s="4" t="str">
        <f>IF(用語集[[#This Row],[キーワード]]="","",IF(OR(用語集[[#This Row],[説明]]="",NOT(ISERROR(FIND("★",用語集[[#This Row],[説明]])))),"★","☆"))</f>
        <v>☆</v>
      </c>
      <c r="D11" s="5" t="s">
        <v>50</v>
      </c>
      <c r="E11" s="3" t="s">
        <v>51</v>
      </c>
      <c r="F11" s="3" t="s">
        <v>52</v>
      </c>
      <c r="G11" s="4"/>
      <c r="H11" s="4"/>
      <c r="I11" s="7" t="s">
        <v>18</v>
      </c>
      <c r="J11" s="6" t="s">
        <v>47</v>
      </c>
      <c r="K11" s="7" t="s">
        <v>18</v>
      </c>
      <c r="L11" s="7" t="s">
        <v>18</v>
      </c>
      <c r="M11" s="7" t="s">
        <v>18</v>
      </c>
      <c r="N11" s="7" t="s">
        <v>18</v>
      </c>
    </row>
    <row r="12" spans="1:14" s="2" customFormat="1" x14ac:dyDescent="0.15">
      <c r="A12" s="3">
        <v>11</v>
      </c>
      <c r="B12" s="4" t="str">
        <f>IF(COUNTIF(用語集[キーワード],用語集[[#This Row],[キーワード]])&gt;1,"!","")</f>
        <v/>
      </c>
      <c r="C12" s="4" t="str">
        <f>IF(用語集[[#This Row],[キーワード]]="","",IF(OR(用語集[[#This Row],[説明]]="",NOT(ISERROR(FIND("★",用語集[[#This Row],[説明]])))),"★","☆"))</f>
        <v>☆</v>
      </c>
      <c r="D12" s="5" t="s">
        <v>53</v>
      </c>
      <c r="E12" s="3"/>
      <c r="F12" s="3" t="s">
        <v>54</v>
      </c>
      <c r="G12" s="4"/>
      <c r="H12" s="4" t="s">
        <v>55</v>
      </c>
      <c r="I12" s="7" t="s">
        <v>18</v>
      </c>
      <c r="J12" s="6" t="s">
        <v>56</v>
      </c>
      <c r="K12" s="7" t="s">
        <v>18</v>
      </c>
      <c r="L12" s="7" t="s">
        <v>18</v>
      </c>
      <c r="M12" s="7" t="s">
        <v>18</v>
      </c>
      <c r="N12" s="7" t="s">
        <v>18</v>
      </c>
    </row>
    <row r="13" spans="1:14" s="2" customFormat="1" x14ac:dyDescent="0.15">
      <c r="A13" s="3">
        <v>12</v>
      </c>
      <c r="B13" s="4" t="str">
        <f>IF(COUNTIF(用語集[キーワード],用語集[[#This Row],[キーワード]])&gt;1,"!","")</f>
        <v/>
      </c>
      <c r="C13" s="4" t="str">
        <f>IF(用語集[[#This Row],[キーワード]]="","",IF(OR(用語集[[#This Row],[説明]]="",NOT(ISERROR(FIND("★",用語集[[#This Row],[説明]])))),"★","☆"))</f>
        <v>☆</v>
      </c>
      <c r="D13" s="5" t="s">
        <v>57</v>
      </c>
      <c r="E13" s="3"/>
      <c r="F13" s="3" t="s">
        <v>58</v>
      </c>
      <c r="G13" s="4"/>
      <c r="H13" s="4"/>
      <c r="I13" s="6" t="s">
        <v>49</v>
      </c>
      <c r="J13" s="6" t="s">
        <v>59</v>
      </c>
      <c r="K13" s="7" t="s">
        <v>18</v>
      </c>
      <c r="L13" s="7" t="s">
        <v>18</v>
      </c>
      <c r="M13" s="7" t="s">
        <v>18</v>
      </c>
      <c r="N13" s="7" t="s">
        <v>18</v>
      </c>
    </row>
    <row r="14" spans="1:14" s="2" customFormat="1" ht="22.5" x14ac:dyDescent="0.15">
      <c r="A14" s="3">
        <v>13</v>
      </c>
      <c r="B14" s="4" t="str">
        <f>IF(COUNTIF(用語集[キーワード],用語集[[#This Row],[キーワード]])&gt;1,"!","")</f>
        <v/>
      </c>
      <c r="C14" s="4" t="str">
        <f>IF(用語集[[#This Row],[キーワード]]="","",IF(OR(用語集[[#This Row],[説明]]="",NOT(ISERROR(FIND("★",用語集[[#This Row],[説明]])))),"★","☆"))</f>
        <v>☆</v>
      </c>
      <c r="D14" s="5" t="s">
        <v>60</v>
      </c>
      <c r="E14" s="3"/>
      <c r="F14" s="3" t="s">
        <v>61</v>
      </c>
      <c r="G14" s="4"/>
      <c r="H14" s="4"/>
      <c r="I14" s="7" t="s">
        <v>18</v>
      </c>
      <c r="J14" s="6" t="s">
        <v>62</v>
      </c>
      <c r="K14" s="7" t="s">
        <v>18</v>
      </c>
      <c r="L14" s="7" t="s">
        <v>18</v>
      </c>
      <c r="M14" s="7" t="s">
        <v>18</v>
      </c>
      <c r="N14" s="7" t="s">
        <v>18</v>
      </c>
    </row>
    <row r="15" spans="1:14" s="2" customFormat="1" x14ac:dyDescent="0.15">
      <c r="A15" s="3">
        <v>14</v>
      </c>
      <c r="B15" s="4" t="str">
        <f>IF(COUNTIF(用語集[キーワード],用語集[[#This Row],[キーワード]])&gt;1,"!","")</f>
        <v/>
      </c>
      <c r="C15" s="4" t="str">
        <f>IF(用語集[[#This Row],[キーワード]]="","",IF(OR(用語集[[#This Row],[説明]]="",NOT(ISERROR(FIND("★",用語集[[#This Row],[説明]])))),"★","☆"))</f>
        <v>☆</v>
      </c>
      <c r="D15" s="5" t="s">
        <v>63</v>
      </c>
      <c r="E15" s="3"/>
      <c r="F15" s="3" t="s">
        <v>64</v>
      </c>
      <c r="G15" s="4"/>
      <c r="H15" s="4"/>
      <c r="I15" s="7" t="s">
        <v>65</v>
      </c>
      <c r="J15" s="6" t="s">
        <v>66</v>
      </c>
      <c r="K15" s="6" t="s">
        <v>67</v>
      </c>
      <c r="L15" s="7" t="s">
        <v>18</v>
      </c>
      <c r="M15" s="7" t="s">
        <v>18</v>
      </c>
      <c r="N15" s="7" t="s">
        <v>18</v>
      </c>
    </row>
    <row r="16" spans="1:14" s="2" customFormat="1" x14ac:dyDescent="0.15">
      <c r="A16" s="3">
        <v>15</v>
      </c>
      <c r="B16" s="4" t="str">
        <f>IF(COUNTIF(用語集[キーワード],用語集[[#This Row],[キーワード]])&gt;1,"!","")</f>
        <v/>
      </c>
      <c r="C16" s="4" t="str">
        <f>IF(用語集[[#This Row],[キーワード]]="","",IF(OR(用語集[[#This Row],[説明]]="",NOT(ISERROR(FIND("★",用語集[[#This Row],[説明]])))),"★","☆"))</f>
        <v>☆</v>
      </c>
      <c r="D16" s="5" t="s">
        <v>68</v>
      </c>
      <c r="E16" s="3"/>
      <c r="F16" s="10" t="s">
        <v>69</v>
      </c>
      <c r="G16" s="11"/>
      <c r="H16" s="4"/>
      <c r="I16" s="7" t="s">
        <v>18</v>
      </c>
      <c r="J16" s="6" t="s">
        <v>70</v>
      </c>
      <c r="K16" s="7" t="s">
        <v>18</v>
      </c>
      <c r="L16" s="7" t="s">
        <v>18</v>
      </c>
      <c r="M16" s="7" t="s">
        <v>18</v>
      </c>
      <c r="N16" s="7" t="s">
        <v>18</v>
      </c>
    </row>
    <row r="17" spans="1:14" s="2" customFormat="1" x14ac:dyDescent="0.15">
      <c r="A17" s="3">
        <v>16</v>
      </c>
      <c r="B17" s="4" t="str">
        <f>IF(COUNTIF(用語集[キーワード],用語集[[#This Row],[キーワード]])&gt;1,"!","")</f>
        <v/>
      </c>
      <c r="C17" s="4" t="str">
        <f>IF(用語集[[#This Row],[キーワード]]="","",IF(OR(用語集[[#This Row],[説明]]="",NOT(ISERROR(FIND("★",用語集[[#This Row],[説明]])))),"★","☆"))</f>
        <v>★</v>
      </c>
      <c r="D17" s="5" t="s">
        <v>71</v>
      </c>
      <c r="E17" s="3"/>
      <c r="F17" s="10"/>
      <c r="G17" s="11"/>
      <c r="H17" s="4"/>
      <c r="I17" s="6" t="s">
        <v>72</v>
      </c>
      <c r="J17" s="7" t="s">
        <v>18</v>
      </c>
      <c r="K17" s="7" t="s">
        <v>18</v>
      </c>
      <c r="L17" s="7" t="s">
        <v>18</v>
      </c>
      <c r="M17" s="7" t="s">
        <v>18</v>
      </c>
      <c r="N17" s="7" t="s">
        <v>18</v>
      </c>
    </row>
    <row r="18" spans="1:14" s="2" customFormat="1" x14ac:dyDescent="0.15">
      <c r="A18" s="3">
        <v>17</v>
      </c>
      <c r="B18" s="4" t="str">
        <f>IF(COUNTIF(用語集[キーワード],用語集[[#This Row],[キーワード]])&gt;1,"!","")</f>
        <v/>
      </c>
      <c r="C18" s="4" t="str">
        <f>IF(用語集[[#This Row],[キーワード]]="","",IF(OR(用語集[[#This Row],[説明]]="",NOT(ISERROR(FIND("★",用語集[[#This Row],[説明]])))),"★","☆"))</f>
        <v>★</v>
      </c>
      <c r="D18" s="5" t="s">
        <v>73</v>
      </c>
      <c r="E18" s="3"/>
      <c r="F18" s="10"/>
      <c r="G18" s="11"/>
      <c r="H18" s="4"/>
      <c r="I18" s="6" t="s">
        <v>72</v>
      </c>
      <c r="J18" s="7" t="s">
        <v>18</v>
      </c>
      <c r="K18" s="7" t="s">
        <v>18</v>
      </c>
      <c r="L18" s="7" t="s">
        <v>18</v>
      </c>
      <c r="M18" s="7" t="s">
        <v>18</v>
      </c>
      <c r="N18" s="7" t="s">
        <v>18</v>
      </c>
    </row>
    <row r="19" spans="1:14" s="2" customFormat="1" ht="56.25" x14ac:dyDescent="0.15">
      <c r="A19" s="3">
        <v>19</v>
      </c>
      <c r="B19" s="4" t="str">
        <f>IF(COUNTIF(用語集[キーワード],用語集[[#This Row],[キーワード]])&gt;1,"!","")</f>
        <v/>
      </c>
      <c r="C19" s="4" t="str">
        <f>IF(用語集[[#This Row],[キーワード]]="","",IF(OR(用語集[[#This Row],[説明]]="",NOT(ISERROR(FIND("★",用語集[[#This Row],[説明]])))),"★","☆"))</f>
        <v>☆</v>
      </c>
      <c r="D19" s="5" t="s">
        <v>74</v>
      </c>
      <c r="E19" s="3" t="s">
        <v>75</v>
      </c>
      <c r="F19" s="3" t="s">
        <v>76</v>
      </c>
      <c r="G19" s="4"/>
      <c r="H19" s="4"/>
      <c r="I19" s="7" t="s">
        <v>28</v>
      </c>
      <c r="J19" s="7" t="s">
        <v>28</v>
      </c>
      <c r="K19" s="6" t="s">
        <v>77</v>
      </c>
      <c r="L19" s="6" t="s">
        <v>78</v>
      </c>
      <c r="M19" s="7" t="s">
        <v>18</v>
      </c>
      <c r="N19" s="7" t="s">
        <v>18</v>
      </c>
    </row>
    <row r="20" spans="1:14" s="2" customFormat="1" ht="112.5" x14ac:dyDescent="0.15">
      <c r="A20" s="3">
        <v>18</v>
      </c>
      <c r="B20" s="4" t="str">
        <f>IF(COUNTIF(用語集[キーワード],用語集[[#This Row],[キーワード]])&gt;1,"!","")</f>
        <v/>
      </c>
      <c r="C20" s="4" t="str">
        <f>IF(用語集[[#This Row],[キーワード]]="","",IF(OR(用語集[[#This Row],[説明]]="",NOT(ISERROR(FIND("★",用語集[[#This Row],[説明]])))),"★","☆"))</f>
        <v>☆</v>
      </c>
      <c r="D20" s="5" t="s">
        <v>79</v>
      </c>
      <c r="E20" s="3" t="s">
        <v>80</v>
      </c>
      <c r="F20" s="3" t="s">
        <v>81</v>
      </c>
      <c r="G20" s="4"/>
      <c r="H20" s="4"/>
      <c r="I20" s="7" t="s">
        <v>28</v>
      </c>
      <c r="J20" s="7" t="s">
        <v>28</v>
      </c>
      <c r="K20" s="6" t="s">
        <v>82</v>
      </c>
      <c r="L20" s="6" t="s">
        <v>77</v>
      </c>
      <c r="M20" s="6" t="s">
        <v>83</v>
      </c>
      <c r="N20" s="7" t="s">
        <v>18</v>
      </c>
    </row>
    <row r="21" spans="1:14" s="2" customFormat="1" ht="33.75" x14ac:dyDescent="0.15">
      <c r="A21" s="3">
        <v>40</v>
      </c>
      <c r="B21" s="4" t="str">
        <f>IF(COUNTIF(用語集[キーワード],用語集[[#This Row],[キーワード]])&gt;1,"!","")</f>
        <v/>
      </c>
      <c r="C21" s="4" t="str">
        <f>IF(用語集[[#This Row],[キーワード]]="","",IF(OR(用語集[[#This Row],[説明]]="",NOT(ISERROR(FIND("★",用語集[[#This Row],[説明]])))),"★","☆"))</f>
        <v>☆</v>
      </c>
      <c r="D21" s="5" t="s">
        <v>84</v>
      </c>
      <c r="E21" s="3" t="s">
        <v>85</v>
      </c>
      <c r="F21" s="3" t="s">
        <v>86</v>
      </c>
      <c r="G21" s="4"/>
      <c r="H21" s="4"/>
      <c r="I21" s="7" t="s">
        <v>18</v>
      </c>
      <c r="J21" s="6" t="s">
        <v>87</v>
      </c>
      <c r="K21" s="6" t="s">
        <v>88</v>
      </c>
      <c r="L21" s="7" t="s">
        <v>18</v>
      </c>
      <c r="M21" s="7" t="s">
        <v>18</v>
      </c>
      <c r="N21" s="7" t="s">
        <v>18</v>
      </c>
    </row>
    <row r="22" spans="1:14" s="2" customFormat="1" ht="33.75" x14ac:dyDescent="0.15">
      <c r="A22" s="3">
        <v>39</v>
      </c>
      <c r="B22" s="4" t="str">
        <f>IF(COUNTIF(用語集[キーワード],用語集[[#This Row],[キーワード]])&gt;1,"!","")</f>
        <v/>
      </c>
      <c r="C22" s="4" t="str">
        <f>IF(用語集[[#This Row],[キーワード]]="","",IF(OR(用語集[[#This Row],[説明]]="",NOT(ISERROR(FIND("★",用語集[[#This Row],[説明]])))),"★","☆"))</f>
        <v>☆</v>
      </c>
      <c r="D22" s="5" t="s">
        <v>89</v>
      </c>
      <c r="E22" s="3"/>
      <c r="F22" s="3" t="s">
        <v>90</v>
      </c>
      <c r="G22" s="4"/>
      <c r="H22" s="4"/>
      <c r="I22" s="7" t="s">
        <v>91</v>
      </c>
      <c r="J22" s="6" t="s">
        <v>92</v>
      </c>
      <c r="K22" s="7" t="s">
        <v>18</v>
      </c>
      <c r="L22" s="7" t="s">
        <v>18</v>
      </c>
      <c r="M22" s="7" t="s">
        <v>18</v>
      </c>
      <c r="N22" s="7" t="s">
        <v>18</v>
      </c>
    </row>
    <row r="23" spans="1:14" s="2" customFormat="1" ht="22.5" x14ac:dyDescent="0.15">
      <c r="A23" s="3">
        <v>20</v>
      </c>
      <c r="B23" s="4" t="str">
        <f>IF(COUNTIF(用語集[キーワード],用語集[[#This Row],[キーワード]])&gt;1,"!","")</f>
        <v/>
      </c>
      <c r="C23" s="4" t="str">
        <f>IF(用語集[[#This Row],[キーワード]]="","",IF(OR(用語集[[#This Row],[説明]]="",NOT(ISERROR(FIND("★",用語集[[#This Row],[説明]])))),"★","☆"))</f>
        <v>☆</v>
      </c>
      <c r="D23" s="5" t="s">
        <v>93</v>
      </c>
      <c r="E23" s="3" t="s">
        <v>94</v>
      </c>
      <c r="F23" s="3" t="s">
        <v>95</v>
      </c>
      <c r="G23" s="4" t="s">
        <v>96</v>
      </c>
      <c r="H23" s="4"/>
      <c r="I23" s="6" t="s">
        <v>97</v>
      </c>
      <c r="J23" s="6" t="s">
        <v>98</v>
      </c>
      <c r="K23" s="7" t="s">
        <v>18</v>
      </c>
      <c r="L23" s="7" t="s">
        <v>18</v>
      </c>
      <c r="M23" s="7" t="s">
        <v>18</v>
      </c>
      <c r="N23" s="7" t="s">
        <v>18</v>
      </c>
    </row>
    <row r="24" spans="1:14" s="2" customFormat="1" ht="67.5" x14ac:dyDescent="0.15">
      <c r="A24" s="3">
        <v>21</v>
      </c>
      <c r="B24" s="4" t="str">
        <f>IF(COUNTIF(用語集[キーワード],用語集[[#This Row],[キーワード]])&gt;1,"!","")</f>
        <v/>
      </c>
      <c r="C24" s="4" t="str">
        <f>IF(用語集[[#This Row],[キーワード]]="","",IF(OR(用語集[[#This Row],[説明]]="",NOT(ISERROR(FIND("★",用語集[[#This Row],[説明]])))),"★","☆"))</f>
        <v>☆</v>
      </c>
      <c r="D24" s="5" t="s">
        <v>99</v>
      </c>
      <c r="E24" s="3" t="s">
        <v>100</v>
      </c>
      <c r="F24" s="3" t="s">
        <v>101</v>
      </c>
      <c r="G24" s="4" t="s">
        <v>96</v>
      </c>
      <c r="H24" s="4"/>
      <c r="I24" s="6" t="s">
        <v>97</v>
      </c>
      <c r="J24" s="6" t="s">
        <v>102</v>
      </c>
      <c r="K24" s="7" t="s">
        <v>18</v>
      </c>
      <c r="L24" s="7" t="s">
        <v>18</v>
      </c>
      <c r="M24" s="7" t="s">
        <v>18</v>
      </c>
      <c r="N24" s="7" t="s">
        <v>18</v>
      </c>
    </row>
    <row r="25" spans="1:14" s="2" customFormat="1" ht="67.5" x14ac:dyDescent="0.15">
      <c r="A25" s="3">
        <v>22</v>
      </c>
      <c r="B25" s="4" t="str">
        <f>IF(COUNTIF(用語集[キーワード],用語集[[#This Row],[キーワード]])&gt;1,"!","")</f>
        <v/>
      </c>
      <c r="C25" s="4" t="str">
        <f>IF(用語集[[#This Row],[キーワード]]="","",IF(OR(用語集[[#This Row],[説明]]="",NOT(ISERROR(FIND("★",用語集[[#This Row],[説明]])))),"★","☆"))</f>
        <v>☆</v>
      </c>
      <c r="D25" s="5" t="s">
        <v>103</v>
      </c>
      <c r="E25" s="3" t="s">
        <v>104</v>
      </c>
      <c r="F25" s="3" t="s">
        <v>105</v>
      </c>
      <c r="G25" s="4" t="s">
        <v>96</v>
      </c>
      <c r="H25" s="4"/>
      <c r="I25" s="6" t="s">
        <v>97</v>
      </c>
      <c r="J25" s="6" t="s">
        <v>102</v>
      </c>
      <c r="K25" s="7" t="s">
        <v>18</v>
      </c>
      <c r="L25" s="7" t="s">
        <v>18</v>
      </c>
      <c r="M25" s="7" t="s">
        <v>18</v>
      </c>
      <c r="N25" s="7" t="s">
        <v>18</v>
      </c>
    </row>
    <row r="26" spans="1:14" s="2" customFormat="1" x14ac:dyDescent="0.15">
      <c r="A26" s="3">
        <v>23</v>
      </c>
      <c r="B26" s="4" t="str">
        <f>IF(COUNTIF(用語集[キーワード],用語集[[#This Row],[キーワード]])&gt;1,"!","")</f>
        <v/>
      </c>
      <c r="C26" s="4" t="str">
        <f>IF(用語集[[#This Row],[キーワード]]="","",IF(OR(用語集[[#This Row],[説明]]="",NOT(ISERROR(FIND("★",用語集[[#This Row],[説明]])))),"★","☆"))</f>
        <v>☆</v>
      </c>
      <c r="D26" s="5" t="s">
        <v>106</v>
      </c>
      <c r="E26" s="3"/>
      <c r="F26" s="3" t="s">
        <v>107</v>
      </c>
      <c r="G26" s="4"/>
      <c r="H26" s="4"/>
      <c r="I26" s="7" t="s">
        <v>18</v>
      </c>
      <c r="J26" s="6" t="s">
        <v>108</v>
      </c>
      <c r="K26" s="7" t="s">
        <v>18</v>
      </c>
      <c r="L26" s="7" t="s">
        <v>18</v>
      </c>
      <c r="M26" s="7" t="s">
        <v>18</v>
      </c>
      <c r="N26" s="7" t="s">
        <v>18</v>
      </c>
    </row>
    <row r="27" spans="1:14" s="2" customFormat="1" ht="45" x14ac:dyDescent="0.15">
      <c r="A27" s="3">
        <v>24</v>
      </c>
      <c r="B27" s="4" t="str">
        <f>IF(COUNTIF(用語集[キーワード],用語集[[#This Row],[キーワード]])&gt;1,"!","")</f>
        <v/>
      </c>
      <c r="C27" s="4" t="str">
        <f>IF(用語集[[#This Row],[キーワード]]="","",IF(OR(用語集[[#This Row],[説明]]="",NOT(ISERROR(FIND("★",用語集[[#This Row],[説明]])))),"★","☆"))</f>
        <v>☆</v>
      </c>
      <c r="D27" s="5" t="s">
        <v>109</v>
      </c>
      <c r="E27" s="3"/>
      <c r="F27" s="3" t="s">
        <v>110</v>
      </c>
      <c r="G27" s="4"/>
      <c r="H27" s="4"/>
      <c r="I27" s="7" t="s">
        <v>18</v>
      </c>
      <c r="J27" s="6" t="s">
        <v>108</v>
      </c>
      <c r="K27" s="7" t="s">
        <v>18</v>
      </c>
      <c r="L27" s="7" t="s">
        <v>18</v>
      </c>
      <c r="M27" s="7" t="s">
        <v>18</v>
      </c>
      <c r="N27" s="7" t="s">
        <v>18</v>
      </c>
    </row>
    <row r="28" spans="1:14" s="2" customFormat="1" x14ac:dyDescent="0.15">
      <c r="A28" s="3">
        <v>25</v>
      </c>
      <c r="B28" s="4" t="str">
        <f>IF(COUNTIF(用語集[キーワード],用語集[[#This Row],[キーワード]])&gt;1,"!","")</f>
        <v/>
      </c>
      <c r="C28" s="4" t="str">
        <f>IF(用語集[[#This Row],[キーワード]]="","",IF(OR(用語集[[#This Row],[説明]]="",NOT(ISERROR(FIND("★",用語集[[#This Row],[説明]])))),"★","☆"))</f>
        <v>☆</v>
      </c>
      <c r="D28" s="5" t="s">
        <v>111</v>
      </c>
      <c r="E28" s="3"/>
      <c r="F28" s="3" t="s">
        <v>112</v>
      </c>
      <c r="G28" s="4"/>
      <c r="H28" s="4"/>
      <c r="I28" s="6" t="s">
        <v>113</v>
      </c>
      <c r="J28" s="6" t="s">
        <v>114</v>
      </c>
      <c r="K28" s="7" t="s">
        <v>18</v>
      </c>
      <c r="L28" s="7" t="s">
        <v>18</v>
      </c>
      <c r="M28" s="7" t="s">
        <v>18</v>
      </c>
      <c r="N28" s="7" t="s">
        <v>18</v>
      </c>
    </row>
    <row r="29" spans="1:14" s="2" customFormat="1" ht="67.5" x14ac:dyDescent="0.15">
      <c r="A29" s="3">
        <v>26</v>
      </c>
      <c r="B29" s="4" t="str">
        <f>IF(COUNTIF(用語集[キーワード],用語集[[#This Row],[キーワード]])&gt;1,"!","")</f>
        <v/>
      </c>
      <c r="C29" s="4" t="str">
        <f>IF(用語集[[#This Row],[キーワード]]="","",IF(OR(用語集[[#This Row],[説明]]="",NOT(ISERROR(FIND("★",用語集[[#This Row],[説明]])))),"★","☆"))</f>
        <v>☆</v>
      </c>
      <c r="D29" s="5" t="s">
        <v>115</v>
      </c>
      <c r="E29" s="3"/>
      <c r="F29" s="3" t="s">
        <v>116</v>
      </c>
      <c r="G29" s="4"/>
      <c r="H29" s="4"/>
      <c r="I29" s="6" t="s">
        <v>113</v>
      </c>
      <c r="J29" s="6" t="s">
        <v>117</v>
      </c>
      <c r="K29" s="6" t="s">
        <v>118</v>
      </c>
      <c r="L29" s="6" t="s">
        <v>119</v>
      </c>
      <c r="M29" s="7" t="s">
        <v>18</v>
      </c>
      <c r="N29" s="7" t="s">
        <v>18</v>
      </c>
    </row>
    <row r="30" spans="1:14" s="2" customFormat="1" x14ac:dyDescent="0.15">
      <c r="A30" s="3">
        <v>27</v>
      </c>
      <c r="B30" s="4" t="str">
        <f>IF(COUNTIF(用語集[キーワード],用語集[[#This Row],[キーワード]])&gt;1,"!","")</f>
        <v/>
      </c>
      <c r="C30" s="4" t="str">
        <f>IF(用語集[[#This Row],[キーワード]]="","",IF(OR(用語集[[#This Row],[説明]]="",NOT(ISERROR(FIND("★",用語集[[#This Row],[説明]])))),"★","☆"))</f>
        <v>☆</v>
      </c>
      <c r="D30" s="5" t="s">
        <v>120</v>
      </c>
      <c r="E30" s="3"/>
      <c r="F30" s="3" t="s">
        <v>121</v>
      </c>
      <c r="G30" s="4"/>
      <c r="H30" s="4" t="s">
        <v>122</v>
      </c>
      <c r="I30" s="7" t="s">
        <v>18</v>
      </c>
      <c r="J30" s="6" t="s">
        <v>123</v>
      </c>
      <c r="K30" s="7" t="s">
        <v>18</v>
      </c>
      <c r="L30" s="7" t="s">
        <v>18</v>
      </c>
      <c r="M30" s="7" t="s">
        <v>18</v>
      </c>
      <c r="N30" s="7" t="s">
        <v>18</v>
      </c>
    </row>
    <row r="31" spans="1:14" s="2" customFormat="1" x14ac:dyDescent="0.15">
      <c r="A31" s="3">
        <v>28</v>
      </c>
      <c r="B31" s="4" t="str">
        <f>IF(COUNTIF(用語集[キーワード],用語集[[#This Row],[キーワード]])&gt;1,"!","")</f>
        <v/>
      </c>
      <c r="C31" s="4" t="str">
        <f>IF(用語集[[#This Row],[キーワード]]="","",IF(OR(用語集[[#This Row],[説明]]="",NOT(ISERROR(FIND("★",用語集[[#This Row],[説明]])))),"★","☆"))</f>
        <v>★</v>
      </c>
      <c r="D31" s="5" t="s">
        <v>124</v>
      </c>
      <c r="E31" s="3"/>
      <c r="F31" s="3"/>
      <c r="G31" s="4"/>
      <c r="H31" s="4"/>
      <c r="I31" s="7" t="s">
        <v>18</v>
      </c>
      <c r="J31" s="7" t="s">
        <v>18</v>
      </c>
      <c r="K31" s="7" t="s">
        <v>18</v>
      </c>
      <c r="L31" s="7" t="s">
        <v>18</v>
      </c>
      <c r="M31" s="7" t="s">
        <v>18</v>
      </c>
      <c r="N31" s="7" t="s">
        <v>18</v>
      </c>
    </row>
    <row r="32" spans="1:14" s="2" customFormat="1" x14ac:dyDescent="0.15">
      <c r="A32" s="3">
        <v>29</v>
      </c>
      <c r="B32" s="4" t="str">
        <f>IF(COUNTIF(用語集[キーワード],用語集[[#This Row],[キーワード]])&gt;1,"!","")</f>
        <v/>
      </c>
      <c r="C32" s="4" t="str">
        <f>IF(用語集[[#This Row],[キーワード]]="","",IF(OR(用語集[[#This Row],[説明]]="",NOT(ISERROR(FIND("★",用語集[[#This Row],[説明]])))),"★","☆"))</f>
        <v>☆</v>
      </c>
      <c r="D32" s="5" t="s">
        <v>125</v>
      </c>
      <c r="E32" s="3"/>
      <c r="F32" s="3" t="s">
        <v>126</v>
      </c>
      <c r="G32" s="4"/>
      <c r="H32" s="4" t="s">
        <v>127</v>
      </c>
      <c r="I32" s="6" t="s">
        <v>128</v>
      </c>
      <c r="J32" s="6" t="s">
        <v>129</v>
      </c>
      <c r="K32" s="7" t="s">
        <v>18</v>
      </c>
      <c r="L32" s="7" t="s">
        <v>18</v>
      </c>
      <c r="M32" s="7" t="s">
        <v>18</v>
      </c>
      <c r="N32" s="7" t="s">
        <v>18</v>
      </c>
    </row>
    <row r="33" spans="1:14" s="2" customFormat="1" x14ac:dyDescent="0.15">
      <c r="A33" s="3">
        <v>30</v>
      </c>
      <c r="B33" s="4" t="str">
        <f>IF(COUNTIF(用語集[キーワード],用語集[[#This Row],[キーワード]])&gt;1,"!","")</f>
        <v/>
      </c>
      <c r="C33" s="4" t="str">
        <f>IF(用語集[[#This Row],[キーワード]]="","",IF(OR(用語集[[#This Row],[説明]]="",NOT(ISERROR(FIND("★",用語集[[#This Row],[説明]])))),"★","☆"))</f>
        <v>☆</v>
      </c>
      <c r="D33" s="5" t="s">
        <v>130</v>
      </c>
      <c r="E33" s="3"/>
      <c r="F33" s="3" t="s">
        <v>131</v>
      </c>
      <c r="G33" s="4"/>
      <c r="H33" s="4"/>
      <c r="I33" s="7" t="s">
        <v>18</v>
      </c>
      <c r="J33" s="6" t="s">
        <v>132</v>
      </c>
      <c r="K33" s="7" t="s">
        <v>18</v>
      </c>
      <c r="L33" s="7" t="s">
        <v>18</v>
      </c>
      <c r="M33" s="7" t="s">
        <v>18</v>
      </c>
      <c r="N33" s="7" t="s">
        <v>18</v>
      </c>
    </row>
    <row r="34" spans="1:14" s="2" customFormat="1" ht="22.5" x14ac:dyDescent="0.15">
      <c r="A34" s="3">
        <v>31</v>
      </c>
      <c r="B34" s="4" t="str">
        <f>IF(COUNTIF(用語集[キーワード],用語集[[#This Row],[キーワード]])&gt;1,"!","")</f>
        <v/>
      </c>
      <c r="C34" s="4" t="str">
        <f>IF(用語集[[#This Row],[キーワード]]="","",IF(OR(用語集[[#This Row],[説明]]="",NOT(ISERROR(FIND("★",用語集[[#This Row],[説明]])))),"★","☆"))</f>
        <v>☆</v>
      </c>
      <c r="D34" s="5" t="s">
        <v>133</v>
      </c>
      <c r="E34" s="3" t="s">
        <v>134</v>
      </c>
      <c r="F34" s="3" t="s">
        <v>135</v>
      </c>
      <c r="G34" s="4"/>
      <c r="H34" s="4"/>
      <c r="I34" s="7" t="s">
        <v>18</v>
      </c>
      <c r="J34" s="6" t="s">
        <v>136</v>
      </c>
      <c r="K34" s="7" t="s">
        <v>18</v>
      </c>
      <c r="L34" s="7" t="s">
        <v>18</v>
      </c>
      <c r="M34" s="7" t="s">
        <v>18</v>
      </c>
      <c r="N34" s="7" t="s">
        <v>18</v>
      </c>
    </row>
    <row r="35" spans="1:14" s="2" customFormat="1" x14ac:dyDescent="0.15">
      <c r="A35" s="3">
        <v>32</v>
      </c>
      <c r="B35" s="4" t="str">
        <f>IF(COUNTIF(用語集[キーワード],用語集[[#This Row],[キーワード]])&gt;1,"!","")</f>
        <v/>
      </c>
      <c r="C35" s="4" t="str">
        <f>IF(用語集[[#This Row],[キーワード]]="","",IF(OR(用語集[[#This Row],[説明]]="",NOT(ISERROR(FIND("★",用語集[[#This Row],[説明]])))),"★","☆"))</f>
        <v>☆</v>
      </c>
      <c r="D35" s="5" t="s">
        <v>137</v>
      </c>
      <c r="E35" s="3"/>
      <c r="F35" s="3" t="s">
        <v>138</v>
      </c>
      <c r="G35" s="4"/>
      <c r="H35" s="4"/>
      <c r="I35" s="6" t="s">
        <v>139</v>
      </c>
      <c r="J35" s="6" t="s">
        <v>140</v>
      </c>
      <c r="K35" s="7" t="s">
        <v>18</v>
      </c>
      <c r="L35" s="7" t="s">
        <v>18</v>
      </c>
      <c r="M35" s="7" t="s">
        <v>18</v>
      </c>
      <c r="N35" s="7" t="s">
        <v>18</v>
      </c>
    </row>
    <row r="36" spans="1:14" s="2" customFormat="1" x14ac:dyDescent="0.15">
      <c r="A36" s="3">
        <v>33</v>
      </c>
      <c r="B36" s="4" t="str">
        <f>IF(COUNTIF(用語集[キーワード],用語集[[#This Row],[キーワード]])&gt;1,"!","")</f>
        <v/>
      </c>
      <c r="C36" s="4" t="str">
        <f>IF(用語集[[#This Row],[キーワード]]="","",IF(OR(用語集[[#This Row],[説明]]="",NOT(ISERROR(FIND("★",用語集[[#This Row],[説明]])))),"★","☆"))</f>
        <v>☆</v>
      </c>
      <c r="D36" s="5" t="s">
        <v>141</v>
      </c>
      <c r="E36" s="3"/>
      <c r="F36" s="3" t="s">
        <v>142</v>
      </c>
      <c r="G36" s="4"/>
      <c r="H36" s="4"/>
      <c r="I36" s="6" t="s">
        <v>139</v>
      </c>
      <c r="J36" s="6" t="s">
        <v>140</v>
      </c>
      <c r="K36" s="7" t="s">
        <v>18</v>
      </c>
      <c r="L36" s="7" t="s">
        <v>18</v>
      </c>
      <c r="M36" s="7" t="s">
        <v>18</v>
      </c>
      <c r="N36" s="7" t="s">
        <v>18</v>
      </c>
    </row>
    <row r="37" spans="1:14" s="2" customFormat="1" ht="33.75" x14ac:dyDescent="0.15">
      <c r="A37" s="3">
        <v>34</v>
      </c>
      <c r="B37" s="4" t="str">
        <f>IF(COUNTIF(用語集[キーワード],用語集[[#This Row],[キーワード]])&gt;1,"!","")</f>
        <v/>
      </c>
      <c r="C37" s="4" t="str">
        <f>IF(用語集[[#This Row],[キーワード]]="","",IF(OR(用語集[[#This Row],[説明]]="",NOT(ISERROR(FIND("★",用語集[[#This Row],[説明]])))),"★","☆"))</f>
        <v>☆</v>
      </c>
      <c r="D37" s="5" t="s">
        <v>143</v>
      </c>
      <c r="E37" s="3"/>
      <c r="F37" s="3" t="s">
        <v>144</v>
      </c>
      <c r="G37" s="4"/>
      <c r="H37" s="4"/>
      <c r="I37" s="7" t="s">
        <v>18</v>
      </c>
      <c r="J37" s="7" t="s">
        <v>145</v>
      </c>
      <c r="K37" s="7" t="s">
        <v>18</v>
      </c>
      <c r="L37" s="7" t="s">
        <v>18</v>
      </c>
      <c r="M37" s="7" t="s">
        <v>18</v>
      </c>
      <c r="N37" s="7" t="s">
        <v>18</v>
      </c>
    </row>
    <row r="38" spans="1:14" s="2" customFormat="1" ht="33.75" x14ac:dyDescent="0.15">
      <c r="A38" s="3">
        <v>35</v>
      </c>
      <c r="B38" s="4" t="str">
        <f>IF(COUNTIF(用語集[キーワード],用語集[[#This Row],[キーワード]])&gt;1,"!","")</f>
        <v/>
      </c>
      <c r="C38" s="4" t="str">
        <f>IF(用語集[[#This Row],[キーワード]]="","",IF(OR(用語集[[#This Row],[説明]]="",NOT(ISERROR(FIND("★",用語集[[#This Row],[説明]])))),"★","☆"))</f>
        <v>☆</v>
      </c>
      <c r="D38" s="5" t="s">
        <v>146</v>
      </c>
      <c r="E38" s="3"/>
      <c r="F38" s="3" t="s">
        <v>147</v>
      </c>
      <c r="G38" s="4"/>
      <c r="H38" s="4"/>
      <c r="I38" s="7" t="s">
        <v>18</v>
      </c>
      <c r="J38" s="7" t="s">
        <v>145</v>
      </c>
      <c r="K38" s="7" t="s">
        <v>18</v>
      </c>
      <c r="L38" s="7" t="s">
        <v>18</v>
      </c>
      <c r="M38" s="7" t="s">
        <v>18</v>
      </c>
      <c r="N38" s="7" t="s">
        <v>18</v>
      </c>
    </row>
    <row r="39" spans="1:14" s="2" customFormat="1" ht="22.5" x14ac:dyDescent="0.15">
      <c r="A39" s="3">
        <v>36</v>
      </c>
      <c r="B39" s="4" t="str">
        <f>IF(COUNTIF(用語集[キーワード],用語集[[#This Row],[キーワード]])&gt;1,"!","")</f>
        <v/>
      </c>
      <c r="C39" s="4" t="str">
        <f>IF(用語集[[#This Row],[キーワード]]="","",IF(OR(用語集[[#This Row],[説明]]="",NOT(ISERROR(FIND("★",用語集[[#This Row],[説明]])))),"★","☆"))</f>
        <v>☆</v>
      </c>
      <c r="D39" s="5" t="s">
        <v>148</v>
      </c>
      <c r="E39" s="3"/>
      <c r="F39" s="3" t="s">
        <v>149</v>
      </c>
      <c r="G39" s="4"/>
      <c r="H39" s="4"/>
      <c r="I39" s="7" t="s">
        <v>150</v>
      </c>
      <c r="J39" s="6" t="s">
        <v>151</v>
      </c>
      <c r="K39" s="7" t="s">
        <v>18</v>
      </c>
      <c r="L39" s="7" t="s">
        <v>18</v>
      </c>
      <c r="M39" s="7" t="s">
        <v>18</v>
      </c>
      <c r="N39" s="7" t="s">
        <v>18</v>
      </c>
    </row>
    <row r="40" spans="1:14" s="2" customFormat="1" x14ac:dyDescent="0.15">
      <c r="A40" s="3">
        <v>37</v>
      </c>
      <c r="B40" s="4" t="str">
        <f>IF(COUNTIF(用語集[キーワード],用語集[[#This Row],[キーワード]])&gt;1,"!","")</f>
        <v/>
      </c>
      <c r="C40" s="4" t="str">
        <f>IF(用語集[[#This Row],[キーワード]]="","",IF(OR(用語集[[#This Row],[説明]]="",NOT(ISERROR(FIND("★",用語集[[#This Row],[説明]])))),"★","☆"))</f>
        <v>☆</v>
      </c>
      <c r="D40" s="5" t="s">
        <v>152</v>
      </c>
      <c r="E40" s="3" t="s">
        <v>153</v>
      </c>
      <c r="F40" s="3" t="s">
        <v>154</v>
      </c>
      <c r="G40" s="4"/>
      <c r="H40" s="4"/>
      <c r="I40" s="7" t="s">
        <v>155</v>
      </c>
      <c r="J40" s="6" t="s">
        <v>156</v>
      </c>
      <c r="K40" s="7" t="s">
        <v>18</v>
      </c>
      <c r="L40" s="7" t="s">
        <v>18</v>
      </c>
      <c r="M40" s="7" t="s">
        <v>18</v>
      </c>
      <c r="N40" s="7" t="s">
        <v>18</v>
      </c>
    </row>
    <row r="41" spans="1:14" s="2" customFormat="1" x14ac:dyDescent="0.15">
      <c r="A41" s="3">
        <v>38</v>
      </c>
      <c r="B41" s="4" t="str">
        <f>IF(COUNTIF(用語集[キーワード],用語集[[#This Row],[キーワード]])&gt;1,"!","")</f>
        <v/>
      </c>
      <c r="C41" s="4" t="str">
        <f>IF(用語集[[#This Row],[キーワード]]="","",IF(OR(用語集[[#This Row],[説明]]="",NOT(ISERROR(FIND("★",用語集[[#This Row],[説明]])))),"★","☆"))</f>
        <v>☆</v>
      </c>
      <c r="D41" s="5" t="s">
        <v>157</v>
      </c>
      <c r="E41" s="3"/>
      <c r="F41" s="3" t="s">
        <v>158</v>
      </c>
      <c r="G41" s="4"/>
      <c r="H41" s="4"/>
      <c r="I41" s="7" t="s">
        <v>18</v>
      </c>
      <c r="J41" s="7" t="s">
        <v>159</v>
      </c>
      <c r="K41" s="7" t="s">
        <v>18</v>
      </c>
      <c r="L41" s="7" t="s">
        <v>18</v>
      </c>
      <c r="M41" s="7" t="s">
        <v>18</v>
      </c>
      <c r="N41" s="7" t="s">
        <v>18</v>
      </c>
    </row>
    <row r="42" spans="1:14" s="2" customFormat="1" ht="22.5" x14ac:dyDescent="0.15">
      <c r="A42" s="3">
        <v>41</v>
      </c>
      <c r="B42" s="4" t="str">
        <f>IF(COUNTIF(用語集[キーワード],用語集[[#This Row],[キーワード]])&gt;1,"!","")</f>
        <v/>
      </c>
      <c r="C42" s="4" t="str">
        <f>IF(用語集[[#This Row],[キーワード]]="","",IF(OR(用語集[[#This Row],[説明]]="",NOT(ISERROR(FIND("★",用語集[[#This Row],[説明]])))),"★","☆"))</f>
        <v>☆</v>
      </c>
      <c r="D42" s="5" t="s">
        <v>160</v>
      </c>
      <c r="E42" s="3"/>
      <c r="F42" s="3" t="s">
        <v>161</v>
      </c>
      <c r="G42" s="4"/>
      <c r="H42" s="4"/>
      <c r="I42" s="7" t="s">
        <v>18</v>
      </c>
      <c r="J42" s="7" t="s">
        <v>18</v>
      </c>
      <c r="K42" s="7" t="s">
        <v>18</v>
      </c>
      <c r="L42" s="7" t="s">
        <v>18</v>
      </c>
      <c r="M42" s="7" t="s">
        <v>18</v>
      </c>
      <c r="N42" s="7" t="s">
        <v>18</v>
      </c>
    </row>
    <row r="43" spans="1:14" s="2" customFormat="1" x14ac:dyDescent="0.15">
      <c r="A43" s="3">
        <v>42</v>
      </c>
      <c r="B43" s="4" t="str">
        <f>IF(COUNTIF(用語集[キーワード],用語集[[#This Row],[キーワード]])&gt;1,"!","")</f>
        <v/>
      </c>
      <c r="C43" s="4" t="str">
        <f>IF(用語集[[#This Row],[キーワード]]="","",IF(OR(用語集[[#This Row],[説明]]="",NOT(ISERROR(FIND("★",用語集[[#This Row],[説明]])))),"★","☆"))</f>
        <v>☆</v>
      </c>
      <c r="D43" s="5" t="s">
        <v>162</v>
      </c>
      <c r="E43" s="3"/>
      <c r="F43" s="3" t="s">
        <v>163</v>
      </c>
      <c r="G43" s="4"/>
      <c r="H43" s="4"/>
      <c r="I43" s="7" t="s">
        <v>18</v>
      </c>
      <c r="J43" s="7" t="s">
        <v>18</v>
      </c>
      <c r="K43" s="7" t="s">
        <v>18</v>
      </c>
      <c r="L43" s="7" t="s">
        <v>18</v>
      </c>
      <c r="M43" s="7" t="s">
        <v>18</v>
      </c>
      <c r="N43" s="7" t="s">
        <v>18</v>
      </c>
    </row>
    <row r="44" spans="1:14" s="2" customFormat="1" x14ac:dyDescent="0.15">
      <c r="A44" s="3">
        <v>43</v>
      </c>
      <c r="B44" s="4" t="str">
        <f>IF(COUNTIF(用語集[キーワード],用語集[[#This Row],[キーワード]])&gt;1,"!","")</f>
        <v/>
      </c>
      <c r="C44" s="4" t="str">
        <f>IF(用語集[[#This Row],[キーワード]]="","",IF(OR(用語集[[#This Row],[説明]]="",NOT(ISERROR(FIND("★",用語集[[#This Row],[説明]])))),"★","☆"))</f>
        <v>☆</v>
      </c>
      <c r="D44" s="5" t="s">
        <v>164</v>
      </c>
      <c r="E44" s="3"/>
      <c r="F44" s="3" t="s">
        <v>165</v>
      </c>
      <c r="G44" s="4"/>
      <c r="H44" s="4"/>
      <c r="I44" s="7" t="s">
        <v>18</v>
      </c>
      <c r="J44" s="7" t="s">
        <v>18</v>
      </c>
      <c r="K44" s="7" t="s">
        <v>18</v>
      </c>
      <c r="L44" s="7" t="s">
        <v>18</v>
      </c>
      <c r="M44" s="7" t="s">
        <v>18</v>
      </c>
      <c r="N44" s="7" t="s">
        <v>18</v>
      </c>
    </row>
    <row r="45" spans="1:14" s="2" customFormat="1" ht="33.75" x14ac:dyDescent="0.15">
      <c r="A45" s="3">
        <v>44</v>
      </c>
      <c r="B45" s="4" t="str">
        <f>IF(COUNTIF(用語集[キーワード],用語集[[#This Row],[キーワード]])&gt;1,"!","")</f>
        <v/>
      </c>
      <c r="C45" s="4" t="str">
        <f>IF(用語集[[#This Row],[キーワード]]="","",IF(OR(用語集[[#This Row],[説明]]="",NOT(ISERROR(FIND("★",用語集[[#This Row],[説明]])))),"★","☆"))</f>
        <v>☆</v>
      </c>
      <c r="D45" s="5" t="s">
        <v>166</v>
      </c>
      <c r="E45" s="3"/>
      <c r="F45" s="3" t="s">
        <v>167</v>
      </c>
      <c r="G45" s="4"/>
      <c r="H45" s="4"/>
      <c r="I45" s="7" t="s">
        <v>18</v>
      </c>
      <c r="J45" s="6" t="s">
        <v>168</v>
      </c>
      <c r="K45" s="7" t="s">
        <v>18</v>
      </c>
      <c r="L45" s="7" t="s">
        <v>18</v>
      </c>
      <c r="M45" s="7" t="s">
        <v>18</v>
      </c>
      <c r="N45" s="7" t="s">
        <v>18</v>
      </c>
    </row>
    <row r="46" spans="1:14" s="2" customFormat="1" ht="33.75" x14ac:dyDescent="0.15">
      <c r="A46" s="3">
        <v>45</v>
      </c>
      <c r="B46" s="4" t="str">
        <f>IF(COUNTIF(用語集[キーワード],用語集[[#This Row],[キーワード]])&gt;1,"!","")</f>
        <v/>
      </c>
      <c r="C46" s="4" t="str">
        <f>IF(用語集[[#This Row],[キーワード]]="","",IF(OR(用語集[[#This Row],[説明]]="",NOT(ISERROR(FIND("★",用語集[[#This Row],[説明]])))),"★","☆"))</f>
        <v>☆</v>
      </c>
      <c r="D46" s="5" t="s">
        <v>169</v>
      </c>
      <c r="E46" s="3"/>
      <c r="F46" s="3" t="s">
        <v>170</v>
      </c>
      <c r="G46" s="4"/>
      <c r="H46" s="4"/>
      <c r="I46" s="7" t="s">
        <v>18</v>
      </c>
      <c r="J46" s="6" t="s">
        <v>168</v>
      </c>
      <c r="K46" s="7" t="s">
        <v>18</v>
      </c>
      <c r="L46" s="7" t="s">
        <v>18</v>
      </c>
      <c r="M46" s="7" t="s">
        <v>18</v>
      </c>
      <c r="N46" s="7" t="s">
        <v>18</v>
      </c>
    </row>
    <row r="47" spans="1:14" s="2" customFormat="1" ht="56.25" x14ac:dyDescent="0.15">
      <c r="A47" s="3">
        <v>46</v>
      </c>
      <c r="B47" s="4" t="str">
        <f>IF(COUNTIF(用語集[キーワード],用語集[[#This Row],[キーワード]])&gt;1,"!","")</f>
        <v/>
      </c>
      <c r="C47" s="4" t="str">
        <f>IF(用語集[[#This Row],[キーワード]]="","",IF(OR(用語集[[#This Row],[説明]]="",NOT(ISERROR(FIND("★",用語集[[#This Row],[説明]])))),"★","☆"))</f>
        <v>☆</v>
      </c>
      <c r="D47" s="5" t="s">
        <v>171</v>
      </c>
      <c r="E47" s="3" t="s">
        <v>172</v>
      </c>
      <c r="F47" s="3" t="s">
        <v>173</v>
      </c>
      <c r="G47" s="4"/>
      <c r="H47" s="4"/>
      <c r="I47" s="7" t="s">
        <v>18</v>
      </c>
      <c r="J47" s="6" t="s">
        <v>174</v>
      </c>
      <c r="K47" s="7" t="s">
        <v>18</v>
      </c>
      <c r="L47" s="7" t="s">
        <v>18</v>
      </c>
      <c r="M47" s="7" t="s">
        <v>18</v>
      </c>
      <c r="N47" s="7" t="s">
        <v>18</v>
      </c>
    </row>
    <row r="48" spans="1:14" s="2" customFormat="1" x14ac:dyDescent="0.15">
      <c r="A48" s="3">
        <v>47</v>
      </c>
      <c r="B48" s="4" t="str">
        <f>IF(COUNTIF(用語集[キーワード],用語集[[#This Row],[キーワード]])&gt;1,"!","")</f>
        <v/>
      </c>
      <c r="C48" s="4" t="str">
        <f>IF(用語集[[#This Row],[キーワード]]="","",IF(OR(用語集[[#This Row],[説明]]="",NOT(ISERROR(FIND("★",用語集[[#This Row],[説明]])))),"★","☆"))</f>
        <v>☆</v>
      </c>
      <c r="D48" s="5" t="s">
        <v>175</v>
      </c>
      <c r="E48" s="3" t="s">
        <v>176</v>
      </c>
      <c r="F48" s="3" t="s">
        <v>177</v>
      </c>
      <c r="G48" s="4"/>
      <c r="H48" s="4"/>
      <c r="I48" s="7" t="s">
        <v>178</v>
      </c>
      <c r="J48" s="6" t="s">
        <v>179</v>
      </c>
      <c r="K48" s="7" t="s">
        <v>18</v>
      </c>
      <c r="L48" s="7" t="s">
        <v>18</v>
      </c>
      <c r="M48" s="7" t="s">
        <v>18</v>
      </c>
      <c r="N48" s="7" t="s">
        <v>18</v>
      </c>
    </row>
    <row r="49" spans="1:14" s="2" customFormat="1" x14ac:dyDescent="0.15">
      <c r="A49" s="3">
        <v>48</v>
      </c>
      <c r="B49" s="4" t="str">
        <f>IF(COUNTIF(用語集[キーワード],用語集[[#This Row],[キーワード]])&gt;1,"!","")</f>
        <v/>
      </c>
      <c r="C49" s="4" t="str">
        <f>IF(用語集[[#This Row],[キーワード]]="","",IF(OR(用語集[[#This Row],[説明]]="",NOT(ISERROR(FIND("★",用語集[[#This Row],[説明]])))),"★","☆"))</f>
        <v>☆</v>
      </c>
      <c r="D49" s="5" t="s">
        <v>180</v>
      </c>
      <c r="E49" s="3" t="s">
        <v>181</v>
      </c>
      <c r="F49" s="3" t="s">
        <v>182</v>
      </c>
      <c r="G49" s="4"/>
      <c r="H49" s="4"/>
      <c r="I49" s="7" t="s">
        <v>178</v>
      </c>
      <c r="J49" s="6" t="s">
        <v>179</v>
      </c>
      <c r="K49" s="7" t="s">
        <v>18</v>
      </c>
      <c r="L49" s="7" t="s">
        <v>18</v>
      </c>
      <c r="M49" s="7" t="s">
        <v>18</v>
      </c>
      <c r="N49" s="7" t="s">
        <v>18</v>
      </c>
    </row>
    <row r="50" spans="1:14" s="2" customFormat="1" ht="33.75" x14ac:dyDescent="0.15">
      <c r="A50" s="3">
        <v>49</v>
      </c>
      <c r="B50" s="4" t="str">
        <f>IF(COUNTIF(用語集[キーワード],用語集[[#This Row],[キーワード]])&gt;1,"!","")</f>
        <v/>
      </c>
      <c r="C50" s="4" t="str">
        <f>IF(用語集[[#This Row],[キーワード]]="","",IF(OR(用語集[[#This Row],[説明]]="",NOT(ISERROR(FIND("★",用語集[[#This Row],[説明]])))),"★","☆"))</f>
        <v>☆</v>
      </c>
      <c r="D50" s="5" t="s">
        <v>183</v>
      </c>
      <c r="E50" s="3" t="s">
        <v>184</v>
      </c>
      <c r="F50" s="3" t="s">
        <v>185</v>
      </c>
      <c r="G50" s="4"/>
      <c r="H50" s="4"/>
      <c r="I50" s="7" t="s">
        <v>178</v>
      </c>
      <c r="J50" s="6" t="s">
        <v>186</v>
      </c>
      <c r="K50" s="7" t="s">
        <v>18</v>
      </c>
      <c r="L50" s="7" t="s">
        <v>18</v>
      </c>
      <c r="M50" s="7" t="s">
        <v>18</v>
      </c>
      <c r="N50" s="7" t="s">
        <v>18</v>
      </c>
    </row>
    <row r="51" spans="1:14" s="2" customFormat="1" ht="33.75" x14ac:dyDescent="0.15">
      <c r="A51" s="3">
        <v>50</v>
      </c>
      <c r="B51" s="4" t="str">
        <f>IF(COUNTIF(用語集[キーワード],用語集[[#This Row],[キーワード]])&gt;1,"!","")</f>
        <v/>
      </c>
      <c r="C51" s="4" t="str">
        <f>IF(用語集[[#This Row],[キーワード]]="","",IF(OR(用語集[[#This Row],[説明]]="",NOT(ISERROR(FIND("★",用語集[[#This Row],[説明]])))),"★","☆"))</f>
        <v>☆</v>
      </c>
      <c r="D51" s="5" t="s">
        <v>187</v>
      </c>
      <c r="E51" s="3"/>
      <c r="F51" s="3" t="s">
        <v>188</v>
      </c>
      <c r="G51" s="4"/>
      <c r="H51" s="4"/>
      <c r="I51" s="7" t="s">
        <v>178</v>
      </c>
      <c r="J51" s="6" t="s">
        <v>189</v>
      </c>
      <c r="K51" s="7" t="s">
        <v>18</v>
      </c>
      <c r="L51" s="7" t="s">
        <v>18</v>
      </c>
      <c r="M51" s="7" t="s">
        <v>18</v>
      </c>
      <c r="N51" s="7" t="s">
        <v>18</v>
      </c>
    </row>
    <row r="52" spans="1:14" s="2" customFormat="1" ht="56.25" x14ac:dyDescent="0.15">
      <c r="A52" s="3">
        <v>51</v>
      </c>
      <c r="B52" s="4" t="str">
        <f>IF(COUNTIF(用語集[キーワード],用語集[[#This Row],[キーワード]])&gt;1,"!","")</f>
        <v/>
      </c>
      <c r="C52" s="4" t="str">
        <f>IF(用語集[[#This Row],[キーワード]]="","",IF(OR(用語集[[#This Row],[説明]]="",NOT(ISERROR(FIND("★",用語集[[#This Row],[説明]])))),"★","☆"))</f>
        <v>☆</v>
      </c>
      <c r="D52" s="5" t="s">
        <v>190</v>
      </c>
      <c r="E52" s="3"/>
      <c r="F52" s="3" t="s">
        <v>191</v>
      </c>
      <c r="G52" s="4"/>
      <c r="H52" s="4"/>
      <c r="I52" s="7" t="s">
        <v>178</v>
      </c>
      <c r="J52" s="6" t="s">
        <v>192</v>
      </c>
      <c r="K52" s="7" t="s">
        <v>18</v>
      </c>
      <c r="L52" s="7" t="s">
        <v>18</v>
      </c>
      <c r="M52" s="7" t="s">
        <v>18</v>
      </c>
      <c r="N52" s="7" t="s">
        <v>18</v>
      </c>
    </row>
    <row r="53" spans="1:14" s="2" customFormat="1" ht="78.75" x14ac:dyDescent="0.15">
      <c r="A53" s="3">
        <v>52</v>
      </c>
      <c r="B53" s="4" t="str">
        <f>IF(COUNTIF(用語集[キーワード],用語集[[#This Row],[キーワード]])&gt;1,"!","")</f>
        <v/>
      </c>
      <c r="C53" s="4" t="str">
        <f>IF(用語集[[#This Row],[キーワード]]="","",IF(OR(用語集[[#This Row],[説明]]="",NOT(ISERROR(FIND("★",用語集[[#This Row],[説明]])))),"★","☆"))</f>
        <v>☆</v>
      </c>
      <c r="D53" s="5" t="s">
        <v>193</v>
      </c>
      <c r="E53" s="3"/>
      <c r="F53" s="3" t="s">
        <v>194</v>
      </c>
      <c r="G53" s="4"/>
      <c r="H53" s="4"/>
      <c r="I53" s="7" t="s">
        <v>178</v>
      </c>
      <c r="J53" s="6" t="s">
        <v>195</v>
      </c>
      <c r="K53" s="7" t="s">
        <v>18</v>
      </c>
      <c r="L53" s="7" t="s">
        <v>18</v>
      </c>
      <c r="M53" s="7" t="s">
        <v>18</v>
      </c>
      <c r="N53" s="7" t="s">
        <v>18</v>
      </c>
    </row>
    <row r="54" spans="1:14" s="2" customFormat="1" ht="22.5" x14ac:dyDescent="0.15">
      <c r="A54" s="3">
        <v>53</v>
      </c>
      <c r="B54" s="4" t="str">
        <f>IF(COUNTIF(用語集[キーワード],用語集[[#This Row],[キーワード]])&gt;1,"!","")</f>
        <v/>
      </c>
      <c r="C54" s="4" t="str">
        <f>IF(用語集[[#This Row],[キーワード]]="","",IF(OR(用語集[[#This Row],[説明]]="",NOT(ISERROR(FIND("★",用語集[[#This Row],[説明]])))),"★","☆"))</f>
        <v>☆</v>
      </c>
      <c r="D54" s="5" t="s">
        <v>196</v>
      </c>
      <c r="E54" s="3" t="s">
        <v>197</v>
      </c>
      <c r="F54" s="3" t="s">
        <v>198</v>
      </c>
      <c r="G54" s="4"/>
      <c r="H54" s="4"/>
      <c r="I54" s="7" t="s">
        <v>18</v>
      </c>
      <c r="J54" s="6" t="s">
        <v>199</v>
      </c>
      <c r="K54" s="7" t="s">
        <v>18</v>
      </c>
      <c r="L54" s="7" t="s">
        <v>18</v>
      </c>
      <c r="M54" s="7" t="s">
        <v>18</v>
      </c>
      <c r="N54" s="7" t="s">
        <v>18</v>
      </c>
    </row>
    <row r="55" spans="1:14" s="2" customFormat="1" ht="45" x14ac:dyDescent="0.15">
      <c r="A55" s="3">
        <v>54</v>
      </c>
      <c r="B55" s="4" t="str">
        <f>IF(COUNTIF(用語集[キーワード],用語集[[#This Row],[キーワード]])&gt;1,"!","")</f>
        <v/>
      </c>
      <c r="C55" s="4" t="str">
        <f>IF(用語集[[#This Row],[キーワード]]="","",IF(OR(用語集[[#This Row],[説明]]="",NOT(ISERROR(FIND("★",用語集[[#This Row],[説明]])))),"★","☆"))</f>
        <v>☆</v>
      </c>
      <c r="D55" s="5" t="s">
        <v>200</v>
      </c>
      <c r="E55" s="3"/>
      <c r="F55" s="3" t="s">
        <v>201</v>
      </c>
      <c r="G55" s="4"/>
      <c r="H55" s="4"/>
      <c r="I55" s="6" t="s">
        <v>202</v>
      </c>
      <c r="J55" s="6" t="s">
        <v>203</v>
      </c>
      <c r="K55" s="6" t="s">
        <v>204</v>
      </c>
      <c r="L55" s="7" t="s">
        <v>18</v>
      </c>
      <c r="M55" s="7" t="s">
        <v>18</v>
      </c>
      <c r="N55" s="7" t="s">
        <v>18</v>
      </c>
    </row>
    <row r="56" spans="1:14" s="2" customFormat="1" ht="22.5" x14ac:dyDescent="0.15">
      <c r="A56" s="3">
        <v>55</v>
      </c>
      <c r="B56" s="4" t="str">
        <f>IF(COUNTIF(用語集[キーワード],用語集[[#This Row],[キーワード]])&gt;1,"!","")</f>
        <v/>
      </c>
      <c r="C56" s="4" t="str">
        <f>IF(用語集[[#This Row],[キーワード]]="","",IF(OR(用語集[[#This Row],[説明]]="",NOT(ISERROR(FIND("★",用語集[[#This Row],[説明]])))),"★","☆"))</f>
        <v>☆</v>
      </c>
      <c r="D56" s="5" t="s">
        <v>205</v>
      </c>
      <c r="E56" s="3"/>
      <c r="F56" s="3" t="s">
        <v>206</v>
      </c>
      <c r="G56" s="4"/>
      <c r="H56" s="4"/>
      <c r="I56" s="7" t="s">
        <v>207</v>
      </c>
      <c r="J56" s="6" t="s">
        <v>208</v>
      </c>
      <c r="K56" s="7" t="s">
        <v>18</v>
      </c>
      <c r="L56" s="7" t="s">
        <v>18</v>
      </c>
      <c r="M56" s="7" t="s">
        <v>18</v>
      </c>
      <c r="N56" s="7" t="s">
        <v>18</v>
      </c>
    </row>
    <row r="57" spans="1:14" s="2" customFormat="1" ht="33.75" x14ac:dyDescent="0.15">
      <c r="A57" s="3">
        <v>56</v>
      </c>
      <c r="B57" s="4" t="str">
        <f>IF(COUNTIF(用語集[キーワード],用語集[[#This Row],[キーワード]])&gt;1,"!","")</f>
        <v/>
      </c>
      <c r="C57" s="4" t="str">
        <f>IF(用語集[[#This Row],[キーワード]]="","",IF(OR(用語集[[#This Row],[説明]]="",NOT(ISERROR(FIND("★",用語集[[#This Row],[説明]])))),"★","☆"))</f>
        <v>☆</v>
      </c>
      <c r="D57" s="5" t="s">
        <v>209</v>
      </c>
      <c r="E57" s="3"/>
      <c r="F57" s="3" t="s">
        <v>210</v>
      </c>
      <c r="G57" s="4"/>
      <c r="H57" s="4"/>
      <c r="I57" s="7" t="s">
        <v>207</v>
      </c>
      <c r="J57" s="6" t="s">
        <v>208</v>
      </c>
      <c r="K57" s="7" t="s">
        <v>18</v>
      </c>
      <c r="L57" s="7" t="s">
        <v>18</v>
      </c>
      <c r="M57" s="7" t="s">
        <v>18</v>
      </c>
      <c r="N57" s="7" t="s">
        <v>18</v>
      </c>
    </row>
    <row r="58" spans="1:14" s="2" customFormat="1" ht="22.5" x14ac:dyDescent="0.15">
      <c r="A58" s="3">
        <v>57</v>
      </c>
      <c r="B58" s="4" t="str">
        <f>IF(COUNTIF(用語集[キーワード],用語集[[#This Row],[キーワード]])&gt;1,"!","")</f>
        <v/>
      </c>
      <c r="C58" s="4" t="str">
        <f>IF(用語集[[#This Row],[キーワード]]="","",IF(OR(用語集[[#This Row],[説明]]="",NOT(ISERROR(FIND("★",用語集[[#This Row],[説明]])))),"★","☆"))</f>
        <v>☆</v>
      </c>
      <c r="D58" s="5" t="s">
        <v>211</v>
      </c>
      <c r="E58" s="3"/>
      <c r="F58" s="3" t="s">
        <v>212</v>
      </c>
      <c r="G58" s="4"/>
      <c r="H58" s="4"/>
      <c r="I58" s="7" t="s">
        <v>207</v>
      </c>
      <c r="J58" s="6" t="s">
        <v>208</v>
      </c>
      <c r="K58" s="7" t="s">
        <v>18</v>
      </c>
      <c r="L58" s="7" t="s">
        <v>18</v>
      </c>
      <c r="M58" s="7" t="s">
        <v>18</v>
      </c>
      <c r="N58" s="7" t="s">
        <v>18</v>
      </c>
    </row>
    <row r="59" spans="1:14" s="2" customFormat="1" ht="90" x14ac:dyDescent="0.15">
      <c r="A59" s="3">
        <v>58</v>
      </c>
      <c r="B59" s="4" t="str">
        <f>IF(COUNTIF(用語集[キーワード],用語集[[#This Row],[キーワード]])&gt;1,"!","")</f>
        <v/>
      </c>
      <c r="C59" s="4" t="str">
        <f>IF(用語集[[#This Row],[キーワード]]="","",IF(OR(用語集[[#This Row],[説明]]="",NOT(ISERROR(FIND("★",用語集[[#This Row],[説明]])))),"★","☆"))</f>
        <v>☆</v>
      </c>
      <c r="D59" s="5" t="s">
        <v>213</v>
      </c>
      <c r="E59" s="3"/>
      <c r="F59" s="3" t="s">
        <v>317</v>
      </c>
      <c r="G59" s="4"/>
      <c r="H59" s="4"/>
      <c r="I59" s="7" t="s">
        <v>207</v>
      </c>
      <c r="J59" s="6" t="s">
        <v>214</v>
      </c>
      <c r="K59" s="6" t="s">
        <v>215</v>
      </c>
      <c r="L59" s="7" t="s">
        <v>18</v>
      </c>
      <c r="M59" s="7" t="s">
        <v>18</v>
      </c>
      <c r="N59" s="7" t="s">
        <v>18</v>
      </c>
    </row>
    <row r="60" spans="1:14" s="2" customFormat="1" ht="67.5" x14ac:dyDescent="0.15">
      <c r="A60" s="3">
        <v>59</v>
      </c>
      <c r="B60" s="4" t="str">
        <f>IF(COUNTIF(用語集[キーワード],用語集[[#This Row],[キーワード]])&gt;1,"!","")</f>
        <v/>
      </c>
      <c r="C60" s="4" t="str">
        <f>IF(用語集[[#This Row],[キーワード]]="","",IF(OR(用語集[[#This Row],[説明]]="",NOT(ISERROR(FIND("★",用語集[[#This Row],[説明]])))),"★","☆"))</f>
        <v>☆</v>
      </c>
      <c r="D60" s="5" t="s">
        <v>216</v>
      </c>
      <c r="E60" s="3"/>
      <c r="F60" s="3" t="s">
        <v>217</v>
      </c>
      <c r="G60" s="4"/>
      <c r="H60" s="4"/>
      <c r="I60" s="7" t="s">
        <v>207</v>
      </c>
      <c r="J60" s="7" t="s">
        <v>18</v>
      </c>
      <c r="K60" s="7" t="s">
        <v>18</v>
      </c>
      <c r="L60" s="7" t="s">
        <v>18</v>
      </c>
      <c r="M60" s="7" t="s">
        <v>18</v>
      </c>
      <c r="N60" s="7" t="s">
        <v>18</v>
      </c>
    </row>
    <row r="61" spans="1:14" s="2" customFormat="1" ht="56.25" x14ac:dyDescent="0.15">
      <c r="A61" s="3">
        <v>60</v>
      </c>
      <c r="B61" s="4" t="str">
        <f>IF(COUNTIF(用語集[キーワード],用語集[[#This Row],[キーワード]])&gt;1,"!","")</f>
        <v/>
      </c>
      <c r="C61" s="4" t="str">
        <f>IF(用語集[[#This Row],[キーワード]]="","",IF(OR(用語集[[#This Row],[説明]]="",NOT(ISERROR(FIND("★",用語集[[#This Row],[説明]])))),"★","☆"))</f>
        <v>☆</v>
      </c>
      <c r="D61" s="5" t="s">
        <v>218</v>
      </c>
      <c r="E61" s="3"/>
      <c r="F61" s="3" t="s">
        <v>219</v>
      </c>
      <c r="G61" s="4"/>
      <c r="H61" s="4" t="s">
        <v>220</v>
      </c>
      <c r="I61" s="7" t="s">
        <v>207</v>
      </c>
      <c r="J61" s="6" t="s">
        <v>221</v>
      </c>
      <c r="K61" s="7" t="s">
        <v>18</v>
      </c>
      <c r="L61" s="7" t="s">
        <v>18</v>
      </c>
      <c r="M61" s="7" t="s">
        <v>18</v>
      </c>
      <c r="N61" s="7" t="s">
        <v>18</v>
      </c>
    </row>
    <row r="62" spans="1:14" s="2" customFormat="1" x14ac:dyDescent="0.15">
      <c r="A62" s="3">
        <v>61</v>
      </c>
      <c r="B62" s="4" t="str">
        <f>IF(COUNTIF(用語集[キーワード],用語集[[#This Row],[キーワード]])&gt;1,"!","")</f>
        <v/>
      </c>
      <c r="C62" s="4" t="str">
        <f>IF(用語集[[#This Row],[キーワード]]="","",IF(OR(用語集[[#This Row],[説明]]="",NOT(ISERROR(FIND("★",用語集[[#This Row],[説明]])))),"★","☆"))</f>
        <v>☆</v>
      </c>
      <c r="D62" s="5" t="s">
        <v>222</v>
      </c>
      <c r="E62" s="3"/>
      <c r="F62" s="3" t="s">
        <v>223</v>
      </c>
      <c r="G62" s="4"/>
      <c r="H62" s="4" t="s">
        <v>224</v>
      </c>
      <c r="I62" s="7" t="s">
        <v>18</v>
      </c>
      <c r="J62" s="6" t="s">
        <v>225</v>
      </c>
      <c r="K62" s="6" t="s">
        <v>226</v>
      </c>
      <c r="L62" s="7" t="s">
        <v>18</v>
      </c>
      <c r="M62" s="7" t="s">
        <v>18</v>
      </c>
      <c r="N62" s="7" t="s">
        <v>18</v>
      </c>
    </row>
    <row r="63" spans="1:14" s="2" customFormat="1" x14ac:dyDescent="0.15">
      <c r="A63" s="3">
        <v>62</v>
      </c>
      <c r="B63" s="4" t="str">
        <f>IF(COUNTIF(用語集[キーワード],用語集[[#This Row],[キーワード]])&gt;1,"!","")</f>
        <v/>
      </c>
      <c r="C63" s="4" t="str">
        <f>IF(用語集[[#This Row],[キーワード]]="","",IF(OR(用語集[[#This Row],[説明]]="",NOT(ISERROR(FIND("★",用語集[[#This Row],[説明]])))),"★","☆"))</f>
        <v>☆</v>
      </c>
      <c r="D63" s="5" t="s">
        <v>227</v>
      </c>
      <c r="E63" s="3"/>
      <c r="F63" s="3" t="s">
        <v>228</v>
      </c>
      <c r="G63" s="4"/>
      <c r="H63" s="4" t="s">
        <v>224</v>
      </c>
      <c r="I63" s="7" t="s">
        <v>18</v>
      </c>
      <c r="J63" s="6" t="s">
        <v>225</v>
      </c>
      <c r="K63" s="6" t="s">
        <v>226</v>
      </c>
      <c r="L63" s="7" t="s">
        <v>18</v>
      </c>
      <c r="M63" s="7" t="s">
        <v>18</v>
      </c>
      <c r="N63" s="7" t="s">
        <v>18</v>
      </c>
    </row>
    <row r="64" spans="1:14" s="2" customFormat="1" x14ac:dyDescent="0.15">
      <c r="A64" s="3">
        <v>63</v>
      </c>
      <c r="B64" s="4" t="str">
        <f>IF(COUNTIF(用語集[キーワード],用語集[[#This Row],[キーワード]])&gt;1,"!","")</f>
        <v/>
      </c>
      <c r="C64" s="4" t="str">
        <f>IF(用語集[[#This Row],[キーワード]]="","",IF(OR(用語集[[#This Row],[説明]]="",NOT(ISERROR(FIND("★",用語集[[#This Row],[説明]])))),"★","☆"))</f>
        <v>☆</v>
      </c>
      <c r="D64" s="5" t="s">
        <v>229</v>
      </c>
      <c r="E64" s="3"/>
      <c r="F64" s="3" t="s">
        <v>230</v>
      </c>
      <c r="G64" s="4" t="s">
        <v>231</v>
      </c>
      <c r="H64" s="4" t="s">
        <v>232</v>
      </c>
      <c r="I64" s="7" t="s">
        <v>18</v>
      </c>
      <c r="J64" s="6" t="s">
        <v>233</v>
      </c>
      <c r="K64" s="7" t="s">
        <v>18</v>
      </c>
      <c r="L64" s="7" t="s">
        <v>18</v>
      </c>
      <c r="M64" s="7" t="s">
        <v>18</v>
      </c>
      <c r="N64" s="7" t="s">
        <v>18</v>
      </c>
    </row>
    <row r="65" spans="1:14" s="2" customFormat="1" x14ac:dyDescent="0.15">
      <c r="A65" s="3">
        <v>64</v>
      </c>
      <c r="B65" s="4" t="str">
        <f>IF(COUNTIF(用語集[キーワード],用語集[[#This Row],[キーワード]])&gt;1,"!","")</f>
        <v/>
      </c>
      <c r="C65" s="4" t="str">
        <f>IF(用語集[[#This Row],[キーワード]]="","",IF(OR(用語集[[#This Row],[説明]]="",NOT(ISERROR(FIND("★",用語集[[#This Row],[説明]])))),"★","☆"))</f>
        <v>☆</v>
      </c>
      <c r="D65" s="5" t="s">
        <v>234</v>
      </c>
      <c r="E65" s="3" t="s">
        <v>235</v>
      </c>
      <c r="F65" s="3" t="s">
        <v>236</v>
      </c>
      <c r="G65" s="4"/>
      <c r="H65" s="4"/>
      <c r="I65" s="7" t="s">
        <v>18</v>
      </c>
      <c r="J65" s="6" t="s">
        <v>225</v>
      </c>
      <c r="K65" s="7" t="s">
        <v>18</v>
      </c>
      <c r="L65" s="7" t="s">
        <v>18</v>
      </c>
      <c r="M65" s="7" t="s">
        <v>18</v>
      </c>
      <c r="N65" s="7" t="s">
        <v>18</v>
      </c>
    </row>
    <row r="66" spans="1:14" s="2" customFormat="1" x14ac:dyDescent="0.15">
      <c r="A66" s="3">
        <v>65</v>
      </c>
      <c r="B66" s="4" t="str">
        <f>IF(COUNTIF(用語集[キーワード],用語集[[#This Row],[キーワード]])&gt;1,"!","")</f>
        <v/>
      </c>
      <c r="C66" s="4" t="str">
        <f>IF(用語集[[#This Row],[キーワード]]="","",IF(OR(用語集[[#This Row],[説明]]="",NOT(ISERROR(FIND("★",用語集[[#This Row],[説明]])))),"★","☆"))</f>
        <v>☆</v>
      </c>
      <c r="D66" s="5" t="s">
        <v>237</v>
      </c>
      <c r="E66" s="3" t="s">
        <v>238</v>
      </c>
      <c r="F66" s="3" t="s">
        <v>239</v>
      </c>
      <c r="G66" s="4"/>
      <c r="H66" s="4"/>
      <c r="I66" s="7" t="s">
        <v>18</v>
      </c>
      <c r="J66" s="6" t="s">
        <v>225</v>
      </c>
      <c r="K66" s="7" t="s">
        <v>18</v>
      </c>
      <c r="L66" s="7" t="s">
        <v>18</v>
      </c>
      <c r="M66" s="7" t="s">
        <v>18</v>
      </c>
      <c r="N66" s="7" t="s">
        <v>18</v>
      </c>
    </row>
    <row r="67" spans="1:14" s="2" customFormat="1" ht="78.75" x14ac:dyDescent="0.15">
      <c r="A67" s="3">
        <v>66</v>
      </c>
      <c r="B67" s="4" t="str">
        <f>IF(COUNTIF(用語集[キーワード],用語集[[#This Row],[キーワード]])&gt;1,"!","")</f>
        <v/>
      </c>
      <c r="C67" s="4" t="str">
        <f>IF(用語集[[#This Row],[キーワード]]="","",IF(OR(用語集[[#This Row],[説明]]="",NOT(ISERROR(FIND("★",用語集[[#This Row],[説明]])))),"★","☆"))</f>
        <v>☆</v>
      </c>
      <c r="D67" s="5" t="s">
        <v>240</v>
      </c>
      <c r="E67" s="3"/>
      <c r="F67" s="5" t="s">
        <v>241</v>
      </c>
      <c r="G67" s="4"/>
      <c r="H67" s="4"/>
      <c r="I67" s="6" t="s">
        <v>242</v>
      </c>
      <c r="J67" s="6" t="s">
        <v>243</v>
      </c>
      <c r="K67" s="6" t="s">
        <v>244</v>
      </c>
      <c r="L67" s="7" t="s">
        <v>18</v>
      </c>
      <c r="M67" s="7" t="s">
        <v>18</v>
      </c>
      <c r="N67" s="7" t="s">
        <v>18</v>
      </c>
    </row>
    <row r="68" spans="1:14" s="2" customFormat="1" ht="22.5" x14ac:dyDescent="0.15">
      <c r="A68" s="3">
        <v>67</v>
      </c>
      <c r="B68" s="4" t="str">
        <f>IF(COUNTIF(用語集[キーワード],用語集[[#This Row],[キーワード]])&gt;1,"!","")</f>
        <v/>
      </c>
      <c r="C68" s="4" t="str">
        <f>IF(用語集[[#This Row],[キーワード]]="","",IF(OR(用語集[[#This Row],[説明]]="",NOT(ISERROR(FIND("★",用語集[[#This Row],[説明]])))),"★","☆"))</f>
        <v>☆</v>
      </c>
      <c r="D68" s="5" t="s">
        <v>245</v>
      </c>
      <c r="E68" s="3"/>
      <c r="F68" s="3" t="s">
        <v>246</v>
      </c>
      <c r="G68" s="4"/>
      <c r="H68" s="4"/>
      <c r="I68" s="6" t="s">
        <v>242</v>
      </c>
      <c r="J68" s="6" t="s">
        <v>247</v>
      </c>
      <c r="K68" s="6" t="s">
        <v>248</v>
      </c>
      <c r="L68" s="7" t="s">
        <v>18</v>
      </c>
      <c r="M68" s="7" t="s">
        <v>18</v>
      </c>
      <c r="N68" s="7" t="s">
        <v>18</v>
      </c>
    </row>
    <row r="69" spans="1:14" s="2" customFormat="1" x14ac:dyDescent="0.15">
      <c r="A69" s="3">
        <v>68</v>
      </c>
      <c r="B69" s="4" t="str">
        <f>IF(COUNTIF(用語集[キーワード],用語集[[#This Row],[キーワード]])&gt;1,"!","")</f>
        <v/>
      </c>
      <c r="C69" s="4" t="str">
        <f>IF(用語集[[#This Row],[キーワード]]="","",IF(OR(用語集[[#This Row],[説明]]="",NOT(ISERROR(FIND("★",用語集[[#This Row],[説明]])))),"★","☆"))</f>
        <v>☆</v>
      </c>
      <c r="D69" s="5" t="s">
        <v>249</v>
      </c>
      <c r="E69" s="3"/>
      <c r="F69" s="3" t="s">
        <v>250</v>
      </c>
      <c r="G69" s="4"/>
      <c r="H69" s="4"/>
      <c r="I69" s="6" t="s">
        <v>251</v>
      </c>
      <c r="J69" s="6" t="s">
        <v>252</v>
      </c>
      <c r="K69" s="7" t="s">
        <v>18</v>
      </c>
      <c r="L69" s="7" t="s">
        <v>18</v>
      </c>
      <c r="M69" s="7" t="s">
        <v>18</v>
      </c>
      <c r="N69" s="7" t="s">
        <v>18</v>
      </c>
    </row>
    <row r="70" spans="1:14" s="2" customFormat="1" x14ac:dyDescent="0.15">
      <c r="A70" s="3">
        <v>69</v>
      </c>
      <c r="B70" s="4" t="str">
        <f>IF(COUNTIF(用語集[キーワード],用語集[[#This Row],[キーワード]])&gt;1,"!","")</f>
        <v/>
      </c>
      <c r="C70" s="4" t="str">
        <f>IF(用語集[[#This Row],[キーワード]]="","",IF(OR(用語集[[#This Row],[説明]]="",NOT(ISERROR(FIND("★",用語集[[#This Row],[説明]])))),"★","☆"))</f>
        <v>☆</v>
      </c>
      <c r="D70" s="5" t="s">
        <v>253</v>
      </c>
      <c r="E70" s="3"/>
      <c r="F70" s="3" t="s">
        <v>254</v>
      </c>
      <c r="G70" s="4"/>
      <c r="H70" s="4"/>
      <c r="I70" s="6" t="s">
        <v>255</v>
      </c>
      <c r="J70" s="6" t="s">
        <v>256</v>
      </c>
      <c r="K70" s="7" t="s">
        <v>18</v>
      </c>
      <c r="L70" s="7" t="s">
        <v>18</v>
      </c>
      <c r="M70" s="7" t="s">
        <v>18</v>
      </c>
      <c r="N70" s="7" t="s">
        <v>18</v>
      </c>
    </row>
    <row r="71" spans="1:14" s="2" customFormat="1" ht="33.75" x14ac:dyDescent="0.15">
      <c r="A71" s="3">
        <v>70</v>
      </c>
      <c r="B71" s="4" t="str">
        <f>IF(COUNTIF(用語集[キーワード],用語集[[#This Row],[キーワード]])&gt;1,"!","")</f>
        <v/>
      </c>
      <c r="C71" s="4" t="str">
        <f>IF(用語集[[#This Row],[キーワード]]="","",IF(OR(用語集[[#This Row],[説明]]="",NOT(ISERROR(FIND("★",用語集[[#This Row],[説明]])))),"★","☆"))</f>
        <v>☆</v>
      </c>
      <c r="D71" s="5" t="s">
        <v>257</v>
      </c>
      <c r="E71" s="3" t="s">
        <v>258</v>
      </c>
      <c r="F71" s="3" t="s">
        <v>259</v>
      </c>
      <c r="G71" s="4"/>
      <c r="H71" s="4"/>
      <c r="I71" s="7" t="s">
        <v>260</v>
      </c>
      <c r="J71" s="6" t="s">
        <v>261</v>
      </c>
      <c r="K71" s="7" t="s">
        <v>18</v>
      </c>
      <c r="L71" s="7" t="s">
        <v>18</v>
      </c>
      <c r="M71" s="7" t="s">
        <v>18</v>
      </c>
      <c r="N71" s="7" t="s">
        <v>18</v>
      </c>
    </row>
    <row r="72" spans="1:14" s="2" customFormat="1" ht="33.75" x14ac:dyDescent="0.15">
      <c r="A72" s="3">
        <v>71</v>
      </c>
      <c r="B72" s="4" t="str">
        <f>IF(COUNTIF(用語集[キーワード],用語集[[#This Row],[キーワード]])&gt;1,"!","")</f>
        <v/>
      </c>
      <c r="C72" s="4" t="str">
        <f>IF(用語集[[#This Row],[キーワード]]="","",IF(OR(用語集[[#This Row],[説明]]="",NOT(ISERROR(FIND("★",用語集[[#This Row],[説明]])))),"★","☆"))</f>
        <v>☆</v>
      </c>
      <c r="D72" s="5" t="s">
        <v>262</v>
      </c>
      <c r="E72" s="3" t="s">
        <v>263</v>
      </c>
      <c r="F72" s="3" t="s">
        <v>264</v>
      </c>
      <c r="G72" s="4"/>
      <c r="H72" s="4"/>
      <c r="I72" s="7" t="s">
        <v>260</v>
      </c>
      <c r="J72" s="6" t="s">
        <v>261</v>
      </c>
      <c r="K72" s="7" t="s">
        <v>18</v>
      </c>
      <c r="L72" s="7" t="s">
        <v>18</v>
      </c>
      <c r="M72" s="7" t="s">
        <v>18</v>
      </c>
      <c r="N72" s="7" t="s">
        <v>18</v>
      </c>
    </row>
    <row r="73" spans="1:14" s="2" customFormat="1" ht="22.5" x14ac:dyDescent="0.15">
      <c r="A73" s="3">
        <v>72</v>
      </c>
      <c r="B73" s="4" t="str">
        <f>IF(COUNTIF(用語集[キーワード],用語集[[#This Row],[キーワード]])&gt;1,"!","")</f>
        <v/>
      </c>
      <c r="C73" s="4" t="str">
        <f>IF(用語集[[#This Row],[キーワード]]="","",IF(OR(用語集[[#This Row],[説明]]="",NOT(ISERROR(FIND("★",用語集[[#This Row],[説明]])))),"★","☆"))</f>
        <v>☆</v>
      </c>
      <c r="D73" s="5" t="s">
        <v>265</v>
      </c>
      <c r="E73" s="3" t="s">
        <v>266</v>
      </c>
      <c r="F73" s="3" t="s">
        <v>267</v>
      </c>
      <c r="G73" s="4"/>
      <c r="H73" s="4" t="s">
        <v>268</v>
      </c>
      <c r="I73" s="7" t="s">
        <v>18</v>
      </c>
      <c r="J73" s="6" t="s">
        <v>269</v>
      </c>
      <c r="K73" s="7" t="s">
        <v>18</v>
      </c>
      <c r="L73" s="7" t="s">
        <v>18</v>
      </c>
      <c r="M73" s="7" t="s">
        <v>18</v>
      </c>
      <c r="N73" s="7" t="s">
        <v>18</v>
      </c>
    </row>
    <row r="74" spans="1:14" s="2" customFormat="1" ht="22.5" x14ac:dyDescent="0.15">
      <c r="A74" s="3">
        <v>73</v>
      </c>
      <c r="B74" s="4" t="str">
        <f>IF(COUNTIF(用語集[キーワード],用語集[[#This Row],[キーワード]])&gt;1,"!","")</f>
        <v/>
      </c>
      <c r="C74" s="4" t="str">
        <f>IF(用語集[[#This Row],[キーワード]]="","",IF(OR(用語集[[#This Row],[説明]]="",NOT(ISERROR(FIND("★",用語集[[#This Row],[説明]])))),"★","☆"))</f>
        <v>☆</v>
      </c>
      <c r="D74" s="5" t="s">
        <v>270</v>
      </c>
      <c r="E74" s="3" t="s">
        <v>271</v>
      </c>
      <c r="F74" s="3" t="s">
        <v>272</v>
      </c>
      <c r="G74" s="4"/>
      <c r="H74" s="4"/>
      <c r="I74" s="7" t="s">
        <v>273</v>
      </c>
      <c r="J74" s="14" t="s">
        <v>274</v>
      </c>
      <c r="K74" s="7" t="s">
        <v>18</v>
      </c>
      <c r="L74" s="7" t="s">
        <v>18</v>
      </c>
      <c r="M74" s="7" t="s">
        <v>18</v>
      </c>
      <c r="N74" s="7" t="s">
        <v>18</v>
      </c>
    </row>
    <row r="75" spans="1:14" s="2" customFormat="1" ht="22.5" x14ac:dyDescent="0.15">
      <c r="A75" s="15">
        <v>74</v>
      </c>
      <c r="B75" s="16" t="str">
        <f>IF(COUNTIF(用語集[キーワード],用語集[[#This Row],[キーワード]])&gt;1,"!","")</f>
        <v/>
      </c>
      <c r="C75" s="16" t="str">
        <f>IF(用語集[[#This Row],[キーワード]]="","",IF(OR(用語集[[#This Row],[説明]]="",NOT(ISERROR(FIND("★",用語集[[#This Row],[説明]])))),"★","☆"))</f>
        <v>☆</v>
      </c>
      <c r="D75" s="17" t="s">
        <v>356</v>
      </c>
      <c r="E75" s="15"/>
      <c r="F75" s="15" t="s">
        <v>357</v>
      </c>
      <c r="G75" s="16"/>
      <c r="H75" s="16"/>
      <c r="I75" s="18" t="s">
        <v>358</v>
      </c>
      <c r="J75" s="19" t="s">
        <v>359</v>
      </c>
      <c r="K75" s="18" t="s">
        <v>358</v>
      </c>
      <c r="L75" s="18" t="s">
        <v>358</v>
      </c>
      <c r="M75" s="18" t="s">
        <v>358</v>
      </c>
      <c r="N75" s="18" t="s">
        <v>358</v>
      </c>
    </row>
    <row r="76" spans="1:14" s="2" customFormat="1" ht="22.5" x14ac:dyDescent="0.15">
      <c r="A76" s="3">
        <v>75</v>
      </c>
      <c r="B76" s="4" t="str">
        <f>IF(COUNTIF(用語集[キーワード],用語集[[#This Row],[キーワード]])&gt;1,"!","")</f>
        <v/>
      </c>
      <c r="C76" s="4" t="str">
        <f>IF(用語集[[#This Row],[キーワード]]="","",IF(OR(用語集[[#This Row],[説明]]="",NOT(ISERROR(FIND("★",用語集[[#This Row],[説明]])))),"★","☆"))</f>
        <v>☆</v>
      </c>
      <c r="D76" s="5" t="s">
        <v>275</v>
      </c>
      <c r="E76" s="3"/>
      <c r="F76" s="3" t="s">
        <v>276</v>
      </c>
      <c r="G76" s="4"/>
      <c r="H76" s="4"/>
      <c r="I76" s="7" t="s">
        <v>18</v>
      </c>
      <c r="J76" s="14" t="s">
        <v>277</v>
      </c>
      <c r="K76" s="7" t="s">
        <v>18</v>
      </c>
      <c r="L76" s="7" t="s">
        <v>18</v>
      </c>
      <c r="M76" s="7" t="s">
        <v>18</v>
      </c>
      <c r="N76" s="7" t="s">
        <v>18</v>
      </c>
    </row>
    <row r="77" spans="1:14" s="2" customFormat="1" ht="67.5" x14ac:dyDescent="0.15">
      <c r="A77" s="3">
        <v>76</v>
      </c>
      <c r="B77" s="4" t="str">
        <f>IF(COUNTIF(用語集[キーワード],用語集[[#This Row],[キーワード]])&gt;1,"!","")</f>
        <v/>
      </c>
      <c r="C77" s="4" t="str">
        <f>IF(用語集[[#This Row],[キーワード]]="","",IF(OR(用語集[[#This Row],[説明]]="",NOT(ISERROR(FIND("★",用語集[[#This Row],[説明]])))),"★","☆"))</f>
        <v>☆</v>
      </c>
      <c r="D77" s="5" t="s">
        <v>278</v>
      </c>
      <c r="E77" s="3" t="s">
        <v>279</v>
      </c>
      <c r="F77" s="3" t="s">
        <v>331</v>
      </c>
      <c r="G77" s="4"/>
      <c r="H77" s="4"/>
      <c r="I77" s="7" t="s">
        <v>18</v>
      </c>
      <c r="J77" s="14" t="s">
        <v>280</v>
      </c>
      <c r="K77" s="7" t="s">
        <v>18</v>
      </c>
      <c r="L77" s="7" t="s">
        <v>18</v>
      </c>
      <c r="M77" s="7" t="s">
        <v>18</v>
      </c>
      <c r="N77" s="7" t="s">
        <v>18</v>
      </c>
    </row>
    <row r="78" spans="1:14" s="2" customFormat="1" x14ac:dyDescent="0.15">
      <c r="A78" s="3">
        <v>77</v>
      </c>
      <c r="B78" s="4" t="str">
        <f>IF(COUNTIF(用語集[キーワード],用語集[[#This Row],[キーワード]])&gt;1,"!","")</f>
        <v/>
      </c>
      <c r="C78" s="4" t="str">
        <f>IF(用語集[[#This Row],[キーワード]]="","",IF(OR(用語集[[#This Row],[説明]]="",NOT(ISERROR(FIND("★",用語集[[#This Row],[説明]])))),"★","☆"))</f>
        <v>☆</v>
      </c>
      <c r="D78" s="5" t="s">
        <v>281</v>
      </c>
      <c r="E78" s="3"/>
      <c r="F78" s="3" t="s">
        <v>282</v>
      </c>
      <c r="G78" s="4"/>
      <c r="H78" s="4"/>
      <c r="I78" s="7" t="s">
        <v>18</v>
      </c>
      <c r="J78" s="14" t="s">
        <v>283</v>
      </c>
      <c r="K78" s="7" t="s">
        <v>18</v>
      </c>
      <c r="L78" s="7" t="s">
        <v>18</v>
      </c>
      <c r="M78" s="7" t="s">
        <v>18</v>
      </c>
      <c r="N78" s="7" t="s">
        <v>18</v>
      </c>
    </row>
    <row r="79" spans="1:14" s="2" customFormat="1" ht="33.75" x14ac:dyDescent="0.15">
      <c r="A79" s="3">
        <v>78</v>
      </c>
      <c r="B79" s="4" t="str">
        <f>IF(COUNTIF(用語集[キーワード],用語集[[#This Row],[キーワード]])&gt;1,"!","")</f>
        <v/>
      </c>
      <c r="C79" s="4" t="str">
        <f>IF(用語集[[#This Row],[キーワード]]="","",IF(OR(用語集[[#This Row],[説明]]="",NOT(ISERROR(FIND("★",用語集[[#This Row],[説明]])))),"★","☆"))</f>
        <v>☆</v>
      </c>
      <c r="D79" s="5" t="s">
        <v>284</v>
      </c>
      <c r="E79" s="3"/>
      <c r="F79" s="3" t="s">
        <v>285</v>
      </c>
      <c r="G79" s="4"/>
      <c r="H79" s="4"/>
      <c r="I79" s="7" t="s">
        <v>18</v>
      </c>
      <c r="J79" s="14" t="s">
        <v>286</v>
      </c>
      <c r="K79" s="7" t="s">
        <v>18</v>
      </c>
      <c r="L79" s="7" t="s">
        <v>18</v>
      </c>
      <c r="M79" s="7" t="s">
        <v>18</v>
      </c>
      <c r="N79" s="7" t="s">
        <v>18</v>
      </c>
    </row>
    <row r="80" spans="1:14" s="2" customFormat="1" x14ac:dyDescent="0.15">
      <c r="A80" s="3">
        <v>79</v>
      </c>
      <c r="B80" s="4" t="str">
        <f>IF(COUNTIF(用語集[キーワード],用語集[[#This Row],[キーワード]])&gt;1,"!","")</f>
        <v/>
      </c>
      <c r="C80" s="4" t="str">
        <f>IF(用語集[[#This Row],[キーワード]]="","",IF(OR(用語集[[#This Row],[説明]]="",NOT(ISERROR(FIND("★",用語集[[#This Row],[説明]])))),"★","☆"))</f>
        <v>☆</v>
      </c>
      <c r="D80" s="5" t="s">
        <v>287</v>
      </c>
      <c r="E80" s="3"/>
      <c r="F80" s="3" t="s">
        <v>292</v>
      </c>
      <c r="G80" s="4"/>
      <c r="H80" s="4"/>
      <c r="I80" s="14" t="s">
        <v>289</v>
      </c>
      <c r="J80" s="14" t="s">
        <v>288</v>
      </c>
      <c r="K80" s="7" t="s">
        <v>18</v>
      </c>
      <c r="L80" s="7" t="s">
        <v>18</v>
      </c>
      <c r="M80" s="7" t="s">
        <v>18</v>
      </c>
      <c r="N80" s="7" t="s">
        <v>18</v>
      </c>
    </row>
    <row r="81" spans="1:14" s="2" customFormat="1" ht="22.5" x14ac:dyDescent="0.15">
      <c r="A81" s="3">
        <v>80</v>
      </c>
      <c r="B81" s="4" t="str">
        <f>IF(COUNTIF(用語集[キーワード],用語集[[#This Row],[キーワード]])&gt;1,"!","")</f>
        <v/>
      </c>
      <c r="C81" s="4" t="str">
        <f>IF(用語集[[#This Row],[キーワード]]="","",IF(OR(用語集[[#This Row],[説明]]="",NOT(ISERROR(FIND("★",用語集[[#This Row],[説明]])))),"★","☆"))</f>
        <v>☆</v>
      </c>
      <c r="D81" s="5" t="s">
        <v>290</v>
      </c>
      <c r="E81" s="3"/>
      <c r="F81" s="3" t="s">
        <v>291</v>
      </c>
      <c r="G81" s="4"/>
      <c r="H81" s="4"/>
      <c r="I81" s="14" t="s">
        <v>288</v>
      </c>
      <c r="J81" s="14" t="s">
        <v>288</v>
      </c>
      <c r="K81" s="7" t="s">
        <v>18</v>
      </c>
      <c r="L81" s="7" t="s">
        <v>18</v>
      </c>
      <c r="M81" s="7" t="s">
        <v>18</v>
      </c>
      <c r="N81" s="7" t="s">
        <v>18</v>
      </c>
    </row>
    <row r="82" spans="1:14" s="2" customFormat="1" ht="22.5" x14ac:dyDescent="0.15">
      <c r="A82" s="3">
        <v>81</v>
      </c>
      <c r="B82" s="4" t="str">
        <f>IF(COUNTIF(用語集[キーワード],用語集[[#This Row],[キーワード]])&gt;1,"!","")</f>
        <v/>
      </c>
      <c r="C82" s="4" t="str">
        <f>IF(用語集[[#This Row],[キーワード]]="","",IF(OR(用語集[[#This Row],[説明]]="",NOT(ISERROR(FIND("★",用語集[[#This Row],[説明]])))),"★","☆"))</f>
        <v>☆</v>
      </c>
      <c r="D82" s="5" t="s">
        <v>293</v>
      </c>
      <c r="E82" s="3"/>
      <c r="F82" s="3" t="s">
        <v>294</v>
      </c>
      <c r="G82" s="4"/>
      <c r="H82" s="4"/>
      <c r="I82" s="7" t="s">
        <v>18</v>
      </c>
      <c r="J82" s="14" t="s">
        <v>295</v>
      </c>
      <c r="K82" s="7" t="s">
        <v>18</v>
      </c>
      <c r="L82" s="7" t="s">
        <v>18</v>
      </c>
      <c r="M82" s="7" t="s">
        <v>18</v>
      </c>
      <c r="N82" s="7" t="s">
        <v>18</v>
      </c>
    </row>
    <row r="83" spans="1:14" s="2" customFormat="1" x14ac:dyDescent="0.15">
      <c r="A83" s="3">
        <v>82</v>
      </c>
      <c r="B83" s="4" t="str">
        <f>IF(COUNTIF(用語集[キーワード],用語集[[#This Row],[キーワード]])&gt;1,"!","")</f>
        <v/>
      </c>
      <c r="C83" s="4" t="str">
        <f>IF(用語集[[#This Row],[キーワード]]="","",IF(OR(用語集[[#This Row],[説明]]="",NOT(ISERROR(FIND("★",用語集[[#This Row],[説明]])))),"★","☆"))</f>
        <v>☆</v>
      </c>
      <c r="D83" s="5" t="s">
        <v>296</v>
      </c>
      <c r="E83" s="3"/>
      <c r="F83" s="3" t="s">
        <v>297</v>
      </c>
      <c r="G83" s="4"/>
      <c r="H83" s="4"/>
      <c r="I83" s="7" t="s">
        <v>18</v>
      </c>
      <c r="J83" s="14" t="s">
        <v>298</v>
      </c>
      <c r="K83" s="7" t="s">
        <v>18</v>
      </c>
      <c r="L83" s="7" t="s">
        <v>18</v>
      </c>
      <c r="M83" s="7" t="s">
        <v>18</v>
      </c>
      <c r="N83" s="7" t="s">
        <v>18</v>
      </c>
    </row>
    <row r="84" spans="1:14" s="2" customFormat="1" ht="22.5" x14ac:dyDescent="0.15">
      <c r="A84" s="3">
        <v>83</v>
      </c>
      <c r="B84" s="4" t="str">
        <f>IF(COUNTIF(用語集[キーワード],用語集[[#This Row],[キーワード]])&gt;1,"!","")</f>
        <v/>
      </c>
      <c r="C84" s="4" t="str">
        <f>IF(用語集[[#This Row],[キーワード]]="","",IF(OR(用語集[[#This Row],[説明]]="",NOT(ISERROR(FIND("★",用語集[[#This Row],[説明]])))),"★","☆"))</f>
        <v>☆</v>
      </c>
      <c r="D84" s="5" t="s">
        <v>299</v>
      </c>
      <c r="E84" s="3" t="s">
        <v>300</v>
      </c>
      <c r="F84" s="3" t="s">
        <v>330</v>
      </c>
      <c r="G84" s="4"/>
      <c r="H84" s="4"/>
      <c r="I84" s="7" t="s">
        <v>18</v>
      </c>
      <c r="J84" s="14" t="s">
        <v>301</v>
      </c>
      <c r="K84" s="7" t="s">
        <v>18</v>
      </c>
      <c r="L84" s="7" t="s">
        <v>18</v>
      </c>
      <c r="M84" s="7" t="s">
        <v>18</v>
      </c>
      <c r="N84" s="7" t="s">
        <v>18</v>
      </c>
    </row>
    <row r="85" spans="1:14" s="2" customFormat="1" ht="45" x14ac:dyDescent="0.15">
      <c r="A85" s="3">
        <v>84</v>
      </c>
      <c r="B85" s="4" t="str">
        <f>IF(COUNTIF(用語集[キーワード],用語集[[#This Row],[キーワード]])&gt;1,"!","")</f>
        <v/>
      </c>
      <c r="C85" s="4" t="str">
        <f>IF(用語集[[#This Row],[キーワード]]="","",IF(OR(用語集[[#This Row],[説明]]="",NOT(ISERROR(FIND("★",用語集[[#This Row],[説明]])))),"★","☆"))</f>
        <v>☆</v>
      </c>
      <c r="D85" s="5" t="s">
        <v>302</v>
      </c>
      <c r="E85" s="3" t="s">
        <v>303</v>
      </c>
      <c r="F85" s="3" t="s">
        <v>305</v>
      </c>
      <c r="G85" s="4"/>
      <c r="H85" s="4"/>
      <c r="I85" s="14" t="s">
        <v>301</v>
      </c>
      <c r="J85" s="14" t="s">
        <v>304</v>
      </c>
      <c r="K85" s="7" t="s">
        <v>18</v>
      </c>
      <c r="L85" s="7" t="s">
        <v>18</v>
      </c>
      <c r="M85" s="7" t="s">
        <v>18</v>
      </c>
      <c r="N85" s="7" t="s">
        <v>18</v>
      </c>
    </row>
    <row r="86" spans="1:14" s="2" customFormat="1" x14ac:dyDescent="0.15">
      <c r="A86" s="3">
        <v>85</v>
      </c>
      <c r="B86" s="4" t="str">
        <f>IF(COUNTIF(用語集[キーワード],用語集[[#This Row],[キーワード]])&gt;1,"!","")</f>
        <v/>
      </c>
      <c r="C86" s="4" t="str">
        <f>IF(用語集[[#This Row],[キーワード]]="","",IF(OR(用語集[[#This Row],[説明]]="",NOT(ISERROR(FIND("★",用語集[[#This Row],[説明]])))),"★","☆"))</f>
        <v>☆</v>
      </c>
      <c r="D86" s="5" t="s">
        <v>307</v>
      </c>
      <c r="E86" s="3"/>
      <c r="F86" s="3" t="s">
        <v>306</v>
      </c>
      <c r="G86" s="4"/>
      <c r="H86" s="4"/>
      <c r="I86" s="14" t="s">
        <v>309</v>
      </c>
      <c r="J86" s="14" t="s">
        <v>308</v>
      </c>
      <c r="K86" s="7" t="s">
        <v>18</v>
      </c>
      <c r="L86" s="7" t="s">
        <v>18</v>
      </c>
      <c r="M86" s="7" t="s">
        <v>18</v>
      </c>
      <c r="N86" s="7" t="s">
        <v>18</v>
      </c>
    </row>
    <row r="87" spans="1:14" s="2" customFormat="1" ht="22.5" x14ac:dyDescent="0.15">
      <c r="A87" s="3">
        <v>86</v>
      </c>
      <c r="B87" s="4" t="str">
        <f>IF(COUNTIF(用語集[キーワード],用語集[[#This Row],[キーワード]])&gt;1,"!","")</f>
        <v/>
      </c>
      <c r="C87" s="4" t="str">
        <f>IF(用語集[[#This Row],[キーワード]]="","",IF(OR(用語集[[#This Row],[説明]]="",NOT(ISERROR(FIND("★",用語集[[#This Row],[説明]])))),"★","☆"))</f>
        <v>☆</v>
      </c>
      <c r="D87" s="5" t="s">
        <v>310</v>
      </c>
      <c r="E87" s="3"/>
      <c r="F87" s="3" t="s">
        <v>311</v>
      </c>
      <c r="G87" s="4"/>
      <c r="H87" s="4"/>
      <c r="I87" s="7" t="s">
        <v>313</v>
      </c>
      <c r="J87" s="14" t="s">
        <v>312</v>
      </c>
      <c r="K87" s="7" t="s">
        <v>18</v>
      </c>
      <c r="L87" s="7" t="s">
        <v>18</v>
      </c>
      <c r="M87" s="7" t="s">
        <v>18</v>
      </c>
      <c r="N87" s="7" t="s">
        <v>18</v>
      </c>
    </row>
    <row r="88" spans="1:14" s="2" customFormat="1" x14ac:dyDescent="0.15">
      <c r="A88" s="3">
        <v>87</v>
      </c>
      <c r="B88" s="4" t="str">
        <f>IF(COUNTIF(用語集[キーワード],用語集[[#This Row],[キーワード]])&gt;1,"!","")</f>
        <v/>
      </c>
      <c r="C88" s="4" t="str">
        <f>IF(用語集[[#This Row],[キーワード]]="","",IF(OR(用語集[[#This Row],[説明]]="",NOT(ISERROR(FIND("★",用語集[[#This Row],[説明]])))),"★","☆"))</f>
        <v>☆</v>
      </c>
      <c r="D88" s="5" t="s">
        <v>314</v>
      </c>
      <c r="E88" s="3"/>
      <c r="F88" s="3" t="s">
        <v>315</v>
      </c>
      <c r="G88" s="4"/>
      <c r="H88" s="4"/>
      <c r="I88" s="7" t="s">
        <v>18</v>
      </c>
      <c r="J88" s="14" t="s">
        <v>316</v>
      </c>
      <c r="K88" s="7" t="s">
        <v>18</v>
      </c>
      <c r="L88" s="7" t="s">
        <v>18</v>
      </c>
      <c r="M88" s="7" t="s">
        <v>18</v>
      </c>
      <c r="N88" s="7" t="s">
        <v>18</v>
      </c>
    </row>
    <row r="89" spans="1:14" s="2" customFormat="1" ht="33.75" x14ac:dyDescent="0.15">
      <c r="A89" s="3">
        <v>88</v>
      </c>
      <c r="B89" s="4" t="str">
        <f>IF(COUNTIF(用語集[キーワード],用語集[[#This Row],[キーワード]])&gt;1,"!","")</f>
        <v/>
      </c>
      <c r="C89" s="4" t="str">
        <f>IF(用語集[[#This Row],[キーワード]]="","",IF(OR(用語集[[#This Row],[説明]]="",NOT(ISERROR(FIND("★",用語集[[#This Row],[説明]])))),"★","☆"))</f>
        <v>☆</v>
      </c>
      <c r="D89" s="5" t="s">
        <v>318</v>
      </c>
      <c r="E89" s="3" t="s">
        <v>319</v>
      </c>
      <c r="F89" s="3" t="s">
        <v>320</v>
      </c>
      <c r="G89" s="4"/>
      <c r="H89" s="4"/>
      <c r="I89" s="7" t="s">
        <v>18</v>
      </c>
      <c r="J89" s="14" t="s">
        <v>321</v>
      </c>
      <c r="K89" s="7" t="s">
        <v>18</v>
      </c>
      <c r="L89" s="7" t="s">
        <v>18</v>
      </c>
      <c r="M89" s="7" t="s">
        <v>18</v>
      </c>
      <c r="N89" s="7" t="s">
        <v>18</v>
      </c>
    </row>
    <row r="90" spans="1:14" s="2" customFormat="1" x14ac:dyDescent="0.15">
      <c r="A90" s="3">
        <v>89</v>
      </c>
      <c r="B90" s="4" t="str">
        <f>IF(COUNTIF(用語集[キーワード],用語集[[#This Row],[キーワード]])&gt;1,"!","")</f>
        <v/>
      </c>
      <c r="C90" s="4" t="str">
        <f>IF(用語集[[#This Row],[キーワード]]="","",IF(OR(用語集[[#This Row],[説明]]="",NOT(ISERROR(FIND("★",用語集[[#This Row],[説明]])))),"★","☆"))</f>
        <v>☆</v>
      </c>
      <c r="D90" s="5" t="s">
        <v>322</v>
      </c>
      <c r="E90" s="3"/>
      <c r="F90" s="3" t="s">
        <v>323</v>
      </c>
      <c r="G90" s="4"/>
      <c r="H90" s="4"/>
      <c r="I90" s="7" t="s">
        <v>18</v>
      </c>
      <c r="J90" s="14" t="s">
        <v>324</v>
      </c>
      <c r="K90" s="7" t="s">
        <v>18</v>
      </c>
      <c r="L90" s="7" t="s">
        <v>18</v>
      </c>
      <c r="M90" s="7" t="s">
        <v>18</v>
      </c>
      <c r="N90" s="7" t="s">
        <v>18</v>
      </c>
    </row>
    <row r="91" spans="1:14" s="2" customFormat="1" x14ac:dyDescent="0.15">
      <c r="A91" s="3">
        <v>90</v>
      </c>
      <c r="B91" s="4" t="str">
        <f>IF(COUNTIF(用語集[キーワード],用語集[[#This Row],[キーワード]])&gt;1,"!","")</f>
        <v/>
      </c>
      <c r="C91" s="4" t="str">
        <f>IF(用語集[[#This Row],[キーワード]]="","",IF(OR(用語集[[#This Row],[説明]]="",NOT(ISERROR(FIND("★",用語集[[#This Row],[説明]])))),"★","☆"))</f>
        <v>☆</v>
      </c>
      <c r="D91" s="5" t="s">
        <v>325</v>
      </c>
      <c r="E91" s="3" t="s">
        <v>326</v>
      </c>
      <c r="F91" s="3" t="s">
        <v>327</v>
      </c>
      <c r="G91" s="4"/>
      <c r="H91" s="4"/>
      <c r="I91" s="14" t="s">
        <v>328</v>
      </c>
      <c r="J91" s="14" t="s">
        <v>329</v>
      </c>
      <c r="K91" s="7" t="s">
        <v>18</v>
      </c>
      <c r="L91" s="7" t="s">
        <v>18</v>
      </c>
      <c r="M91" s="7" t="s">
        <v>18</v>
      </c>
      <c r="N91" s="7" t="s">
        <v>18</v>
      </c>
    </row>
    <row r="92" spans="1:14" s="2" customFormat="1" x14ac:dyDescent="0.15">
      <c r="A92" s="3">
        <v>91</v>
      </c>
      <c r="B92" s="4" t="str">
        <f>IF(COUNTIF(用語集[キーワード],用語集[[#This Row],[キーワード]])&gt;1,"!","")</f>
        <v/>
      </c>
      <c r="C92" s="4" t="str">
        <f>IF(用語集[[#This Row],[キーワード]]="","",IF(OR(用語集[[#This Row],[説明]]="",NOT(ISERROR(FIND("★",用語集[[#This Row],[説明]])))),"★","☆"))</f>
        <v>☆</v>
      </c>
      <c r="D92" s="5" t="s">
        <v>332</v>
      </c>
      <c r="E92" s="3" t="s">
        <v>333</v>
      </c>
      <c r="F92" s="3" t="s">
        <v>334</v>
      </c>
      <c r="G92" s="4"/>
      <c r="H92" s="4"/>
      <c r="I92" s="7" t="s">
        <v>18</v>
      </c>
      <c r="J92" s="14" t="s">
        <v>335</v>
      </c>
      <c r="K92" s="7" t="s">
        <v>18</v>
      </c>
      <c r="L92" s="7" t="s">
        <v>18</v>
      </c>
      <c r="M92" s="7" t="s">
        <v>18</v>
      </c>
      <c r="N92" s="7" t="s">
        <v>18</v>
      </c>
    </row>
    <row r="93" spans="1:14" s="2" customFormat="1" ht="22.5" x14ac:dyDescent="0.15">
      <c r="A93" s="3">
        <v>92</v>
      </c>
      <c r="B93" s="4" t="str">
        <f>IF(COUNTIF(用語集[キーワード],用語集[[#This Row],[キーワード]])&gt;1,"!","")</f>
        <v/>
      </c>
      <c r="C93" s="4" t="str">
        <f>IF(用語集[[#This Row],[キーワード]]="","",IF(OR(用語集[[#This Row],[説明]]="",NOT(ISERROR(FIND("★",用語集[[#This Row],[説明]])))),"★","☆"))</f>
        <v>☆</v>
      </c>
      <c r="D93" s="5" t="s">
        <v>336</v>
      </c>
      <c r="E93" s="3"/>
      <c r="F93" s="3" t="s">
        <v>337</v>
      </c>
      <c r="G93" s="4"/>
      <c r="H93" s="4"/>
      <c r="I93" s="7" t="s">
        <v>18</v>
      </c>
      <c r="J93" s="14" t="s">
        <v>338</v>
      </c>
      <c r="K93" s="7" t="s">
        <v>18</v>
      </c>
      <c r="L93" s="7" t="s">
        <v>18</v>
      </c>
      <c r="M93" s="7" t="s">
        <v>18</v>
      </c>
      <c r="N93" s="7" t="s">
        <v>18</v>
      </c>
    </row>
    <row r="94" spans="1:14" s="2" customFormat="1" ht="22.5" x14ac:dyDescent="0.15">
      <c r="A94" s="3">
        <v>93</v>
      </c>
      <c r="B94" s="4" t="str">
        <f>IF(COUNTIF(用語集[キーワード],用語集[[#This Row],[キーワード]])&gt;1,"!","")</f>
        <v/>
      </c>
      <c r="C94" s="4" t="str">
        <f>IF(用語集[[#This Row],[キーワード]]="","",IF(OR(用語集[[#This Row],[説明]]="",NOT(ISERROR(FIND("★",用語集[[#This Row],[説明]])))),"★","☆"))</f>
        <v>☆</v>
      </c>
      <c r="D94" s="5" t="s">
        <v>339</v>
      </c>
      <c r="E94" s="3"/>
      <c r="F94" s="3" t="s">
        <v>340</v>
      </c>
      <c r="G94" s="4"/>
      <c r="H94" s="4"/>
      <c r="I94" s="14" t="s">
        <v>342</v>
      </c>
      <c r="J94" s="14" t="s">
        <v>341</v>
      </c>
      <c r="K94" s="7" t="s">
        <v>18</v>
      </c>
      <c r="L94" s="7" t="s">
        <v>18</v>
      </c>
      <c r="M94" s="7" t="s">
        <v>18</v>
      </c>
      <c r="N94" s="7" t="s">
        <v>18</v>
      </c>
    </row>
    <row r="95" spans="1:14" s="2" customFormat="1" ht="22.5" x14ac:dyDescent="0.15">
      <c r="A95" s="3">
        <v>94</v>
      </c>
      <c r="B95" s="4" t="str">
        <f>IF(COUNTIF(用語集[キーワード],用語集[[#This Row],[キーワード]])&gt;1,"!","")</f>
        <v/>
      </c>
      <c r="C95" s="4" t="str">
        <f>IF(用語集[[#This Row],[キーワード]]="","",IF(OR(用語集[[#This Row],[説明]]="",NOT(ISERROR(FIND("★",用語集[[#This Row],[説明]])))),"★","☆"))</f>
        <v>☆</v>
      </c>
      <c r="D95" s="5" t="s">
        <v>343</v>
      </c>
      <c r="E95" s="3" t="s">
        <v>344</v>
      </c>
      <c r="F95" s="3" t="s">
        <v>345</v>
      </c>
      <c r="G95" s="4"/>
      <c r="H95" s="4"/>
      <c r="I95" s="14" t="s">
        <v>342</v>
      </c>
      <c r="J95" s="14" t="s">
        <v>346</v>
      </c>
      <c r="K95" s="7" t="s">
        <v>18</v>
      </c>
      <c r="L95" s="7" t="s">
        <v>18</v>
      </c>
      <c r="M95" s="7" t="s">
        <v>18</v>
      </c>
      <c r="N95" s="7" t="s">
        <v>18</v>
      </c>
    </row>
    <row r="96" spans="1:14" s="2" customFormat="1" x14ac:dyDescent="0.15">
      <c r="A96" s="3">
        <v>95</v>
      </c>
      <c r="B96" s="4" t="str">
        <f>IF(COUNTIF(用語集[キーワード],用語集[[#This Row],[キーワード]])&gt;1,"!","")</f>
        <v/>
      </c>
      <c r="C96" s="4" t="str">
        <f>IF(用語集[[#This Row],[キーワード]]="","",IF(OR(用語集[[#This Row],[説明]]="",NOT(ISERROR(FIND("★",用語集[[#This Row],[説明]])))),"★","☆"))</f>
        <v>☆</v>
      </c>
      <c r="D96" s="5" t="s">
        <v>347</v>
      </c>
      <c r="E96" s="3"/>
      <c r="F96" s="3" t="s">
        <v>348</v>
      </c>
      <c r="G96" s="4"/>
      <c r="H96" s="4"/>
      <c r="I96" s="14" t="s">
        <v>350</v>
      </c>
      <c r="J96" s="14" t="s">
        <v>349</v>
      </c>
      <c r="K96" s="7" t="s">
        <v>18</v>
      </c>
      <c r="L96" s="7" t="s">
        <v>18</v>
      </c>
      <c r="M96" s="7" t="s">
        <v>18</v>
      </c>
      <c r="N96" s="7" t="s">
        <v>18</v>
      </c>
    </row>
    <row r="97" spans="1:14" s="2" customFormat="1" x14ac:dyDescent="0.15">
      <c r="A97" s="3">
        <v>96</v>
      </c>
      <c r="B97" s="4" t="str">
        <f>IF(COUNTIF(用語集[キーワード],用語集[[#This Row],[キーワード]])&gt;1,"!","")</f>
        <v/>
      </c>
      <c r="C97" s="4" t="str">
        <f>IF(用語集[[#This Row],[キーワード]]="","",IF(OR(用語集[[#This Row],[説明]]="",NOT(ISERROR(FIND("★",用語集[[#This Row],[説明]])))),"★","☆"))</f>
        <v>☆</v>
      </c>
      <c r="D97" s="5" t="s">
        <v>351</v>
      </c>
      <c r="E97" s="3"/>
      <c r="F97" s="3" t="s">
        <v>352</v>
      </c>
      <c r="G97" s="4"/>
      <c r="H97" s="4"/>
      <c r="I97" s="7" t="s">
        <v>355</v>
      </c>
      <c r="J97" s="7" t="s">
        <v>355</v>
      </c>
      <c r="K97" s="7" t="s">
        <v>18</v>
      </c>
      <c r="L97" s="7" t="s">
        <v>18</v>
      </c>
      <c r="M97" s="7" t="s">
        <v>18</v>
      </c>
      <c r="N97" s="7" t="s">
        <v>18</v>
      </c>
    </row>
    <row r="98" spans="1:14" s="2" customFormat="1" x14ac:dyDescent="0.15">
      <c r="A98" s="3">
        <v>97</v>
      </c>
      <c r="B98" s="4" t="str">
        <f>IF(COUNTIF(用語集[キーワード],用語集[[#This Row],[キーワード]])&gt;1,"!","")</f>
        <v/>
      </c>
      <c r="C98" s="4" t="str">
        <f>IF(用語集[[#This Row],[キーワード]]="","",IF(OR(用語集[[#This Row],[説明]]="",NOT(ISERROR(FIND("★",用語集[[#This Row],[説明]])))),"★","☆"))</f>
        <v>☆</v>
      </c>
      <c r="D98" s="5" t="s">
        <v>354</v>
      </c>
      <c r="E98" s="3"/>
      <c r="F98" s="3" t="s">
        <v>353</v>
      </c>
      <c r="G98" s="4"/>
      <c r="H98" s="4"/>
      <c r="I98" s="7" t="s">
        <v>355</v>
      </c>
      <c r="J98" s="7" t="s">
        <v>355</v>
      </c>
      <c r="K98" s="7" t="s">
        <v>18</v>
      </c>
      <c r="L98" s="7" t="s">
        <v>18</v>
      </c>
      <c r="M98" s="7" t="s">
        <v>18</v>
      </c>
      <c r="N98" s="7" t="s">
        <v>18</v>
      </c>
    </row>
    <row r="99" spans="1:14" s="2" customFormat="1" x14ac:dyDescent="0.15">
      <c r="A99" s="3">
        <v>98</v>
      </c>
      <c r="B99" s="4" t="str">
        <f>IF(COUNTIF(用語集[キーワード],用語集[[#This Row],[キーワード]])&gt;1,"!","")</f>
        <v/>
      </c>
      <c r="C99" s="4" t="str">
        <f>IF(用語集[[#This Row],[キーワード]]="","",IF(OR(用語集[[#This Row],[説明]]="",NOT(ISERROR(FIND("★",用語集[[#This Row],[説明]])))),"★","☆"))</f>
        <v>☆</v>
      </c>
      <c r="D99" s="22" t="s">
        <v>360</v>
      </c>
      <c r="E99" s="20"/>
      <c r="F99" s="20" t="s">
        <v>361</v>
      </c>
      <c r="G99" s="21"/>
      <c r="H99" s="21"/>
      <c r="I99" s="23" t="s">
        <v>358</v>
      </c>
      <c r="J99" s="24" t="s">
        <v>362</v>
      </c>
      <c r="K99" s="7" t="s">
        <v>18</v>
      </c>
      <c r="L99" s="7" t="s">
        <v>18</v>
      </c>
      <c r="M99" s="7" t="s">
        <v>18</v>
      </c>
      <c r="N99" s="7" t="s">
        <v>18</v>
      </c>
    </row>
    <row r="100" spans="1:14" s="2" customFormat="1" ht="22.5" x14ac:dyDescent="0.15">
      <c r="A100" s="3">
        <v>99</v>
      </c>
      <c r="B100" s="4" t="str">
        <f>IF(COUNTIF(用語集[キーワード],用語集[[#This Row],[キーワード]])&gt;1,"!","")</f>
        <v/>
      </c>
      <c r="C100" s="4" t="str">
        <f>IF(用語集[[#This Row],[キーワード]]="","",IF(OR(用語集[[#This Row],[説明]]="",NOT(ISERROR(FIND("★",用語集[[#This Row],[説明]])))),"★","☆"))</f>
        <v>☆</v>
      </c>
      <c r="D100" s="22" t="s">
        <v>363</v>
      </c>
      <c r="E100" s="20"/>
      <c r="F100" s="20" t="s">
        <v>364</v>
      </c>
      <c r="G100" s="21"/>
      <c r="H100" s="21"/>
      <c r="I100" s="23" t="s">
        <v>358</v>
      </c>
      <c r="J100" s="24" t="s">
        <v>365</v>
      </c>
      <c r="K100" s="7" t="s">
        <v>18</v>
      </c>
      <c r="L100" s="7" t="s">
        <v>18</v>
      </c>
      <c r="M100" s="7" t="s">
        <v>18</v>
      </c>
      <c r="N100" s="7" t="s">
        <v>18</v>
      </c>
    </row>
    <row r="101" spans="1:14" s="2" customFormat="1" x14ac:dyDescent="0.15">
      <c r="A101" s="3">
        <v>100</v>
      </c>
      <c r="B101" s="4" t="str">
        <f>IF(COUNTIF(用語集[キーワード],用語集[[#This Row],[キーワード]])&gt;1,"!","")</f>
        <v/>
      </c>
      <c r="C101" s="4" t="str">
        <f>IF(用語集[[#This Row],[キーワード]]="","",IF(OR(用語集[[#This Row],[説明]]="",NOT(ISERROR(FIND("★",用語集[[#This Row],[説明]])))),"★","☆"))</f>
        <v>☆</v>
      </c>
      <c r="D101" s="22" t="s">
        <v>366</v>
      </c>
      <c r="E101" s="20" t="s">
        <v>367</v>
      </c>
      <c r="F101" s="20" t="s">
        <v>368</v>
      </c>
      <c r="G101" s="21"/>
      <c r="H101" s="21"/>
      <c r="I101" s="23" t="s">
        <v>358</v>
      </c>
      <c r="J101" s="24" t="s">
        <v>369</v>
      </c>
      <c r="K101" s="7" t="s">
        <v>18</v>
      </c>
      <c r="L101" s="7" t="s">
        <v>18</v>
      </c>
      <c r="M101" s="7" t="s">
        <v>18</v>
      </c>
      <c r="N101" s="7" t="s">
        <v>18</v>
      </c>
    </row>
    <row r="102" spans="1:14" s="2" customFormat="1" x14ac:dyDescent="0.15">
      <c r="A102" s="3">
        <v>101</v>
      </c>
      <c r="B102" s="4" t="str">
        <f>IF(COUNTIF(用語集[キーワード],用語集[[#This Row],[キーワード]])&gt;1,"!","")</f>
        <v/>
      </c>
      <c r="C102" s="4" t="str">
        <f>IF(用語集[[#This Row],[キーワード]]="","",IF(OR(用語集[[#This Row],[説明]]="",NOT(ISERROR(FIND("★",用語集[[#This Row],[説明]])))),"★","☆"))</f>
        <v>☆</v>
      </c>
      <c r="D102" s="22" t="s">
        <v>370</v>
      </c>
      <c r="E102" s="20" t="s">
        <v>371</v>
      </c>
      <c r="F102" s="20" t="s">
        <v>372</v>
      </c>
      <c r="G102" s="21"/>
      <c r="H102" s="21"/>
      <c r="I102" s="23" t="s">
        <v>358</v>
      </c>
      <c r="J102" s="23" t="s">
        <v>358</v>
      </c>
      <c r="K102" s="7" t="s">
        <v>18</v>
      </c>
      <c r="L102" s="7" t="s">
        <v>18</v>
      </c>
      <c r="M102" s="7" t="s">
        <v>18</v>
      </c>
      <c r="N102" s="7" t="s">
        <v>18</v>
      </c>
    </row>
    <row r="103" spans="1:14" s="2" customFormat="1" x14ac:dyDescent="0.15">
      <c r="A103" s="3">
        <v>102</v>
      </c>
      <c r="B103" s="4" t="str">
        <f>IF(COUNTIF(用語集[キーワード],用語集[[#This Row],[キーワード]])&gt;1,"!","")</f>
        <v/>
      </c>
      <c r="C103" s="4" t="str">
        <f>IF(用語集[[#This Row],[キーワード]]="","",IF(OR(用語集[[#This Row],[説明]]="",NOT(ISERROR(FIND("★",用語集[[#This Row],[説明]])))),"★","☆"))</f>
        <v/>
      </c>
      <c r="D103" s="5"/>
      <c r="E103" s="3"/>
      <c r="F103" s="3"/>
      <c r="G103" s="4"/>
      <c r="H103" s="4"/>
      <c r="I103" s="7" t="s">
        <v>18</v>
      </c>
      <c r="J103" s="7" t="s">
        <v>18</v>
      </c>
      <c r="K103" s="7" t="s">
        <v>18</v>
      </c>
      <c r="L103" s="7" t="s">
        <v>18</v>
      </c>
      <c r="M103" s="7" t="s">
        <v>18</v>
      </c>
      <c r="N103" s="7" t="s">
        <v>18</v>
      </c>
    </row>
    <row r="104" spans="1:14" s="2" customFormat="1" x14ac:dyDescent="0.15">
      <c r="A104" s="3">
        <v>103</v>
      </c>
      <c r="B104" s="4" t="str">
        <f>IF(COUNTIF(用語集[キーワード],用語集[[#This Row],[キーワード]])&gt;1,"!","")</f>
        <v/>
      </c>
      <c r="C104" s="4" t="str">
        <f>IF(用語集[[#This Row],[キーワード]]="","",IF(OR(用語集[[#This Row],[説明]]="",NOT(ISERROR(FIND("★",用語集[[#This Row],[説明]])))),"★","☆"))</f>
        <v/>
      </c>
      <c r="D104" s="5"/>
      <c r="E104" s="3"/>
      <c r="F104" s="3"/>
      <c r="G104" s="4"/>
      <c r="H104" s="4"/>
      <c r="I104" s="7" t="s">
        <v>18</v>
      </c>
      <c r="J104" s="7" t="s">
        <v>18</v>
      </c>
      <c r="K104" s="7" t="s">
        <v>18</v>
      </c>
      <c r="L104" s="7" t="s">
        <v>18</v>
      </c>
      <c r="M104" s="7" t="s">
        <v>18</v>
      </c>
      <c r="N104" s="7" t="s">
        <v>18</v>
      </c>
    </row>
    <row r="105" spans="1:14" s="2" customFormat="1" x14ac:dyDescent="0.15">
      <c r="A105" s="3">
        <v>104</v>
      </c>
      <c r="B105" s="4" t="str">
        <f>IF(COUNTIF(用語集[キーワード],用語集[[#This Row],[キーワード]])&gt;1,"!","")</f>
        <v/>
      </c>
      <c r="C105" s="4" t="str">
        <f>IF(用語集[[#This Row],[キーワード]]="","",IF(OR(用語集[[#This Row],[説明]]="",NOT(ISERROR(FIND("★",用語集[[#This Row],[説明]])))),"★","☆"))</f>
        <v/>
      </c>
      <c r="D105" s="5"/>
      <c r="E105" s="3"/>
      <c r="F105" s="3"/>
      <c r="G105" s="4"/>
      <c r="H105" s="4"/>
      <c r="I105" s="7" t="s">
        <v>18</v>
      </c>
      <c r="J105" s="7" t="s">
        <v>18</v>
      </c>
      <c r="K105" s="7" t="s">
        <v>18</v>
      </c>
      <c r="L105" s="7" t="s">
        <v>18</v>
      </c>
      <c r="M105" s="7" t="s">
        <v>18</v>
      </c>
      <c r="N105" s="7" t="s">
        <v>18</v>
      </c>
    </row>
    <row r="106" spans="1:14" s="2" customFormat="1" x14ac:dyDescent="0.15">
      <c r="A106" s="3">
        <v>105</v>
      </c>
      <c r="B106" s="4" t="str">
        <f>IF(COUNTIF(用語集[キーワード],用語集[[#This Row],[キーワード]])&gt;1,"!","")</f>
        <v/>
      </c>
      <c r="C106" s="4" t="str">
        <f>IF(用語集[[#This Row],[キーワード]]="","",IF(OR(用語集[[#This Row],[説明]]="",NOT(ISERROR(FIND("★",用語集[[#This Row],[説明]])))),"★","☆"))</f>
        <v/>
      </c>
      <c r="D106" s="5"/>
      <c r="E106" s="3"/>
      <c r="F106" s="3"/>
      <c r="G106" s="4"/>
      <c r="H106" s="4"/>
      <c r="I106" s="7" t="s">
        <v>18</v>
      </c>
      <c r="J106" s="7" t="s">
        <v>18</v>
      </c>
      <c r="K106" s="7" t="s">
        <v>18</v>
      </c>
      <c r="L106" s="7" t="s">
        <v>18</v>
      </c>
      <c r="M106" s="7" t="s">
        <v>18</v>
      </c>
      <c r="N106" s="7" t="s">
        <v>18</v>
      </c>
    </row>
    <row r="107" spans="1:14" s="2" customFormat="1" x14ac:dyDescent="0.15">
      <c r="A107" s="3">
        <v>106</v>
      </c>
      <c r="B107" s="4" t="str">
        <f>IF(COUNTIF(用語集[キーワード],用語集[[#This Row],[キーワード]])&gt;1,"!","")</f>
        <v/>
      </c>
      <c r="C107" s="4" t="str">
        <f>IF(用語集[[#This Row],[キーワード]]="","",IF(OR(用語集[[#This Row],[説明]]="",NOT(ISERROR(FIND("★",用語集[[#This Row],[説明]])))),"★","☆"))</f>
        <v/>
      </c>
      <c r="D107" s="5"/>
      <c r="E107" s="3"/>
      <c r="F107" s="3"/>
      <c r="G107" s="4"/>
      <c r="H107" s="4"/>
      <c r="I107" s="7" t="s">
        <v>18</v>
      </c>
      <c r="J107" s="7" t="s">
        <v>18</v>
      </c>
      <c r="K107" s="7" t="s">
        <v>18</v>
      </c>
      <c r="L107" s="7" t="s">
        <v>18</v>
      </c>
      <c r="M107" s="7" t="s">
        <v>18</v>
      </c>
      <c r="N107" s="7" t="s">
        <v>18</v>
      </c>
    </row>
    <row r="108" spans="1:14" s="2" customFormat="1" x14ac:dyDescent="0.15">
      <c r="A108" s="3">
        <v>107</v>
      </c>
      <c r="B108" s="4" t="str">
        <f>IF(COUNTIF(用語集[キーワード],用語集[[#This Row],[キーワード]])&gt;1,"!","")</f>
        <v/>
      </c>
      <c r="C108" s="4" t="str">
        <f>IF(用語集[[#This Row],[キーワード]]="","",IF(OR(用語集[[#This Row],[説明]]="",NOT(ISERROR(FIND("★",用語集[[#This Row],[説明]])))),"★","☆"))</f>
        <v/>
      </c>
      <c r="D108" s="5"/>
      <c r="E108" s="3"/>
      <c r="F108" s="3"/>
      <c r="G108" s="4"/>
      <c r="H108" s="4"/>
      <c r="I108" s="7" t="s">
        <v>18</v>
      </c>
      <c r="J108" s="7" t="s">
        <v>18</v>
      </c>
      <c r="K108" s="7" t="s">
        <v>18</v>
      </c>
      <c r="L108" s="7" t="s">
        <v>18</v>
      </c>
      <c r="M108" s="7" t="s">
        <v>18</v>
      </c>
      <c r="N108" s="7" t="s">
        <v>18</v>
      </c>
    </row>
    <row r="109" spans="1:14" s="2" customFormat="1" x14ac:dyDescent="0.15">
      <c r="A109" s="3">
        <v>108</v>
      </c>
      <c r="B109" s="4" t="str">
        <f>IF(COUNTIF(用語集[キーワード],用語集[[#This Row],[キーワード]])&gt;1,"!","")</f>
        <v/>
      </c>
      <c r="C109" s="4" t="str">
        <f>IF(用語集[[#This Row],[キーワード]]="","",IF(OR(用語集[[#This Row],[説明]]="",NOT(ISERROR(FIND("★",用語集[[#This Row],[説明]])))),"★","☆"))</f>
        <v/>
      </c>
      <c r="D109" s="5"/>
      <c r="E109" s="3"/>
      <c r="F109" s="3"/>
      <c r="G109" s="4"/>
      <c r="H109" s="4"/>
      <c r="I109" s="7" t="s">
        <v>18</v>
      </c>
      <c r="J109" s="7" t="s">
        <v>18</v>
      </c>
      <c r="K109" s="7" t="s">
        <v>18</v>
      </c>
      <c r="L109" s="7" t="s">
        <v>18</v>
      </c>
      <c r="M109" s="7" t="s">
        <v>18</v>
      </c>
      <c r="N109" s="7" t="s">
        <v>18</v>
      </c>
    </row>
    <row r="110" spans="1:14" s="2" customFormat="1" x14ac:dyDescent="0.15">
      <c r="A110" s="3">
        <v>109</v>
      </c>
      <c r="B110" s="4" t="str">
        <f>IF(COUNTIF(用語集[キーワード],用語集[[#This Row],[キーワード]])&gt;1,"!","")</f>
        <v/>
      </c>
      <c r="C110" s="4" t="str">
        <f>IF(用語集[[#This Row],[キーワード]]="","",IF(OR(用語集[[#This Row],[説明]]="",NOT(ISERROR(FIND("★",用語集[[#This Row],[説明]])))),"★","☆"))</f>
        <v/>
      </c>
      <c r="D110" s="5"/>
      <c r="E110" s="3"/>
      <c r="F110" s="3"/>
      <c r="G110" s="4"/>
      <c r="H110" s="4"/>
      <c r="I110" s="7" t="s">
        <v>18</v>
      </c>
      <c r="J110" s="7" t="s">
        <v>18</v>
      </c>
      <c r="K110" s="7" t="s">
        <v>18</v>
      </c>
      <c r="L110" s="7" t="s">
        <v>18</v>
      </c>
      <c r="M110" s="7" t="s">
        <v>18</v>
      </c>
      <c r="N110" s="7" t="s">
        <v>18</v>
      </c>
    </row>
    <row r="111" spans="1:14" s="2" customFormat="1" x14ac:dyDescent="0.15">
      <c r="A111" s="3">
        <v>110</v>
      </c>
      <c r="B111" s="4" t="str">
        <f>IF(COUNTIF(用語集[キーワード],用語集[[#This Row],[キーワード]])&gt;1,"!","")</f>
        <v/>
      </c>
      <c r="C111" s="4" t="str">
        <f>IF(用語集[[#This Row],[キーワード]]="","",IF(OR(用語集[[#This Row],[説明]]="",NOT(ISERROR(FIND("★",用語集[[#This Row],[説明]])))),"★","☆"))</f>
        <v/>
      </c>
      <c r="D111" s="5"/>
      <c r="E111" s="3"/>
      <c r="F111" s="3"/>
      <c r="G111" s="4"/>
      <c r="H111" s="4"/>
      <c r="I111" s="7" t="s">
        <v>18</v>
      </c>
      <c r="J111" s="7" t="s">
        <v>18</v>
      </c>
      <c r="K111" s="7" t="s">
        <v>18</v>
      </c>
      <c r="L111" s="7" t="s">
        <v>18</v>
      </c>
      <c r="M111" s="7" t="s">
        <v>18</v>
      </c>
      <c r="N111" s="7" t="s">
        <v>18</v>
      </c>
    </row>
    <row r="112" spans="1:14" s="2" customFormat="1" x14ac:dyDescent="0.15">
      <c r="A112" s="3">
        <v>111</v>
      </c>
      <c r="B112" s="4" t="str">
        <f>IF(COUNTIF(用語集[キーワード],用語集[[#This Row],[キーワード]])&gt;1,"!","")</f>
        <v/>
      </c>
      <c r="C112" s="4" t="str">
        <f>IF(用語集[[#This Row],[キーワード]]="","",IF(OR(用語集[[#This Row],[説明]]="",NOT(ISERROR(FIND("★",用語集[[#This Row],[説明]])))),"★","☆"))</f>
        <v/>
      </c>
      <c r="D112" s="5"/>
      <c r="E112" s="3"/>
      <c r="F112" s="3"/>
      <c r="G112" s="4"/>
      <c r="H112" s="4"/>
      <c r="I112" s="7" t="s">
        <v>18</v>
      </c>
      <c r="J112" s="7" t="s">
        <v>18</v>
      </c>
      <c r="K112" s="7" t="s">
        <v>18</v>
      </c>
      <c r="L112" s="7" t="s">
        <v>18</v>
      </c>
      <c r="M112" s="7" t="s">
        <v>18</v>
      </c>
      <c r="N112" s="7" t="s">
        <v>18</v>
      </c>
    </row>
    <row r="113" spans="1:14" s="2" customFormat="1" x14ac:dyDescent="0.15">
      <c r="A113" s="3">
        <v>112</v>
      </c>
      <c r="B113" s="4" t="str">
        <f>IF(COUNTIF(用語集[キーワード],用語集[[#This Row],[キーワード]])&gt;1,"!","")</f>
        <v/>
      </c>
      <c r="C113" s="4" t="str">
        <f>IF(用語集[[#This Row],[キーワード]]="","",IF(OR(用語集[[#This Row],[説明]]="",NOT(ISERROR(FIND("★",用語集[[#This Row],[説明]])))),"★","☆"))</f>
        <v/>
      </c>
      <c r="D113" s="5"/>
      <c r="E113" s="3"/>
      <c r="F113" s="3"/>
      <c r="G113" s="4"/>
      <c r="H113" s="4"/>
      <c r="I113" s="7" t="s">
        <v>18</v>
      </c>
      <c r="J113" s="7" t="s">
        <v>18</v>
      </c>
      <c r="K113" s="7" t="s">
        <v>18</v>
      </c>
      <c r="L113" s="7" t="s">
        <v>18</v>
      </c>
      <c r="M113" s="7" t="s">
        <v>18</v>
      </c>
      <c r="N113" s="7" t="s">
        <v>18</v>
      </c>
    </row>
    <row r="114" spans="1:14" s="2" customFormat="1" x14ac:dyDescent="0.15">
      <c r="A114" s="3">
        <v>113</v>
      </c>
      <c r="B114" s="4" t="str">
        <f>IF(COUNTIF(用語集[キーワード],用語集[[#This Row],[キーワード]])&gt;1,"!","")</f>
        <v/>
      </c>
      <c r="C114" s="4" t="str">
        <f>IF(用語集[[#This Row],[キーワード]]="","",IF(OR(用語集[[#This Row],[説明]]="",NOT(ISERROR(FIND("★",用語集[[#This Row],[説明]])))),"★","☆"))</f>
        <v/>
      </c>
      <c r="D114" s="5"/>
      <c r="E114" s="3"/>
      <c r="F114" s="3"/>
      <c r="G114" s="4"/>
      <c r="H114" s="4"/>
      <c r="I114" s="7" t="s">
        <v>18</v>
      </c>
      <c r="J114" s="7" t="s">
        <v>18</v>
      </c>
      <c r="K114" s="7" t="s">
        <v>18</v>
      </c>
      <c r="L114" s="7" t="s">
        <v>18</v>
      </c>
      <c r="M114" s="7" t="s">
        <v>18</v>
      </c>
      <c r="N114" s="7" t="s">
        <v>18</v>
      </c>
    </row>
    <row r="115" spans="1:14" s="2" customFormat="1" x14ac:dyDescent="0.15">
      <c r="A115" s="3">
        <v>114</v>
      </c>
      <c r="B115" s="4" t="str">
        <f>IF(COUNTIF(用語集[キーワード],用語集[[#This Row],[キーワード]])&gt;1,"!","")</f>
        <v/>
      </c>
      <c r="C115" s="4" t="str">
        <f>IF(用語集[[#This Row],[キーワード]]="","",IF(OR(用語集[[#This Row],[説明]]="",NOT(ISERROR(FIND("★",用語集[[#This Row],[説明]])))),"★","☆"))</f>
        <v/>
      </c>
      <c r="D115" s="5"/>
      <c r="E115" s="3"/>
      <c r="F115" s="3"/>
      <c r="G115" s="4"/>
      <c r="H115" s="4"/>
      <c r="I115" s="7" t="s">
        <v>18</v>
      </c>
      <c r="J115" s="7" t="s">
        <v>18</v>
      </c>
      <c r="K115" s="7" t="s">
        <v>18</v>
      </c>
      <c r="L115" s="7" t="s">
        <v>18</v>
      </c>
      <c r="M115" s="7" t="s">
        <v>18</v>
      </c>
      <c r="N115" s="7" t="s">
        <v>18</v>
      </c>
    </row>
    <row r="116" spans="1:14" s="2" customFormat="1" x14ac:dyDescent="0.15">
      <c r="A116" s="3">
        <v>115</v>
      </c>
      <c r="B116" s="4" t="str">
        <f>IF(COUNTIF(用語集[キーワード],用語集[[#This Row],[キーワード]])&gt;1,"!","")</f>
        <v/>
      </c>
      <c r="C116" s="4" t="str">
        <f>IF(用語集[[#This Row],[キーワード]]="","",IF(OR(用語集[[#This Row],[説明]]="",NOT(ISERROR(FIND("★",用語集[[#This Row],[説明]])))),"★","☆"))</f>
        <v/>
      </c>
      <c r="D116" s="5"/>
      <c r="E116" s="3"/>
      <c r="F116" s="3"/>
      <c r="G116" s="4"/>
      <c r="H116" s="4"/>
      <c r="I116" s="7" t="s">
        <v>18</v>
      </c>
      <c r="J116" s="7" t="s">
        <v>18</v>
      </c>
      <c r="K116" s="7" t="s">
        <v>18</v>
      </c>
      <c r="L116" s="7" t="s">
        <v>18</v>
      </c>
      <c r="M116" s="7" t="s">
        <v>18</v>
      </c>
      <c r="N116" s="7" t="s">
        <v>18</v>
      </c>
    </row>
    <row r="117" spans="1:14" s="2" customFormat="1" x14ac:dyDescent="0.15">
      <c r="A117" s="3">
        <v>116</v>
      </c>
      <c r="B117" s="4" t="str">
        <f>IF(COUNTIF(用語集[キーワード],用語集[[#This Row],[キーワード]])&gt;1,"!","")</f>
        <v/>
      </c>
      <c r="C117" s="4" t="str">
        <f>IF(用語集[[#This Row],[キーワード]]="","",IF(OR(用語集[[#This Row],[説明]]="",NOT(ISERROR(FIND("★",用語集[[#This Row],[説明]])))),"★","☆"))</f>
        <v/>
      </c>
      <c r="D117" s="5"/>
      <c r="E117" s="3"/>
      <c r="F117" s="3"/>
      <c r="G117" s="4"/>
      <c r="H117" s="4"/>
      <c r="I117" s="7" t="s">
        <v>18</v>
      </c>
      <c r="J117" s="7" t="s">
        <v>18</v>
      </c>
      <c r="K117" s="7" t="s">
        <v>18</v>
      </c>
      <c r="L117" s="7" t="s">
        <v>18</v>
      </c>
      <c r="M117" s="7" t="s">
        <v>18</v>
      </c>
      <c r="N117" s="7" t="s">
        <v>18</v>
      </c>
    </row>
    <row r="118" spans="1:14" s="2" customFormat="1" x14ac:dyDescent="0.15">
      <c r="A118" s="3">
        <v>117</v>
      </c>
      <c r="B118" s="4" t="str">
        <f>IF(COUNTIF(用語集[キーワード],用語集[[#This Row],[キーワード]])&gt;1,"!","")</f>
        <v/>
      </c>
      <c r="C118" s="4" t="str">
        <f>IF(用語集[[#This Row],[キーワード]]="","",IF(OR(用語集[[#This Row],[説明]]="",NOT(ISERROR(FIND("★",用語集[[#This Row],[説明]])))),"★","☆"))</f>
        <v/>
      </c>
      <c r="D118" s="5"/>
      <c r="E118" s="3"/>
      <c r="F118" s="3"/>
      <c r="G118" s="4"/>
      <c r="H118" s="4"/>
      <c r="I118" s="7" t="s">
        <v>18</v>
      </c>
      <c r="J118" s="7" t="s">
        <v>18</v>
      </c>
      <c r="K118" s="7" t="s">
        <v>18</v>
      </c>
      <c r="L118" s="7" t="s">
        <v>18</v>
      </c>
      <c r="M118" s="7" t="s">
        <v>18</v>
      </c>
      <c r="N118" s="7" t="s">
        <v>18</v>
      </c>
    </row>
    <row r="119" spans="1:14" s="2" customFormat="1" x14ac:dyDescent="0.15">
      <c r="A119" s="3">
        <v>118</v>
      </c>
      <c r="B119" s="4" t="str">
        <f>IF(COUNTIF(用語集[キーワード],用語集[[#This Row],[キーワード]])&gt;1,"!","")</f>
        <v/>
      </c>
      <c r="C119" s="4" t="str">
        <f>IF(用語集[[#This Row],[キーワード]]="","",IF(OR(用語集[[#This Row],[説明]]="",NOT(ISERROR(FIND("★",用語集[[#This Row],[説明]])))),"★","☆"))</f>
        <v/>
      </c>
      <c r="D119" s="5"/>
      <c r="E119" s="3"/>
      <c r="F119" s="3"/>
      <c r="G119" s="4"/>
      <c r="H119" s="4"/>
      <c r="I119" s="7" t="s">
        <v>18</v>
      </c>
      <c r="J119" s="7" t="s">
        <v>18</v>
      </c>
      <c r="K119" s="7" t="s">
        <v>18</v>
      </c>
      <c r="L119" s="7" t="s">
        <v>18</v>
      </c>
      <c r="M119" s="7" t="s">
        <v>18</v>
      </c>
      <c r="N119" s="7" t="s">
        <v>18</v>
      </c>
    </row>
    <row r="120" spans="1:14" s="2" customFormat="1" x14ac:dyDescent="0.15">
      <c r="A120" s="3">
        <v>119</v>
      </c>
      <c r="B120" s="4" t="str">
        <f>IF(COUNTIF(用語集[キーワード],用語集[[#This Row],[キーワード]])&gt;1,"!","")</f>
        <v/>
      </c>
      <c r="C120" s="4" t="str">
        <f>IF(用語集[[#This Row],[キーワード]]="","",IF(OR(用語集[[#This Row],[説明]]="",NOT(ISERROR(FIND("★",用語集[[#This Row],[説明]])))),"★","☆"))</f>
        <v/>
      </c>
      <c r="D120" s="5"/>
      <c r="E120" s="3"/>
      <c r="F120" s="3"/>
      <c r="G120" s="4"/>
      <c r="H120" s="4"/>
      <c r="I120" s="7" t="s">
        <v>18</v>
      </c>
      <c r="J120" s="7" t="s">
        <v>18</v>
      </c>
      <c r="K120" s="7" t="s">
        <v>18</v>
      </c>
      <c r="L120" s="7" t="s">
        <v>18</v>
      </c>
      <c r="M120" s="7" t="s">
        <v>18</v>
      </c>
      <c r="N120" s="7" t="s">
        <v>18</v>
      </c>
    </row>
    <row r="121" spans="1:14" s="2" customFormat="1" x14ac:dyDescent="0.15">
      <c r="A121" s="3">
        <v>120</v>
      </c>
      <c r="B121" s="4" t="str">
        <f>IF(COUNTIF(用語集[キーワード],用語集[[#This Row],[キーワード]])&gt;1,"!","")</f>
        <v/>
      </c>
      <c r="C121" s="4" t="str">
        <f>IF(用語集[[#This Row],[キーワード]]="","",IF(OR(用語集[[#This Row],[説明]]="",NOT(ISERROR(FIND("★",用語集[[#This Row],[説明]])))),"★","☆"))</f>
        <v/>
      </c>
      <c r="D121" s="5"/>
      <c r="E121" s="3"/>
      <c r="F121" s="3"/>
      <c r="G121" s="4"/>
      <c r="H121" s="4"/>
      <c r="I121" s="7" t="s">
        <v>18</v>
      </c>
      <c r="J121" s="7" t="s">
        <v>18</v>
      </c>
      <c r="K121" s="7" t="s">
        <v>18</v>
      </c>
      <c r="L121" s="7" t="s">
        <v>18</v>
      </c>
      <c r="M121" s="7" t="s">
        <v>18</v>
      </c>
      <c r="N121" s="7" t="s">
        <v>18</v>
      </c>
    </row>
    <row r="122" spans="1:14" s="2" customFormat="1" x14ac:dyDescent="0.15">
      <c r="A122" s="3">
        <v>121</v>
      </c>
      <c r="B122" s="4" t="str">
        <f>IF(COUNTIF(用語集[キーワード],用語集[[#This Row],[キーワード]])&gt;1,"!","")</f>
        <v/>
      </c>
      <c r="C122" s="4" t="str">
        <f>IF(用語集[[#This Row],[キーワード]]="","",IF(OR(用語集[[#This Row],[説明]]="",NOT(ISERROR(FIND("★",用語集[[#This Row],[説明]])))),"★","☆"))</f>
        <v/>
      </c>
      <c r="D122" s="5"/>
      <c r="E122" s="3"/>
      <c r="F122" s="3"/>
      <c r="G122" s="4"/>
      <c r="H122" s="4"/>
      <c r="I122" s="7" t="s">
        <v>18</v>
      </c>
      <c r="J122" s="7" t="s">
        <v>18</v>
      </c>
      <c r="K122" s="7" t="s">
        <v>18</v>
      </c>
      <c r="L122" s="7" t="s">
        <v>18</v>
      </c>
      <c r="M122" s="7" t="s">
        <v>18</v>
      </c>
      <c r="N122" s="7" t="s">
        <v>18</v>
      </c>
    </row>
    <row r="123" spans="1:14" s="2" customFormat="1" x14ac:dyDescent="0.15">
      <c r="A123" s="3">
        <v>122</v>
      </c>
      <c r="B123" s="4" t="str">
        <f>IF(COUNTIF(用語集[キーワード],用語集[[#This Row],[キーワード]])&gt;1,"!","")</f>
        <v/>
      </c>
      <c r="C123" s="4" t="str">
        <f>IF(用語集[[#This Row],[キーワード]]="","",IF(OR(用語集[[#This Row],[説明]]="",NOT(ISERROR(FIND("★",用語集[[#This Row],[説明]])))),"★","☆"))</f>
        <v/>
      </c>
      <c r="D123" s="5"/>
      <c r="E123" s="3"/>
      <c r="F123" s="3"/>
      <c r="G123" s="4"/>
      <c r="H123" s="4"/>
      <c r="I123" s="7" t="s">
        <v>18</v>
      </c>
      <c r="J123" s="7" t="s">
        <v>18</v>
      </c>
      <c r="K123" s="7" t="s">
        <v>18</v>
      </c>
      <c r="L123" s="7" t="s">
        <v>18</v>
      </c>
      <c r="M123" s="7" t="s">
        <v>18</v>
      </c>
      <c r="N123" s="7" t="s">
        <v>18</v>
      </c>
    </row>
    <row r="124" spans="1:14" s="2" customFormat="1" x14ac:dyDescent="0.15">
      <c r="A124" s="3">
        <v>123</v>
      </c>
      <c r="B124" s="4" t="str">
        <f>IF(COUNTIF(用語集[キーワード],用語集[[#This Row],[キーワード]])&gt;1,"!","")</f>
        <v/>
      </c>
      <c r="C124" s="4" t="str">
        <f>IF(用語集[[#This Row],[キーワード]]="","",IF(OR(用語集[[#This Row],[説明]]="",NOT(ISERROR(FIND("★",用語集[[#This Row],[説明]])))),"★","☆"))</f>
        <v/>
      </c>
      <c r="D124" s="5"/>
      <c r="E124" s="3"/>
      <c r="F124" s="3"/>
      <c r="G124" s="4"/>
      <c r="H124" s="4"/>
      <c r="I124" s="7" t="s">
        <v>18</v>
      </c>
      <c r="J124" s="7" t="s">
        <v>18</v>
      </c>
      <c r="K124" s="7" t="s">
        <v>18</v>
      </c>
      <c r="L124" s="7" t="s">
        <v>18</v>
      </c>
      <c r="M124" s="7" t="s">
        <v>18</v>
      </c>
      <c r="N124" s="7" t="s">
        <v>18</v>
      </c>
    </row>
    <row r="125" spans="1:14" s="2" customFormat="1" x14ac:dyDescent="0.15">
      <c r="A125" s="3">
        <v>124</v>
      </c>
      <c r="B125" s="4" t="str">
        <f>IF(COUNTIF(用語集[キーワード],用語集[[#This Row],[キーワード]])&gt;1,"!","")</f>
        <v/>
      </c>
      <c r="C125" s="4" t="str">
        <f>IF(用語集[[#This Row],[キーワード]]="","",IF(OR(用語集[[#This Row],[説明]]="",NOT(ISERROR(FIND("★",用語集[[#This Row],[説明]])))),"★","☆"))</f>
        <v/>
      </c>
      <c r="D125" s="5"/>
      <c r="E125" s="3"/>
      <c r="F125" s="3"/>
      <c r="G125" s="4"/>
      <c r="H125" s="4"/>
      <c r="I125" s="7" t="s">
        <v>18</v>
      </c>
      <c r="J125" s="7" t="s">
        <v>18</v>
      </c>
      <c r="K125" s="7" t="s">
        <v>18</v>
      </c>
      <c r="L125" s="7" t="s">
        <v>18</v>
      </c>
      <c r="M125" s="7" t="s">
        <v>18</v>
      </c>
      <c r="N125" s="7" t="s">
        <v>18</v>
      </c>
    </row>
    <row r="126" spans="1:14" s="2" customFormat="1" x14ac:dyDescent="0.15">
      <c r="A126" s="3">
        <v>125</v>
      </c>
      <c r="B126" s="4" t="str">
        <f>IF(COUNTIF(用語集[キーワード],用語集[[#This Row],[キーワード]])&gt;1,"!","")</f>
        <v/>
      </c>
      <c r="C126" s="4" t="str">
        <f>IF(用語集[[#This Row],[キーワード]]="","",IF(OR(用語集[[#This Row],[説明]]="",NOT(ISERROR(FIND("★",用語集[[#This Row],[説明]])))),"★","☆"))</f>
        <v/>
      </c>
      <c r="D126" s="5"/>
      <c r="E126" s="3"/>
      <c r="F126" s="3"/>
      <c r="G126" s="4"/>
      <c r="H126" s="4"/>
      <c r="I126" s="7" t="s">
        <v>18</v>
      </c>
      <c r="J126" s="7" t="s">
        <v>18</v>
      </c>
      <c r="K126" s="7" t="s">
        <v>18</v>
      </c>
      <c r="L126" s="7" t="s">
        <v>18</v>
      </c>
      <c r="M126" s="7" t="s">
        <v>18</v>
      </c>
      <c r="N126" s="7" t="s">
        <v>18</v>
      </c>
    </row>
    <row r="127" spans="1:14" s="2" customFormat="1" x14ac:dyDescent="0.15">
      <c r="A127" s="3">
        <v>126</v>
      </c>
      <c r="B127" s="4" t="str">
        <f>IF(COUNTIF(用語集[キーワード],用語集[[#This Row],[キーワード]])&gt;1,"!","")</f>
        <v/>
      </c>
      <c r="C127" s="4" t="str">
        <f>IF(用語集[[#This Row],[キーワード]]="","",IF(OR(用語集[[#This Row],[説明]]="",NOT(ISERROR(FIND("★",用語集[[#This Row],[説明]])))),"★","☆"))</f>
        <v/>
      </c>
      <c r="D127" s="5"/>
      <c r="E127" s="3"/>
      <c r="F127" s="3"/>
      <c r="G127" s="4"/>
      <c r="H127" s="4"/>
      <c r="I127" s="7" t="s">
        <v>18</v>
      </c>
      <c r="J127" s="7" t="s">
        <v>18</v>
      </c>
      <c r="K127" s="7" t="s">
        <v>18</v>
      </c>
      <c r="L127" s="7" t="s">
        <v>18</v>
      </c>
      <c r="M127" s="7" t="s">
        <v>18</v>
      </c>
      <c r="N127" s="7" t="s">
        <v>18</v>
      </c>
    </row>
    <row r="128" spans="1:14" s="2" customFormat="1" x14ac:dyDescent="0.15">
      <c r="A128" s="3">
        <v>127</v>
      </c>
      <c r="B128" s="4" t="str">
        <f>IF(COUNTIF(用語集[キーワード],用語集[[#This Row],[キーワード]])&gt;1,"!","")</f>
        <v/>
      </c>
      <c r="C128" s="4" t="str">
        <f>IF(用語集[[#This Row],[キーワード]]="","",IF(OR(用語集[[#This Row],[説明]]="",NOT(ISERROR(FIND("★",用語集[[#This Row],[説明]])))),"★","☆"))</f>
        <v/>
      </c>
      <c r="D128" s="5"/>
      <c r="E128" s="3"/>
      <c r="F128" s="3"/>
      <c r="G128" s="4"/>
      <c r="H128" s="4"/>
      <c r="I128" s="7" t="s">
        <v>18</v>
      </c>
      <c r="J128" s="7" t="s">
        <v>18</v>
      </c>
      <c r="K128" s="7" t="s">
        <v>18</v>
      </c>
      <c r="L128" s="7" t="s">
        <v>18</v>
      </c>
      <c r="M128" s="7" t="s">
        <v>18</v>
      </c>
      <c r="N128" s="7" t="s">
        <v>18</v>
      </c>
    </row>
    <row r="129" spans="1:14" s="2" customFormat="1" x14ac:dyDescent="0.15">
      <c r="A129" s="3">
        <v>128</v>
      </c>
      <c r="B129" s="4" t="str">
        <f>IF(COUNTIF(用語集[キーワード],用語集[[#This Row],[キーワード]])&gt;1,"!","")</f>
        <v/>
      </c>
      <c r="C129" s="4" t="str">
        <f>IF(用語集[[#This Row],[キーワード]]="","",IF(OR(用語集[[#This Row],[説明]]="",NOT(ISERROR(FIND("★",用語集[[#This Row],[説明]])))),"★","☆"))</f>
        <v/>
      </c>
      <c r="D129" s="5"/>
      <c r="E129" s="3"/>
      <c r="F129" s="3"/>
      <c r="G129" s="4"/>
      <c r="H129" s="4"/>
      <c r="I129" s="7" t="s">
        <v>18</v>
      </c>
      <c r="J129" s="7" t="s">
        <v>18</v>
      </c>
      <c r="K129" s="7" t="s">
        <v>18</v>
      </c>
      <c r="L129" s="7" t="s">
        <v>18</v>
      </c>
      <c r="M129" s="7" t="s">
        <v>18</v>
      </c>
      <c r="N129" s="7" t="s">
        <v>18</v>
      </c>
    </row>
    <row r="130" spans="1:14" s="2" customFormat="1" x14ac:dyDescent="0.15">
      <c r="A130" s="3">
        <v>129</v>
      </c>
      <c r="B130" s="4" t="str">
        <f>IF(COUNTIF(用語集[キーワード],用語集[[#This Row],[キーワード]])&gt;1,"!","")</f>
        <v/>
      </c>
      <c r="C130" s="4" t="str">
        <f>IF(用語集[[#This Row],[キーワード]]="","",IF(OR(用語集[[#This Row],[説明]]="",NOT(ISERROR(FIND("★",用語集[[#This Row],[説明]])))),"★","☆"))</f>
        <v/>
      </c>
      <c r="D130" s="5"/>
      <c r="E130" s="3"/>
      <c r="F130" s="3"/>
      <c r="G130" s="4"/>
      <c r="H130" s="4"/>
      <c r="I130" s="7" t="s">
        <v>18</v>
      </c>
      <c r="J130" s="7" t="s">
        <v>18</v>
      </c>
      <c r="K130" s="7" t="s">
        <v>18</v>
      </c>
      <c r="L130" s="7" t="s">
        <v>18</v>
      </c>
      <c r="M130" s="7" t="s">
        <v>18</v>
      </c>
      <c r="N130" s="7" t="s">
        <v>18</v>
      </c>
    </row>
    <row r="131" spans="1:14" s="2" customFormat="1" x14ac:dyDescent="0.15">
      <c r="A131" s="3">
        <v>130</v>
      </c>
      <c r="B131" s="4" t="str">
        <f>IF(COUNTIF(用語集[キーワード],用語集[[#This Row],[キーワード]])&gt;1,"!","")</f>
        <v/>
      </c>
      <c r="C131" s="4" t="str">
        <f>IF(用語集[[#This Row],[キーワード]]="","",IF(OR(用語集[[#This Row],[説明]]="",NOT(ISERROR(FIND("★",用語集[[#This Row],[説明]])))),"★","☆"))</f>
        <v/>
      </c>
      <c r="D131" s="5"/>
      <c r="E131" s="3"/>
      <c r="F131" s="3"/>
      <c r="G131" s="4"/>
      <c r="H131" s="4"/>
      <c r="I131" s="7" t="s">
        <v>18</v>
      </c>
      <c r="J131" s="7" t="s">
        <v>18</v>
      </c>
      <c r="K131" s="7" t="s">
        <v>18</v>
      </c>
      <c r="L131" s="7" t="s">
        <v>18</v>
      </c>
      <c r="M131" s="7" t="s">
        <v>18</v>
      </c>
      <c r="N131" s="7" t="s">
        <v>18</v>
      </c>
    </row>
    <row r="132" spans="1:14" s="2" customFormat="1" x14ac:dyDescent="0.15">
      <c r="A132" s="3">
        <v>131</v>
      </c>
      <c r="B132" s="4" t="str">
        <f>IF(COUNTIF(用語集[キーワード],用語集[[#This Row],[キーワード]])&gt;1,"!","")</f>
        <v/>
      </c>
      <c r="C132" s="4" t="str">
        <f>IF(用語集[[#This Row],[キーワード]]="","",IF(OR(用語集[[#This Row],[説明]]="",NOT(ISERROR(FIND("★",用語集[[#This Row],[説明]])))),"★","☆"))</f>
        <v/>
      </c>
      <c r="D132" s="5"/>
      <c r="E132" s="3"/>
      <c r="F132" s="3"/>
      <c r="G132" s="4"/>
      <c r="H132" s="4"/>
      <c r="I132" s="7" t="s">
        <v>18</v>
      </c>
      <c r="J132" s="7" t="s">
        <v>18</v>
      </c>
      <c r="K132" s="7" t="s">
        <v>18</v>
      </c>
      <c r="L132" s="7" t="s">
        <v>18</v>
      </c>
      <c r="M132" s="7" t="s">
        <v>18</v>
      </c>
      <c r="N132" s="7" t="s">
        <v>18</v>
      </c>
    </row>
    <row r="133" spans="1:14" s="2" customFormat="1" x14ac:dyDescent="0.15">
      <c r="A133" s="3">
        <v>132</v>
      </c>
      <c r="B133" s="4" t="str">
        <f>IF(COUNTIF(用語集[キーワード],用語集[[#This Row],[キーワード]])&gt;1,"!","")</f>
        <v/>
      </c>
      <c r="C133" s="4" t="str">
        <f>IF(用語集[[#This Row],[キーワード]]="","",IF(OR(用語集[[#This Row],[説明]]="",NOT(ISERROR(FIND("★",用語集[[#This Row],[説明]])))),"★","☆"))</f>
        <v/>
      </c>
      <c r="D133" s="5"/>
      <c r="E133" s="3"/>
      <c r="F133" s="3"/>
      <c r="G133" s="4"/>
      <c r="H133" s="4"/>
      <c r="I133" s="7" t="s">
        <v>18</v>
      </c>
      <c r="J133" s="7" t="s">
        <v>18</v>
      </c>
      <c r="K133" s="7" t="s">
        <v>18</v>
      </c>
      <c r="L133" s="7" t="s">
        <v>18</v>
      </c>
      <c r="M133" s="7" t="s">
        <v>18</v>
      </c>
      <c r="N133" s="7" t="s">
        <v>18</v>
      </c>
    </row>
    <row r="134" spans="1:14" s="2" customFormat="1" x14ac:dyDescent="0.15">
      <c r="A134" s="3">
        <v>133</v>
      </c>
      <c r="B134" s="4" t="str">
        <f>IF(COUNTIF(用語集[キーワード],用語集[[#This Row],[キーワード]])&gt;1,"!","")</f>
        <v/>
      </c>
      <c r="C134" s="4" t="str">
        <f>IF(用語集[[#This Row],[キーワード]]="","",IF(OR(用語集[[#This Row],[説明]]="",NOT(ISERROR(FIND("★",用語集[[#This Row],[説明]])))),"★","☆"))</f>
        <v/>
      </c>
      <c r="D134" s="5"/>
      <c r="E134" s="3"/>
      <c r="F134" s="3"/>
      <c r="G134" s="4"/>
      <c r="H134" s="4"/>
      <c r="I134" s="7" t="s">
        <v>18</v>
      </c>
      <c r="J134" s="7" t="s">
        <v>18</v>
      </c>
      <c r="K134" s="7" t="s">
        <v>18</v>
      </c>
      <c r="L134" s="7" t="s">
        <v>18</v>
      </c>
      <c r="M134" s="7" t="s">
        <v>18</v>
      </c>
      <c r="N134" s="7" t="s">
        <v>18</v>
      </c>
    </row>
    <row r="135" spans="1:14" s="2" customFormat="1" x14ac:dyDescent="0.15">
      <c r="A135" s="3">
        <v>134</v>
      </c>
      <c r="B135" s="4" t="str">
        <f>IF(COUNTIF(用語集[キーワード],用語集[[#This Row],[キーワード]])&gt;1,"!","")</f>
        <v/>
      </c>
      <c r="C135" s="4" t="str">
        <f>IF(用語集[[#This Row],[キーワード]]="","",IF(OR(用語集[[#This Row],[説明]]="",NOT(ISERROR(FIND("★",用語集[[#This Row],[説明]])))),"★","☆"))</f>
        <v/>
      </c>
      <c r="D135" s="5"/>
      <c r="E135" s="3"/>
      <c r="F135" s="3"/>
      <c r="G135" s="4"/>
      <c r="H135" s="4"/>
      <c r="I135" s="7" t="s">
        <v>18</v>
      </c>
      <c r="J135" s="7" t="s">
        <v>18</v>
      </c>
      <c r="K135" s="7" t="s">
        <v>18</v>
      </c>
      <c r="L135" s="7" t="s">
        <v>18</v>
      </c>
      <c r="M135" s="7" t="s">
        <v>18</v>
      </c>
      <c r="N135" s="7" t="s">
        <v>18</v>
      </c>
    </row>
    <row r="136" spans="1:14" s="2" customFormat="1" x14ac:dyDescent="0.15">
      <c r="A136" s="3">
        <v>135</v>
      </c>
      <c r="B136" s="4" t="str">
        <f>IF(COUNTIF(用語集[キーワード],用語集[[#This Row],[キーワード]])&gt;1,"!","")</f>
        <v/>
      </c>
      <c r="C136" s="4" t="str">
        <f>IF(用語集[[#This Row],[キーワード]]="","",IF(OR(用語集[[#This Row],[説明]]="",NOT(ISERROR(FIND("★",用語集[[#This Row],[説明]])))),"★","☆"))</f>
        <v/>
      </c>
      <c r="D136" s="5"/>
      <c r="E136" s="3"/>
      <c r="F136" s="3"/>
      <c r="G136" s="4"/>
      <c r="H136" s="4"/>
      <c r="I136" s="7" t="s">
        <v>18</v>
      </c>
      <c r="J136" s="7" t="s">
        <v>18</v>
      </c>
      <c r="K136" s="7" t="s">
        <v>18</v>
      </c>
      <c r="L136" s="7" t="s">
        <v>18</v>
      </c>
      <c r="M136" s="7" t="s">
        <v>18</v>
      </c>
      <c r="N136" s="7" t="s">
        <v>18</v>
      </c>
    </row>
    <row r="137" spans="1:14" s="2" customFormat="1" x14ac:dyDescent="0.15">
      <c r="A137" s="3">
        <v>136</v>
      </c>
      <c r="B137" s="4" t="str">
        <f>IF(COUNTIF(用語集[キーワード],用語集[[#This Row],[キーワード]])&gt;1,"!","")</f>
        <v/>
      </c>
      <c r="C137" s="4" t="str">
        <f>IF(用語集[[#This Row],[キーワード]]="","",IF(OR(用語集[[#This Row],[説明]]="",NOT(ISERROR(FIND("★",用語集[[#This Row],[説明]])))),"★","☆"))</f>
        <v/>
      </c>
      <c r="D137" s="5"/>
      <c r="E137" s="3"/>
      <c r="F137" s="3"/>
      <c r="G137" s="4"/>
      <c r="H137" s="4"/>
      <c r="I137" s="7" t="s">
        <v>18</v>
      </c>
      <c r="J137" s="7" t="s">
        <v>18</v>
      </c>
      <c r="K137" s="7" t="s">
        <v>18</v>
      </c>
      <c r="L137" s="7" t="s">
        <v>18</v>
      </c>
      <c r="M137" s="7" t="s">
        <v>18</v>
      </c>
      <c r="N137" s="7" t="s">
        <v>18</v>
      </c>
    </row>
    <row r="138" spans="1:14" s="2" customFormat="1" x14ac:dyDescent="0.15">
      <c r="A138" s="3">
        <v>137</v>
      </c>
      <c r="B138" s="4" t="str">
        <f>IF(COUNTIF(用語集[キーワード],用語集[[#This Row],[キーワード]])&gt;1,"!","")</f>
        <v/>
      </c>
      <c r="C138" s="4" t="str">
        <f>IF(用語集[[#This Row],[キーワード]]="","",IF(OR(用語集[[#This Row],[説明]]="",NOT(ISERROR(FIND("★",用語集[[#This Row],[説明]])))),"★","☆"))</f>
        <v/>
      </c>
      <c r="D138" s="5"/>
      <c r="E138" s="3"/>
      <c r="F138" s="3"/>
      <c r="G138" s="4"/>
      <c r="H138" s="4"/>
      <c r="I138" s="7" t="s">
        <v>18</v>
      </c>
      <c r="J138" s="7" t="s">
        <v>18</v>
      </c>
      <c r="K138" s="7" t="s">
        <v>18</v>
      </c>
      <c r="L138" s="7" t="s">
        <v>18</v>
      </c>
      <c r="M138" s="7" t="s">
        <v>18</v>
      </c>
      <c r="N138" s="7" t="s">
        <v>18</v>
      </c>
    </row>
    <row r="139" spans="1:14" s="2" customFormat="1" x14ac:dyDescent="0.15">
      <c r="A139" s="3">
        <v>138</v>
      </c>
      <c r="B139" s="4" t="str">
        <f>IF(COUNTIF(用語集[キーワード],用語集[[#This Row],[キーワード]])&gt;1,"!","")</f>
        <v/>
      </c>
      <c r="C139" s="4" t="str">
        <f>IF(用語集[[#This Row],[キーワード]]="","",IF(OR(用語集[[#This Row],[説明]]="",NOT(ISERROR(FIND("★",用語集[[#This Row],[説明]])))),"★","☆"))</f>
        <v/>
      </c>
      <c r="D139" s="5"/>
      <c r="E139" s="3"/>
      <c r="F139" s="3"/>
      <c r="G139" s="4"/>
      <c r="H139" s="4"/>
      <c r="I139" s="7" t="s">
        <v>18</v>
      </c>
      <c r="J139" s="7" t="s">
        <v>18</v>
      </c>
      <c r="K139" s="7" t="s">
        <v>18</v>
      </c>
      <c r="L139" s="7" t="s">
        <v>18</v>
      </c>
      <c r="M139" s="7" t="s">
        <v>18</v>
      </c>
      <c r="N139" s="7" t="s">
        <v>18</v>
      </c>
    </row>
    <row r="140" spans="1:14" s="2" customFormat="1" x14ac:dyDescent="0.15">
      <c r="A140" s="3">
        <v>139</v>
      </c>
      <c r="B140" s="4" t="str">
        <f>IF(COUNTIF(用語集[キーワード],用語集[[#This Row],[キーワード]])&gt;1,"!","")</f>
        <v/>
      </c>
      <c r="C140" s="4" t="str">
        <f>IF(用語集[[#This Row],[キーワード]]="","",IF(OR(用語集[[#This Row],[説明]]="",NOT(ISERROR(FIND("★",用語集[[#This Row],[説明]])))),"★","☆"))</f>
        <v/>
      </c>
      <c r="D140" s="5"/>
      <c r="E140" s="3"/>
      <c r="F140" s="3"/>
      <c r="G140" s="4"/>
      <c r="H140" s="4"/>
      <c r="I140" s="7" t="s">
        <v>18</v>
      </c>
      <c r="J140" s="7" t="s">
        <v>18</v>
      </c>
      <c r="K140" s="7" t="s">
        <v>18</v>
      </c>
      <c r="L140" s="7" t="s">
        <v>18</v>
      </c>
      <c r="M140" s="7" t="s">
        <v>18</v>
      </c>
      <c r="N140" s="7" t="s">
        <v>18</v>
      </c>
    </row>
    <row r="141" spans="1:14" s="2" customFormat="1" x14ac:dyDescent="0.15">
      <c r="A141" s="3">
        <v>140</v>
      </c>
      <c r="B141" s="4" t="str">
        <f>IF(COUNTIF(用語集[キーワード],用語集[[#This Row],[キーワード]])&gt;1,"!","")</f>
        <v/>
      </c>
      <c r="C141" s="4" t="str">
        <f>IF(用語集[[#This Row],[キーワード]]="","",IF(OR(用語集[[#This Row],[説明]]="",NOT(ISERROR(FIND("★",用語集[[#This Row],[説明]])))),"★","☆"))</f>
        <v/>
      </c>
      <c r="D141" s="5"/>
      <c r="E141" s="3"/>
      <c r="F141" s="3"/>
      <c r="G141" s="4"/>
      <c r="H141" s="4"/>
      <c r="I141" s="7" t="s">
        <v>18</v>
      </c>
      <c r="J141" s="7" t="s">
        <v>18</v>
      </c>
      <c r="K141" s="7" t="s">
        <v>18</v>
      </c>
      <c r="L141" s="7" t="s">
        <v>18</v>
      </c>
      <c r="M141" s="7" t="s">
        <v>18</v>
      </c>
      <c r="N141" s="7" t="s">
        <v>18</v>
      </c>
    </row>
    <row r="142" spans="1:14" s="2" customFormat="1" x14ac:dyDescent="0.15">
      <c r="A142" s="3">
        <v>141</v>
      </c>
      <c r="B142" s="4" t="str">
        <f>IF(COUNTIF(用語集[キーワード],用語集[[#This Row],[キーワード]])&gt;1,"!","")</f>
        <v/>
      </c>
      <c r="C142" s="4" t="str">
        <f>IF(用語集[[#This Row],[キーワード]]="","",IF(OR(用語集[[#This Row],[説明]]="",NOT(ISERROR(FIND("★",用語集[[#This Row],[説明]])))),"★","☆"))</f>
        <v/>
      </c>
      <c r="D142" s="5"/>
      <c r="E142" s="3"/>
      <c r="F142" s="3"/>
      <c r="G142" s="4"/>
      <c r="H142" s="4"/>
      <c r="I142" s="7" t="s">
        <v>18</v>
      </c>
      <c r="J142" s="7" t="s">
        <v>18</v>
      </c>
      <c r="K142" s="7" t="s">
        <v>18</v>
      </c>
      <c r="L142" s="7" t="s">
        <v>18</v>
      </c>
      <c r="M142" s="7" t="s">
        <v>18</v>
      </c>
      <c r="N142" s="7" t="s">
        <v>18</v>
      </c>
    </row>
    <row r="143" spans="1:14" s="2" customFormat="1" x14ac:dyDescent="0.15">
      <c r="A143" s="3">
        <v>142</v>
      </c>
      <c r="B143" s="4" t="str">
        <f>IF(COUNTIF(用語集[キーワード],用語集[[#This Row],[キーワード]])&gt;1,"!","")</f>
        <v/>
      </c>
      <c r="C143" s="4" t="str">
        <f>IF(用語集[[#This Row],[キーワード]]="","",IF(OR(用語集[[#This Row],[説明]]="",NOT(ISERROR(FIND("★",用語集[[#This Row],[説明]])))),"★","☆"))</f>
        <v/>
      </c>
      <c r="D143" s="5"/>
      <c r="E143" s="3"/>
      <c r="F143" s="3"/>
      <c r="G143" s="4"/>
      <c r="H143" s="4"/>
      <c r="I143" s="7" t="s">
        <v>18</v>
      </c>
      <c r="J143" s="7" t="s">
        <v>18</v>
      </c>
      <c r="K143" s="7" t="s">
        <v>18</v>
      </c>
      <c r="L143" s="7" t="s">
        <v>18</v>
      </c>
      <c r="M143" s="7" t="s">
        <v>18</v>
      </c>
      <c r="N143" s="7" t="s">
        <v>18</v>
      </c>
    </row>
    <row r="144" spans="1:14" s="2" customFormat="1" x14ac:dyDescent="0.15">
      <c r="A144" s="3">
        <v>143</v>
      </c>
      <c r="B144" s="4" t="str">
        <f>IF(COUNTIF(用語集[キーワード],用語集[[#This Row],[キーワード]])&gt;1,"!","")</f>
        <v/>
      </c>
      <c r="C144" s="4" t="str">
        <f>IF(用語集[[#This Row],[キーワード]]="","",IF(OR(用語集[[#This Row],[説明]]="",NOT(ISERROR(FIND("★",用語集[[#This Row],[説明]])))),"★","☆"))</f>
        <v/>
      </c>
      <c r="D144" s="5"/>
      <c r="E144" s="3"/>
      <c r="F144" s="3"/>
      <c r="G144" s="4"/>
      <c r="H144" s="4"/>
      <c r="I144" s="7" t="s">
        <v>18</v>
      </c>
      <c r="J144" s="7" t="s">
        <v>18</v>
      </c>
      <c r="K144" s="7" t="s">
        <v>18</v>
      </c>
      <c r="L144" s="7" t="s">
        <v>18</v>
      </c>
      <c r="M144" s="7" t="s">
        <v>18</v>
      </c>
      <c r="N144" s="7" t="s">
        <v>18</v>
      </c>
    </row>
    <row r="145" spans="1:14" s="2" customFormat="1" x14ac:dyDescent="0.15">
      <c r="A145" s="3">
        <v>144</v>
      </c>
      <c r="B145" s="4" t="str">
        <f>IF(COUNTIF(用語集[キーワード],用語集[[#This Row],[キーワード]])&gt;1,"!","")</f>
        <v/>
      </c>
      <c r="C145" s="4" t="str">
        <f>IF(用語集[[#This Row],[キーワード]]="","",IF(OR(用語集[[#This Row],[説明]]="",NOT(ISERROR(FIND("★",用語集[[#This Row],[説明]])))),"★","☆"))</f>
        <v/>
      </c>
      <c r="D145" s="5"/>
      <c r="E145" s="3"/>
      <c r="F145" s="3"/>
      <c r="G145" s="4"/>
      <c r="H145" s="4"/>
      <c r="I145" s="7" t="s">
        <v>18</v>
      </c>
      <c r="J145" s="7" t="s">
        <v>18</v>
      </c>
      <c r="K145" s="7" t="s">
        <v>18</v>
      </c>
      <c r="L145" s="7" t="s">
        <v>18</v>
      </c>
      <c r="M145" s="7" t="s">
        <v>18</v>
      </c>
      <c r="N145" s="7" t="s">
        <v>18</v>
      </c>
    </row>
    <row r="146" spans="1:14" s="2" customFormat="1" x14ac:dyDescent="0.15">
      <c r="A146" s="3">
        <v>145</v>
      </c>
      <c r="B146" s="4" t="str">
        <f>IF(COUNTIF(用語集[キーワード],用語集[[#This Row],[キーワード]])&gt;1,"!","")</f>
        <v/>
      </c>
      <c r="C146" s="4" t="str">
        <f>IF(用語集[[#This Row],[キーワード]]="","",IF(OR(用語集[[#This Row],[説明]]="",NOT(ISERROR(FIND("★",用語集[[#This Row],[説明]])))),"★","☆"))</f>
        <v/>
      </c>
      <c r="D146" s="5"/>
      <c r="E146" s="3"/>
      <c r="F146" s="3"/>
      <c r="G146" s="4"/>
      <c r="H146" s="4"/>
      <c r="I146" s="7" t="s">
        <v>18</v>
      </c>
      <c r="J146" s="7" t="s">
        <v>18</v>
      </c>
      <c r="K146" s="7" t="s">
        <v>18</v>
      </c>
      <c r="L146" s="7" t="s">
        <v>18</v>
      </c>
      <c r="M146" s="7" t="s">
        <v>18</v>
      </c>
      <c r="N146" s="7" t="s">
        <v>18</v>
      </c>
    </row>
    <row r="147" spans="1:14" s="2" customFormat="1" x14ac:dyDescent="0.15">
      <c r="A147" s="3">
        <v>146</v>
      </c>
      <c r="B147" s="4" t="str">
        <f>IF(COUNTIF(用語集[キーワード],用語集[[#This Row],[キーワード]])&gt;1,"!","")</f>
        <v/>
      </c>
      <c r="C147" s="4" t="str">
        <f>IF(用語集[[#This Row],[キーワード]]="","",IF(OR(用語集[[#This Row],[説明]]="",NOT(ISERROR(FIND("★",用語集[[#This Row],[説明]])))),"★","☆"))</f>
        <v/>
      </c>
      <c r="D147" s="5"/>
      <c r="E147" s="3"/>
      <c r="F147" s="3"/>
      <c r="G147" s="4"/>
      <c r="H147" s="4"/>
      <c r="I147" s="7" t="s">
        <v>18</v>
      </c>
      <c r="J147" s="7" t="s">
        <v>18</v>
      </c>
      <c r="K147" s="7" t="s">
        <v>18</v>
      </c>
      <c r="L147" s="7" t="s">
        <v>18</v>
      </c>
      <c r="M147" s="7" t="s">
        <v>18</v>
      </c>
      <c r="N147" s="7" t="s">
        <v>18</v>
      </c>
    </row>
    <row r="148" spans="1:14" s="2" customFormat="1" x14ac:dyDescent="0.15">
      <c r="A148" s="3">
        <v>147</v>
      </c>
      <c r="B148" s="4" t="str">
        <f>IF(COUNTIF(用語集[キーワード],用語集[[#This Row],[キーワード]])&gt;1,"!","")</f>
        <v/>
      </c>
      <c r="C148" s="4" t="str">
        <f>IF(用語集[[#This Row],[キーワード]]="","",IF(OR(用語集[[#This Row],[説明]]="",NOT(ISERROR(FIND("★",用語集[[#This Row],[説明]])))),"★","☆"))</f>
        <v/>
      </c>
      <c r="D148" s="5"/>
      <c r="E148" s="3"/>
      <c r="F148" s="3"/>
      <c r="G148" s="4"/>
      <c r="H148" s="4"/>
      <c r="I148" s="7" t="s">
        <v>18</v>
      </c>
      <c r="J148" s="7" t="s">
        <v>18</v>
      </c>
      <c r="K148" s="7" t="s">
        <v>18</v>
      </c>
      <c r="L148" s="7" t="s">
        <v>18</v>
      </c>
      <c r="M148" s="7" t="s">
        <v>18</v>
      </c>
      <c r="N148" s="7" t="s">
        <v>18</v>
      </c>
    </row>
    <row r="149" spans="1:14" s="2" customFormat="1" x14ac:dyDescent="0.15">
      <c r="A149" s="3">
        <v>148</v>
      </c>
      <c r="B149" s="4" t="str">
        <f>IF(COUNTIF(用語集[キーワード],用語集[[#This Row],[キーワード]])&gt;1,"!","")</f>
        <v/>
      </c>
      <c r="C149" s="4" t="str">
        <f>IF(用語集[[#This Row],[キーワード]]="","",IF(OR(用語集[[#This Row],[説明]]="",NOT(ISERROR(FIND("★",用語集[[#This Row],[説明]])))),"★","☆"))</f>
        <v/>
      </c>
      <c r="D149" s="5"/>
      <c r="E149" s="3"/>
      <c r="F149" s="3"/>
      <c r="G149" s="4"/>
      <c r="H149" s="4"/>
      <c r="I149" s="7" t="s">
        <v>18</v>
      </c>
      <c r="J149" s="7" t="s">
        <v>18</v>
      </c>
      <c r="K149" s="7" t="s">
        <v>18</v>
      </c>
      <c r="L149" s="7" t="s">
        <v>18</v>
      </c>
      <c r="M149" s="7" t="s">
        <v>18</v>
      </c>
      <c r="N149" s="7" t="s">
        <v>18</v>
      </c>
    </row>
    <row r="150" spans="1:14" s="2" customFormat="1" x14ac:dyDescent="0.15">
      <c r="A150" s="3">
        <v>149</v>
      </c>
      <c r="B150" s="4" t="str">
        <f>IF(COUNTIF(用語集[キーワード],用語集[[#This Row],[キーワード]])&gt;1,"!","")</f>
        <v/>
      </c>
      <c r="C150" s="4" t="str">
        <f>IF(用語集[[#This Row],[キーワード]]="","",IF(OR(用語集[[#This Row],[説明]]="",NOT(ISERROR(FIND("★",用語集[[#This Row],[説明]])))),"★","☆"))</f>
        <v/>
      </c>
      <c r="D150" s="5"/>
      <c r="E150" s="3"/>
      <c r="F150" s="3"/>
      <c r="G150" s="4"/>
      <c r="H150" s="4"/>
      <c r="I150" s="7" t="s">
        <v>18</v>
      </c>
      <c r="J150" s="7" t="s">
        <v>18</v>
      </c>
      <c r="K150" s="7" t="s">
        <v>18</v>
      </c>
      <c r="L150" s="7" t="s">
        <v>18</v>
      </c>
      <c r="M150" s="7" t="s">
        <v>18</v>
      </c>
      <c r="N150" s="7" t="s">
        <v>18</v>
      </c>
    </row>
    <row r="151" spans="1:14" s="2" customFormat="1" x14ac:dyDescent="0.15">
      <c r="A151" s="3">
        <v>150</v>
      </c>
      <c r="B151" s="4" t="str">
        <f>IF(COUNTIF(用語集[キーワード],用語集[[#This Row],[キーワード]])&gt;1,"!","")</f>
        <v/>
      </c>
      <c r="C151" s="4" t="str">
        <f>IF(用語集[[#This Row],[キーワード]]="","",IF(OR(用語集[[#This Row],[説明]]="",NOT(ISERROR(FIND("★",用語集[[#This Row],[説明]])))),"★","☆"))</f>
        <v/>
      </c>
      <c r="D151" s="5"/>
      <c r="E151" s="3"/>
      <c r="F151" s="3"/>
      <c r="G151" s="4"/>
      <c r="H151" s="4"/>
      <c r="I151" s="7" t="s">
        <v>18</v>
      </c>
      <c r="J151" s="7" t="s">
        <v>18</v>
      </c>
      <c r="K151" s="7" t="s">
        <v>18</v>
      </c>
      <c r="L151" s="7" t="s">
        <v>18</v>
      </c>
      <c r="M151" s="7" t="s">
        <v>18</v>
      </c>
      <c r="N151" s="7" t="s">
        <v>18</v>
      </c>
    </row>
    <row r="152" spans="1:14" s="2" customFormat="1" x14ac:dyDescent="0.15">
      <c r="A152" s="3">
        <v>151</v>
      </c>
      <c r="B152" s="4" t="str">
        <f>IF(COUNTIF(用語集[キーワード],用語集[[#This Row],[キーワード]])&gt;1,"!","")</f>
        <v/>
      </c>
      <c r="C152" s="4" t="str">
        <f>IF(用語集[[#This Row],[キーワード]]="","",IF(OR(用語集[[#This Row],[説明]]="",NOT(ISERROR(FIND("★",用語集[[#This Row],[説明]])))),"★","☆"))</f>
        <v/>
      </c>
      <c r="D152" s="5"/>
      <c r="E152" s="3"/>
      <c r="F152" s="3"/>
      <c r="G152" s="4"/>
      <c r="H152" s="4"/>
      <c r="I152" s="7" t="s">
        <v>18</v>
      </c>
      <c r="J152" s="7" t="s">
        <v>18</v>
      </c>
      <c r="K152" s="7" t="s">
        <v>18</v>
      </c>
      <c r="L152" s="7" t="s">
        <v>18</v>
      </c>
      <c r="M152" s="7" t="s">
        <v>18</v>
      </c>
      <c r="N152" s="7" t="s">
        <v>18</v>
      </c>
    </row>
    <row r="153" spans="1:14" s="2" customFormat="1" x14ac:dyDescent="0.15">
      <c r="A153" s="3">
        <v>152</v>
      </c>
      <c r="B153" s="4" t="str">
        <f>IF(COUNTIF(用語集[キーワード],用語集[[#This Row],[キーワード]])&gt;1,"!","")</f>
        <v/>
      </c>
      <c r="C153" s="4" t="str">
        <f>IF(用語集[[#This Row],[キーワード]]="","",IF(OR(用語集[[#This Row],[説明]]="",NOT(ISERROR(FIND("★",用語集[[#This Row],[説明]])))),"★","☆"))</f>
        <v/>
      </c>
      <c r="D153" s="5"/>
      <c r="E153" s="3"/>
      <c r="F153" s="3"/>
      <c r="G153" s="4"/>
      <c r="H153" s="4"/>
      <c r="I153" s="7" t="s">
        <v>18</v>
      </c>
      <c r="J153" s="7" t="s">
        <v>18</v>
      </c>
      <c r="K153" s="7" t="s">
        <v>18</v>
      </c>
      <c r="L153" s="7" t="s">
        <v>18</v>
      </c>
      <c r="M153" s="7" t="s">
        <v>18</v>
      </c>
      <c r="N153" s="7" t="s">
        <v>18</v>
      </c>
    </row>
    <row r="154" spans="1:14" s="2" customFormat="1" x14ac:dyDescent="0.15">
      <c r="A154" s="3">
        <v>153</v>
      </c>
      <c r="B154" s="4" t="str">
        <f>IF(COUNTIF(用語集[キーワード],用語集[[#This Row],[キーワード]])&gt;1,"!","")</f>
        <v/>
      </c>
      <c r="C154" s="4" t="str">
        <f>IF(用語集[[#This Row],[キーワード]]="","",IF(OR(用語集[[#This Row],[説明]]="",NOT(ISERROR(FIND("★",用語集[[#This Row],[説明]])))),"★","☆"))</f>
        <v/>
      </c>
      <c r="D154" s="5"/>
      <c r="E154" s="3"/>
      <c r="F154" s="3"/>
      <c r="G154" s="4"/>
      <c r="H154" s="4"/>
      <c r="I154" s="7" t="s">
        <v>18</v>
      </c>
      <c r="J154" s="7" t="s">
        <v>18</v>
      </c>
      <c r="K154" s="7" t="s">
        <v>18</v>
      </c>
      <c r="L154" s="7" t="s">
        <v>18</v>
      </c>
      <c r="M154" s="7" t="s">
        <v>18</v>
      </c>
      <c r="N154" s="7" t="s">
        <v>18</v>
      </c>
    </row>
    <row r="155" spans="1:14" s="2" customFormat="1" x14ac:dyDescent="0.15">
      <c r="A155" s="3">
        <v>154</v>
      </c>
      <c r="B155" s="4" t="str">
        <f>IF(COUNTIF(用語集[キーワード],用語集[[#This Row],[キーワード]])&gt;1,"!","")</f>
        <v/>
      </c>
      <c r="C155" s="4" t="str">
        <f>IF(用語集[[#This Row],[キーワード]]="","",IF(OR(用語集[[#This Row],[説明]]="",NOT(ISERROR(FIND("★",用語集[[#This Row],[説明]])))),"★","☆"))</f>
        <v/>
      </c>
      <c r="D155" s="5"/>
      <c r="E155" s="3"/>
      <c r="F155" s="3"/>
      <c r="G155" s="4"/>
      <c r="H155" s="4"/>
      <c r="I155" s="7" t="s">
        <v>18</v>
      </c>
      <c r="J155" s="7" t="s">
        <v>18</v>
      </c>
      <c r="K155" s="7" t="s">
        <v>18</v>
      </c>
      <c r="L155" s="7" t="s">
        <v>18</v>
      </c>
      <c r="M155" s="7" t="s">
        <v>18</v>
      </c>
      <c r="N155" s="7" t="s">
        <v>18</v>
      </c>
    </row>
    <row r="156" spans="1:14" s="2" customFormat="1" x14ac:dyDescent="0.15">
      <c r="A156" s="3">
        <v>155</v>
      </c>
      <c r="B156" s="4" t="str">
        <f>IF(COUNTIF(用語集[キーワード],用語集[[#This Row],[キーワード]])&gt;1,"!","")</f>
        <v/>
      </c>
      <c r="C156" s="4" t="str">
        <f>IF(用語集[[#This Row],[キーワード]]="","",IF(OR(用語集[[#This Row],[説明]]="",NOT(ISERROR(FIND("★",用語集[[#This Row],[説明]])))),"★","☆"))</f>
        <v/>
      </c>
      <c r="D156" s="5"/>
      <c r="E156" s="3"/>
      <c r="F156" s="3"/>
      <c r="G156" s="4"/>
      <c r="H156" s="4"/>
      <c r="I156" s="7" t="s">
        <v>18</v>
      </c>
      <c r="J156" s="7" t="s">
        <v>18</v>
      </c>
      <c r="K156" s="7" t="s">
        <v>18</v>
      </c>
      <c r="L156" s="7" t="s">
        <v>18</v>
      </c>
      <c r="M156" s="7" t="s">
        <v>18</v>
      </c>
      <c r="N156" s="7" t="s">
        <v>18</v>
      </c>
    </row>
    <row r="157" spans="1:14" s="2" customFormat="1" x14ac:dyDescent="0.15">
      <c r="A157" s="3">
        <v>156</v>
      </c>
      <c r="B157" s="4" t="str">
        <f>IF(COUNTIF(用語集[キーワード],用語集[[#This Row],[キーワード]])&gt;1,"!","")</f>
        <v/>
      </c>
      <c r="C157" s="4" t="str">
        <f>IF(用語集[[#This Row],[キーワード]]="","",IF(OR(用語集[[#This Row],[説明]]="",NOT(ISERROR(FIND("★",用語集[[#This Row],[説明]])))),"★","☆"))</f>
        <v/>
      </c>
      <c r="D157" s="5"/>
      <c r="E157" s="3"/>
      <c r="F157" s="3"/>
      <c r="G157" s="4"/>
      <c r="H157" s="4"/>
      <c r="I157" s="7" t="s">
        <v>18</v>
      </c>
      <c r="J157" s="7" t="s">
        <v>18</v>
      </c>
      <c r="K157" s="7" t="s">
        <v>18</v>
      </c>
      <c r="L157" s="7" t="s">
        <v>18</v>
      </c>
      <c r="M157" s="7" t="s">
        <v>18</v>
      </c>
      <c r="N157" s="7" t="s">
        <v>18</v>
      </c>
    </row>
    <row r="158" spans="1:14" s="2" customFormat="1" x14ac:dyDescent="0.15">
      <c r="A158" s="3">
        <v>157</v>
      </c>
      <c r="B158" s="4" t="str">
        <f>IF(COUNTIF(用語集[キーワード],用語集[[#This Row],[キーワード]])&gt;1,"!","")</f>
        <v/>
      </c>
      <c r="C158" s="4" t="str">
        <f>IF(用語集[[#This Row],[キーワード]]="","",IF(OR(用語集[[#This Row],[説明]]="",NOT(ISERROR(FIND("★",用語集[[#This Row],[説明]])))),"★","☆"))</f>
        <v/>
      </c>
      <c r="D158" s="5"/>
      <c r="E158" s="3"/>
      <c r="F158" s="3"/>
      <c r="G158" s="4"/>
      <c r="H158" s="4"/>
      <c r="I158" s="7" t="s">
        <v>18</v>
      </c>
      <c r="J158" s="7" t="s">
        <v>18</v>
      </c>
      <c r="K158" s="7" t="s">
        <v>18</v>
      </c>
      <c r="L158" s="7" t="s">
        <v>18</v>
      </c>
      <c r="M158" s="7" t="s">
        <v>18</v>
      </c>
      <c r="N158" s="7" t="s">
        <v>18</v>
      </c>
    </row>
    <row r="159" spans="1:14" s="2" customFormat="1" x14ac:dyDescent="0.15">
      <c r="A159" s="3">
        <v>158</v>
      </c>
      <c r="B159" s="4" t="str">
        <f>IF(COUNTIF(用語集[キーワード],用語集[[#This Row],[キーワード]])&gt;1,"!","")</f>
        <v/>
      </c>
      <c r="C159" s="4" t="str">
        <f>IF(用語集[[#This Row],[キーワード]]="","",IF(OR(用語集[[#This Row],[説明]]="",NOT(ISERROR(FIND("★",用語集[[#This Row],[説明]])))),"★","☆"))</f>
        <v/>
      </c>
      <c r="D159" s="5"/>
      <c r="E159" s="3"/>
      <c r="F159" s="3"/>
      <c r="G159" s="4"/>
      <c r="H159" s="4"/>
      <c r="I159" s="7" t="s">
        <v>18</v>
      </c>
      <c r="J159" s="7" t="s">
        <v>18</v>
      </c>
      <c r="K159" s="7" t="s">
        <v>18</v>
      </c>
      <c r="L159" s="7" t="s">
        <v>18</v>
      </c>
      <c r="M159" s="7" t="s">
        <v>18</v>
      </c>
      <c r="N159" s="7" t="s">
        <v>18</v>
      </c>
    </row>
    <row r="160" spans="1:14" s="2" customFormat="1" x14ac:dyDescent="0.15">
      <c r="A160" s="3">
        <v>159</v>
      </c>
      <c r="B160" s="4" t="str">
        <f>IF(COUNTIF(用語集[キーワード],用語集[[#This Row],[キーワード]])&gt;1,"!","")</f>
        <v/>
      </c>
      <c r="C160" s="4" t="str">
        <f>IF(用語集[[#This Row],[キーワード]]="","",IF(OR(用語集[[#This Row],[説明]]="",NOT(ISERROR(FIND("★",用語集[[#This Row],[説明]])))),"★","☆"))</f>
        <v/>
      </c>
      <c r="D160" s="5"/>
      <c r="E160" s="3"/>
      <c r="F160" s="3"/>
      <c r="G160" s="4"/>
      <c r="H160" s="4"/>
      <c r="I160" s="7" t="s">
        <v>18</v>
      </c>
      <c r="J160" s="7" t="s">
        <v>18</v>
      </c>
      <c r="K160" s="7" t="s">
        <v>18</v>
      </c>
      <c r="L160" s="7" t="s">
        <v>18</v>
      </c>
      <c r="M160" s="7" t="s">
        <v>18</v>
      </c>
      <c r="N160" s="7" t="s">
        <v>18</v>
      </c>
    </row>
    <row r="161" spans="1:14" s="2" customFormat="1" x14ac:dyDescent="0.15">
      <c r="A161" s="3">
        <v>160</v>
      </c>
      <c r="B161" s="4" t="str">
        <f>IF(COUNTIF(用語集[キーワード],用語集[[#This Row],[キーワード]])&gt;1,"!","")</f>
        <v/>
      </c>
      <c r="C161" s="4" t="str">
        <f>IF(用語集[[#This Row],[キーワード]]="","",IF(OR(用語集[[#This Row],[説明]]="",NOT(ISERROR(FIND("★",用語集[[#This Row],[説明]])))),"★","☆"))</f>
        <v/>
      </c>
      <c r="D161" s="5"/>
      <c r="E161" s="3"/>
      <c r="F161" s="3"/>
      <c r="G161" s="4"/>
      <c r="H161" s="4"/>
      <c r="I161" s="7" t="s">
        <v>18</v>
      </c>
      <c r="J161" s="7" t="s">
        <v>18</v>
      </c>
      <c r="K161" s="7" t="s">
        <v>18</v>
      </c>
      <c r="L161" s="7" t="s">
        <v>18</v>
      </c>
      <c r="M161" s="7" t="s">
        <v>18</v>
      </c>
      <c r="N161" s="7" t="s">
        <v>18</v>
      </c>
    </row>
    <row r="162" spans="1:14" s="2" customFormat="1" x14ac:dyDescent="0.15">
      <c r="A162" s="3">
        <v>161</v>
      </c>
      <c r="B162" s="4" t="str">
        <f>IF(COUNTIF(用語集[キーワード],用語集[[#This Row],[キーワード]])&gt;1,"!","")</f>
        <v/>
      </c>
      <c r="C162" s="4" t="str">
        <f>IF(用語集[[#This Row],[キーワード]]="","",IF(OR(用語集[[#This Row],[説明]]="",NOT(ISERROR(FIND("★",用語集[[#This Row],[説明]])))),"★","☆"))</f>
        <v/>
      </c>
      <c r="D162" s="5"/>
      <c r="E162" s="3"/>
      <c r="F162" s="3"/>
      <c r="G162" s="4"/>
      <c r="H162" s="4"/>
      <c r="I162" s="7" t="s">
        <v>18</v>
      </c>
      <c r="J162" s="7" t="s">
        <v>18</v>
      </c>
      <c r="K162" s="7" t="s">
        <v>18</v>
      </c>
      <c r="L162" s="7" t="s">
        <v>18</v>
      </c>
      <c r="M162" s="7" t="s">
        <v>18</v>
      </c>
      <c r="N162" s="7" t="s">
        <v>18</v>
      </c>
    </row>
    <row r="163" spans="1:14" s="2" customFormat="1" x14ac:dyDescent="0.15">
      <c r="A163" s="3">
        <v>162</v>
      </c>
      <c r="B163" s="4" t="str">
        <f>IF(COUNTIF(用語集[キーワード],用語集[[#This Row],[キーワード]])&gt;1,"!","")</f>
        <v/>
      </c>
      <c r="C163" s="4" t="str">
        <f>IF(用語集[[#This Row],[キーワード]]="","",IF(OR(用語集[[#This Row],[説明]]="",NOT(ISERROR(FIND("★",用語集[[#This Row],[説明]])))),"★","☆"))</f>
        <v/>
      </c>
      <c r="D163" s="5"/>
      <c r="E163" s="3"/>
      <c r="F163" s="3"/>
      <c r="G163" s="4"/>
      <c r="H163" s="4"/>
      <c r="I163" s="7" t="s">
        <v>18</v>
      </c>
      <c r="J163" s="7" t="s">
        <v>18</v>
      </c>
      <c r="K163" s="7" t="s">
        <v>18</v>
      </c>
      <c r="L163" s="7" t="s">
        <v>18</v>
      </c>
      <c r="M163" s="7" t="s">
        <v>18</v>
      </c>
      <c r="N163" s="7" t="s">
        <v>18</v>
      </c>
    </row>
    <row r="164" spans="1:14" s="2" customFormat="1" x14ac:dyDescent="0.15">
      <c r="A164" s="3">
        <v>163</v>
      </c>
      <c r="B164" s="4" t="str">
        <f>IF(COUNTIF(用語集[キーワード],用語集[[#This Row],[キーワード]])&gt;1,"!","")</f>
        <v/>
      </c>
      <c r="C164" s="4" t="str">
        <f>IF(用語集[[#This Row],[キーワード]]="","",IF(OR(用語集[[#This Row],[説明]]="",NOT(ISERROR(FIND("★",用語集[[#This Row],[説明]])))),"★","☆"))</f>
        <v/>
      </c>
      <c r="D164" s="5"/>
      <c r="E164" s="3"/>
      <c r="F164" s="3"/>
      <c r="G164" s="4"/>
      <c r="H164" s="4"/>
      <c r="I164" s="7" t="s">
        <v>18</v>
      </c>
      <c r="J164" s="7" t="s">
        <v>18</v>
      </c>
      <c r="K164" s="7" t="s">
        <v>18</v>
      </c>
      <c r="L164" s="7" t="s">
        <v>18</v>
      </c>
      <c r="M164" s="7" t="s">
        <v>18</v>
      </c>
      <c r="N164" s="7" t="s">
        <v>18</v>
      </c>
    </row>
    <row r="165" spans="1:14" s="2" customFormat="1" x14ac:dyDescent="0.15">
      <c r="A165" s="3">
        <v>164</v>
      </c>
      <c r="B165" s="4" t="str">
        <f>IF(COUNTIF(用語集[キーワード],用語集[[#This Row],[キーワード]])&gt;1,"!","")</f>
        <v/>
      </c>
      <c r="C165" s="4" t="str">
        <f>IF(用語集[[#This Row],[キーワード]]="","",IF(OR(用語集[[#This Row],[説明]]="",NOT(ISERROR(FIND("★",用語集[[#This Row],[説明]])))),"★","☆"))</f>
        <v/>
      </c>
      <c r="D165" s="5"/>
      <c r="E165" s="3"/>
      <c r="F165" s="3"/>
      <c r="G165" s="4"/>
      <c r="H165" s="4"/>
      <c r="I165" s="7" t="s">
        <v>18</v>
      </c>
      <c r="J165" s="7" t="s">
        <v>18</v>
      </c>
      <c r="K165" s="7" t="s">
        <v>18</v>
      </c>
      <c r="L165" s="7" t="s">
        <v>18</v>
      </c>
      <c r="M165" s="7" t="s">
        <v>18</v>
      </c>
      <c r="N165" s="7" t="s">
        <v>18</v>
      </c>
    </row>
    <row r="166" spans="1:14" s="2" customFormat="1" x14ac:dyDescent="0.15">
      <c r="A166" s="3">
        <v>165</v>
      </c>
      <c r="B166" s="4" t="str">
        <f>IF(COUNTIF(用語集[キーワード],用語集[[#This Row],[キーワード]])&gt;1,"!","")</f>
        <v/>
      </c>
      <c r="C166" s="4" t="str">
        <f>IF(用語集[[#This Row],[キーワード]]="","",IF(OR(用語集[[#This Row],[説明]]="",NOT(ISERROR(FIND("★",用語集[[#This Row],[説明]])))),"★","☆"))</f>
        <v/>
      </c>
      <c r="D166" s="5"/>
      <c r="E166" s="3"/>
      <c r="F166" s="3"/>
      <c r="G166" s="4"/>
      <c r="H166" s="4"/>
      <c r="I166" s="7" t="s">
        <v>18</v>
      </c>
      <c r="J166" s="7" t="s">
        <v>18</v>
      </c>
      <c r="K166" s="7" t="s">
        <v>18</v>
      </c>
      <c r="L166" s="7" t="s">
        <v>18</v>
      </c>
      <c r="M166" s="7" t="s">
        <v>18</v>
      </c>
      <c r="N166" s="7" t="s">
        <v>18</v>
      </c>
    </row>
    <row r="167" spans="1:14" s="2" customFormat="1" x14ac:dyDescent="0.15">
      <c r="A167" s="3">
        <v>166</v>
      </c>
      <c r="B167" s="4" t="str">
        <f>IF(COUNTIF(用語集[キーワード],用語集[[#This Row],[キーワード]])&gt;1,"!","")</f>
        <v/>
      </c>
      <c r="C167" s="4" t="str">
        <f>IF(用語集[[#This Row],[キーワード]]="","",IF(OR(用語集[[#This Row],[説明]]="",NOT(ISERROR(FIND("★",用語集[[#This Row],[説明]])))),"★","☆"))</f>
        <v/>
      </c>
      <c r="D167" s="5"/>
      <c r="E167" s="3"/>
      <c r="F167" s="3"/>
      <c r="G167" s="4"/>
      <c r="H167" s="4"/>
      <c r="I167" s="7" t="s">
        <v>18</v>
      </c>
      <c r="J167" s="7" t="s">
        <v>18</v>
      </c>
      <c r="K167" s="7" t="s">
        <v>18</v>
      </c>
      <c r="L167" s="7" t="s">
        <v>18</v>
      </c>
      <c r="M167" s="7" t="s">
        <v>18</v>
      </c>
      <c r="N167" s="7" t="s">
        <v>18</v>
      </c>
    </row>
    <row r="168" spans="1:14" s="2" customFormat="1" x14ac:dyDescent="0.15">
      <c r="A168" s="3">
        <v>167</v>
      </c>
      <c r="B168" s="4" t="str">
        <f>IF(COUNTIF(用語集[キーワード],用語集[[#This Row],[キーワード]])&gt;1,"!","")</f>
        <v/>
      </c>
      <c r="C168" s="4" t="str">
        <f>IF(用語集[[#This Row],[キーワード]]="","",IF(OR(用語集[[#This Row],[説明]]="",NOT(ISERROR(FIND("★",用語集[[#This Row],[説明]])))),"★","☆"))</f>
        <v/>
      </c>
      <c r="D168" s="5"/>
      <c r="E168" s="3"/>
      <c r="F168" s="3"/>
      <c r="G168" s="4"/>
      <c r="H168" s="4"/>
      <c r="I168" s="7" t="s">
        <v>18</v>
      </c>
      <c r="J168" s="7" t="s">
        <v>18</v>
      </c>
      <c r="K168" s="7" t="s">
        <v>18</v>
      </c>
      <c r="L168" s="7" t="s">
        <v>18</v>
      </c>
      <c r="M168" s="7" t="s">
        <v>18</v>
      </c>
      <c r="N168" s="7" t="s">
        <v>18</v>
      </c>
    </row>
    <row r="169" spans="1:14" s="2" customFormat="1" x14ac:dyDescent="0.15">
      <c r="A169" s="3">
        <v>168</v>
      </c>
      <c r="B169" s="4" t="str">
        <f>IF(COUNTIF(用語集[キーワード],用語集[[#This Row],[キーワード]])&gt;1,"!","")</f>
        <v/>
      </c>
      <c r="C169" s="4" t="str">
        <f>IF(用語集[[#This Row],[キーワード]]="","",IF(OR(用語集[[#This Row],[説明]]="",NOT(ISERROR(FIND("★",用語集[[#This Row],[説明]])))),"★","☆"))</f>
        <v/>
      </c>
      <c r="D169" s="5"/>
      <c r="E169" s="3"/>
      <c r="F169" s="3"/>
      <c r="G169" s="4"/>
      <c r="H169" s="4"/>
      <c r="I169" s="7" t="s">
        <v>18</v>
      </c>
      <c r="J169" s="7" t="s">
        <v>18</v>
      </c>
      <c r="K169" s="7" t="s">
        <v>18</v>
      </c>
      <c r="L169" s="7" t="s">
        <v>18</v>
      </c>
      <c r="M169" s="7" t="s">
        <v>18</v>
      </c>
      <c r="N169" s="7" t="s">
        <v>18</v>
      </c>
    </row>
    <row r="170" spans="1:14" s="2" customFormat="1" x14ac:dyDescent="0.15">
      <c r="A170" s="3">
        <v>169</v>
      </c>
      <c r="B170" s="4" t="str">
        <f>IF(COUNTIF(用語集[キーワード],用語集[[#This Row],[キーワード]])&gt;1,"!","")</f>
        <v/>
      </c>
      <c r="C170" s="4" t="str">
        <f>IF(用語集[[#This Row],[キーワード]]="","",IF(OR(用語集[[#This Row],[説明]]="",NOT(ISERROR(FIND("★",用語集[[#This Row],[説明]])))),"★","☆"))</f>
        <v/>
      </c>
      <c r="D170" s="5"/>
      <c r="E170" s="3"/>
      <c r="F170" s="3"/>
      <c r="G170" s="4"/>
      <c r="H170" s="4"/>
      <c r="I170" s="7" t="s">
        <v>18</v>
      </c>
      <c r="J170" s="7" t="s">
        <v>18</v>
      </c>
      <c r="K170" s="7" t="s">
        <v>18</v>
      </c>
      <c r="L170" s="7" t="s">
        <v>18</v>
      </c>
      <c r="M170" s="7" t="s">
        <v>18</v>
      </c>
      <c r="N170" s="7" t="s">
        <v>18</v>
      </c>
    </row>
    <row r="171" spans="1:14" s="2" customFormat="1" x14ac:dyDescent="0.15">
      <c r="A171" s="3">
        <v>170</v>
      </c>
      <c r="B171" s="4" t="str">
        <f>IF(COUNTIF(用語集[キーワード],用語集[[#This Row],[キーワード]])&gt;1,"!","")</f>
        <v/>
      </c>
      <c r="C171" s="4" t="str">
        <f>IF(用語集[[#This Row],[キーワード]]="","",IF(OR(用語集[[#This Row],[説明]]="",NOT(ISERROR(FIND("★",用語集[[#This Row],[説明]])))),"★","☆"))</f>
        <v/>
      </c>
      <c r="D171" s="5"/>
      <c r="E171" s="3"/>
      <c r="F171" s="3"/>
      <c r="G171" s="4"/>
      <c r="H171" s="4"/>
      <c r="I171" s="7" t="s">
        <v>18</v>
      </c>
      <c r="J171" s="7" t="s">
        <v>18</v>
      </c>
      <c r="K171" s="7" t="s">
        <v>18</v>
      </c>
      <c r="L171" s="7" t="s">
        <v>18</v>
      </c>
      <c r="M171" s="7" t="s">
        <v>18</v>
      </c>
      <c r="N171" s="7" t="s">
        <v>18</v>
      </c>
    </row>
    <row r="172" spans="1:14" s="2" customFormat="1" x14ac:dyDescent="0.15">
      <c r="A172" s="3">
        <v>171</v>
      </c>
      <c r="B172" s="4" t="str">
        <f>IF(COUNTIF(用語集[キーワード],用語集[[#This Row],[キーワード]])&gt;1,"!","")</f>
        <v/>
      </c>
      <c r="C172" s="4" t="str">
        <f>IF(用語集[[#This Row],[キーワード]]="","",IF(OR(用語集[[#This Row],[説明]]="",NOT(ISERROR(FIND("★",用語集[[#This Row],[説明]])))),"★","☆"))</f>
        <v/>
      </c>
      <c r="D172" s="5"/>
      <c r="E172" s="3"/>
      <c r="F172" s="3"/>
      <c r="G172" s="4"/>
      <c r="H172" s="4"/>
      <c r="I172" s="7" t="s">
        <v>18</v>
      </c>
      <c r="J172" s="7" t="s">
        <v>18</v>
      </c>
      <c r="K172" s="7" t="s">
        <v>18</v>
      </c>
      <c r="L172" s="7" t="s">
        <v>18</v>
      </c>
      <c r="M172" s="7" t="s">
        <v>18</v>
      </c>
      <c r="N172" s="7" t="s">
        <v>18</v>
      </c>
    </row>
    <row r="173" spans="1:14" s="2" customFormat="1" x14ac:dyDescent="0.15">
      <c r="A173" s="3">
        <v>172</v>
      </c>
      <c r="B173" s="4" t="str">
        <f>IF(COUNTIF(用語集[キーワード],用語集[[#This Row],[キーワード]])&gt;1,"!","")</f>
        <v/>
      </c>
      <c r="C173" s="4" t="str">
        <f>IF(用語集[[#This Row],[キーワード]]="","",IF(OR(用語集[[#This Row],[説明]]="",NOT(ISERROR(FIND("★",用語集[[#This Row],[説明]])))),"★","☆"))</f>
        <v/>
      </c>
      <c r="D173" s="5"/>
      <c r="E173" s="3"/>
      <c r="F173" s="3"/>
      <c r="G173" s="4"/>
      <c r="H173" s="4"/>
      <c r="I173" s="7" t="s">
        <v>18</v>
      </c>
      <c r="J173" s="7" t="s">
        <v>18</v>
      </c>
      <c r="K173" s="7" t="s">
        <v>18</v>
      </c>
      <c r="L173" s="7" t="s">
        <v>18</v>
      </c>
      <c r="M173" s="7" t="s">
        <v>18</v>
      </c>
      <c r="N173" s="7" t="s">
        <v>18</v>
      </c>
    </row>
    <row r="174" spans="1:14" s="2" customFormat="1" x14ac:dyDescent="0.15">
      <c r="A174" s="3">
        <v>173</v>
      </c>
      <c r="B174" s="4" t="str">
        <f>IF(COUNTIF(用語集[キーワード],用語集[[#This Row],[キーワード]])&gt;1,"!","")</f>
        <v/>
      </c>
      <c r="C174" s="4" t="str">
        <f>IF(用語集[[#This Row],[キーワード]]="","",IF(OR(用語集[[#This Row],[説明]]="",NOT(ISERROR(FIND("★",用語集[[#This Row],[説明]])))),"★","☆"))</f>
        <v/>
      </c>
      <c r="D174" s="5"/>
      <c r="E174" s="3"/>
      <c r="F174" s="3"/>
      <c r="G174" s="4"/>
      <c r="H174" s="4"/>
      <c r="I174" s="7" t="s">
        <v>18</v>
      </c>
      <c r="J174" s="7" t="s">
        <v>18</v>
      </c>
      <c r="K174" s="7" t="s">
        <v>18</v>
      </c>
      <c r="L174" s="7" t="s">
        <v>18</v>
      </c>
      <c r="M174" s="7" t="s">
        <v>18</v>
      </c>
      <c r="N174" s="7" t="s">
        <v>18</v>
      </c>
    </row>
    <row r="175" spans="1:14" s="2" customFormat="1" x14ac:dyDescent="0.15">
      <c r="A175" s="3">
        <v>174</v>
      </c>
      <c r="B175" s="4" t="str">
        <f>IF(COUNTIF(用語集[キーワード],用語集[[#This Row],[キーワード]])&gt;1,"!","")</f>
        <v/>
      </c>
      <c r="C175" s="4" t="str">
        <f>IF(用語集[[#This Row],[キーワード]]="","",IF(OR(用語集[[#This Row],[説明]]="",NOT(ISERROR(FIND("★",用語集[[#This Row],[説明]])))),"★","☆"))</f>
        <v/>
      </c>
      <c r="D175" s="5"/>
      <c r="E175" s="3"/>
      <c r="F175" s="3"/>
      <c r="G175" s="4"/>
      <c r="H175" s="4"/>
      <c r="I175" s="7" t="s">
        <v>18</v>
      </c>
      <c r="J175" s="7" t="s">
        <v>18</v>
      </c>
      <c r="K175" s="7" t="s">
        <v>18</v>
      </c>
      <c r="L175" s="7" t="s">
        <v>18</v>
      </c>
      <c r="M175" s="7" t="s">
        <v>18</v>
      </c>
      <c r="N175" s="7" t="s">
        <v>18</v>
      </c>
    </row>
    <row r="176" spans="1:14" s="2" customFormat="1" x14ac:dyDescent="0.15">
      <c r="A176" s="3">
        <v>175</v>
      </c>
      <c r="B176" s="4" t="str">
        <f>IF(COUNTIF(用語集[キーワード],用語集[[#This Row],[キーワード]])&gt;1,"!","")</f>
        <v/>
      </c>
      <c r="C176" s="4" t="str">
        <f>IF(用語集[[#This Row],[キーワード]]="","",IF(OR(用語集[[#This Row],[説明]]="",NOT(ISERROR(FIND("★",用語集[[#This Row],[説明]])))),"★","☆"))</f>
        <v/>
      </c>
      <c r="D176" s="5"/>
      <c r="E176" s="3"/>
      <c r="F176" s="3"/>
      <c r="G176" s="4"/>
      <c r="H176" s="4"/>
      <c r="I176" s="7" t="s">
        <v>18</v>
      </c>
      <c r="J176" s="7" t="s">
        <v>18</v>
      </c>
      <c r="K176" s="7" t="s">
        <v>18</v>
      </c>
      <c r="L176" s="7" t="s">
        <v>18</v>
      </c>
      <c r="M176" s="7" t="s">
        <v>18</v>
      </c>
      <c r="N176" s="7" t="s">
        <v>18</v>
      </c>
    </row>
    <row r="177" spans="1:14" s="2" customFormat="1" x14ac:dyDescent="0.15">
      <c r="A177" s="3">
        <v>176</v>
      </c>
      <c r="B177" s="4" t="str">
        <f>IF(COUNTIF(用語集[キーワード],用語集[[#This Row],[キーワード]])&gt;1,"!","")</f>
        <v/>
      </c>
      <c r="C177" s="4" t="str">
        <f>IF(用語集[[#This Row],[キーワード]]="","",IF(OR(用語集[[#This Row],[説明]]="",NOT(ISERROR(FIND("★",用語集[[#This Row],[説明]])))),"★","☆"))</f>
        <v/>
      </c>
      <c r="D177" s="5"/>
      <c r="E177" s="3"/>
      <c r="F177" s="3"/>
      <c r="G177" s="4"/>
      <c r="H177" s="4"/>
      <c r="I177" s="7" t="s">
        <v>18</v>
      </c>
      <c r="J177" s="7" t="s">
        <v>18</v>
      </c>
      <c r="K177" s="7" t="s">
        <v>18</v>
      </c>
      <c r="L177" s="7" t="s">
        <v>18</v>
      </c>
      <c r="M177" s="7" t="s">
        <v>18</v>
      </c>
      <c r="N177" s="7" t="s">
        <v>18</v>
      </c>
    </row>
    <row r="178" spans="1:14" s="2" customFormat="1" x14ac:dyDescent="0.15">
      <c r="A178" s="3">
        <v>177</v>
      </c>
      <c r="B178" s="4" t="str">
        <f>IF(COUNTIF(用語集[キーワード],用語集[[#This Row],[キーワード]])&gt;1,"!","")</f>
        <v/>
      </c>
      <c r="C178" s="4" t="str">
        <f>IF(用語集[[#This Row],[キーワード]]="","",IF(OR(用語集[[#This Row],[説明]]="",NOT(ISERROR(FIND("★",用語集[[#This Row],[説明]])))),"★","☆"))</f>
        <v/>
      </c>
      <c r="D178" s="5"/>
      <c r="E178" s="3"/>
      <c r="F178" s="3"/>
      <c r="G178" s="4"/>
      <c r="H178" s="4"/>
      <c r="I178" s="7" t="s">
        <v>18</v>
      </c>
      <c r="J178" s="7" t="s">
        <v>18</v>
      </c>
      <c r="K178" s="7" t="s">
        <v>18</v>
      </c>
      <c r="L178" s="7" t="s">
        <v>18</v>
      </c>
      <c r="M178" s="7" t="s">
        <v>18</v>
      </c>
      <c r="N178" s="7" t="s">
        <v>18</v>
      </c>
    </row>
    <row r="179" spans="1:14" s="2" customFormat="1" x14ac:dyDescent="0.15">
      <c r="A179" s="3">
        <v>178</v>
      </c>
      <c r="B179" s="4" t="str">
        <f>IF(COUNTIF(用語集[キーワード],用語集[[#This Row],[キーワード]])&gt;1,"!","")</f>
        <v/>
      </c>
      <c r="C179" s="4" t="str">
        <f>IF(用語集[[#This Row],[キーワード]]="","",IF(OR(用語集[[#This Row],[説明]]="",NOT(ISERROR(FIND("★",用語集[[#This Row],[説明]])))),"★","☆"))</f>
        <v/>
      </c>
      <c r="D179" s="5"/>
      <c r="E179" s="3"/>
      <c r="F179" s="3"/>
      <c r="G179" s="4"/>
      <c r="H179" s="4"/>
      <c r="I179" s="7" t="s">
        <v>18</v>
      </c>
      <c r="J179" s="7" t="s">
        <v>18</v>
      </c>
      <c r="K179" s="7" t="s">
        <v>18</v>
      </c>
      <c r="L179" s="7" t="s">
        <v>18</v>
      </c>
      <c r="M179" s="7" t="s">
        <v>18</v>
      </c>
      <c r="N179" s="7" t="s">
        <v>18</v>
      </c>
    </row>
    <row r="180" spans="1:14" s="2" customFormat="1" x14ac:dyDescent="0.15">
      <c r="A180" s="3">
        <v>179</v>
      </c>
      <c r="B180" s="4" t="str">
        <f>IF(COUNTIF(用語集[キーワード],用語集[[#This Row],[キーワード]])&gt;1,"!","")</f>
        <v/>
      </c>
      <c r="C180" s="4" t="str">
        <f>IF(用語集[[#This Row],[キーワード]]="","",IF(OR(用語集[[#This Row],[説明]]="",NOT(ISERROR(FIND("★",用語集[[#This Row],[説明]])))),"★","☆"))</f>
        <v/>
      </c>
      <c r="D180" s="5"/>
      <c r="E180" s="3"/>
      <c r="F180" s="3"/>
      <c r="G180" s="4"/>
      <c r="H180" s="4"/>
      <c r="I180" s="7" t="s">
        <v>18</v>
      </c>
      <c r="J180" s="7" t="s">
        <v>18</v>
      </c>
      <c r="K180" s="7" t="s">
        <v>18</v>
      </c>
      <c r="L180" s="7" t="s">
        <v>18</v>
      </c>
      <c r="M180" s="7" t="s">
        <v>18</v>
      </c>
      <c r="N180" s="7" t="s">
        <v>18</v>
      </c>
    </row>
    <row r="181" spans="1:14" s="2" customFormat="1" x14ac:dyDescent="0.15">
      <c r="A181" s="3">
        <v>180</v>
      </c>
      <c r="B181" s="4" t="str">
        <f>IF(COUNTIF(用語集[キーワード],用語集[[#This Row],[キーワード]])&gt;1,"!","")</f>
        <v/>
      </c>
      <c r="C181" s="4" t="str">
        <f>IF(用語集[[#This Row],[キーワード]]="","",IF(OR(用語集[[#This Row],[説明]]="",NOT(ISERROR(FIND("★",用語集[[#This Row],[説明]])))),"★","☆"))</f>
        <v/>
      </c>
      <c r="D181" s="5"/>
      <c r="E181" s="3"/>
      <c r="F181" s="3"/>
      <c r="G181" s="4"/>
      <c r="H181" s="4"/>
      <c r="I181" s="7" t="s">
        <v>18</v>
      </c>
      <c r="J181" s="7" t="s">
        <v>18</v>
      </c>
      <c r="K181" s="7" t="s">
        <v>18</v>
      </c>
      <c r="L181" s="7" t="s">
        <v>18</v>
      </c>
      <c r="M181" s="7" t="s">
        <v>18</v>
      </c>
      <c r="N181" s="7" t="s">
        <v>18</v>
      </c>
    </row>
    <row r="182" spans="1:14" s="2" customFormat="1" x14ac:dyDescent="0.15">
      <c r="A182" s="3">
        <v>181</v>
      </c>
      <c r="B182" s="4" t="str">
        <f>IF(COUNTIF(用語集[キーワード],用語集[[#This Row],[キーワード]])&gt;1,"!","")</f>
        <v/>
      </c>
      <c r="C182" s="4" t="str">
        <f>IF(用語集[[#This Row],[キーワード]]="","",IF(OR(用語集[[#This Row],[説明]]="",NOT(ISERROR(FIND("★",用語集[[#This Row],[説明]])))),"★","☆"))</f>
        <v/>
      </c>
      <c r="D182" s="5"/>
      <c r="E182" s="3"/>
      <c r="F182" s="3"/>
      <c r="G182" s="4"/>
      <c r="H182" s="4"/>
      <c r="I182" s="7" t="s">
        <v>18</v>
      </c>
      <c r="J182" s="7" t="s">
        <v>18</v>
      </c>
      <c r="K182" s="7" t="s">
        <v>18</v>
      </c>
      <c r="L182" s="7" t="s">
        <v>18</v>
      </c>
      <c r="M182" s="7" t="s">
        <v>18</v>
      </c>
      <c r="N182" s="7" t="s">
        <v>18</v>
      </c>
    </row>
    <row r="183" spans="1:14" s="2" customFormat="1" x14ac:dyDescent="0.15">
      <c r="A183" s="3">
        <v>182</v>
      </c>
      <c r="B183" s="4" t="str">
        <f>IF(COUNTIF(用語集[キーワード],用語集[[#This Row],[キーワード]])&gt;1,"!","")</f>
        <v/>
      </c>
      <c r="C183" s="4" t="str">
        <f>IF(用語集[[#This Row],[キーワード]]="","",IF(OR(用語集[[#This Row],[説明]]="",NOT(ISERROR(FIND("★",用語集[[#This Row],[説明]])))),"★","☆"))</f>
        <v/>
      </c>
      <c r="D183" s="5"/>
      <c r="E183" s="3"/>
      <c r="F183" s="3"/>
      <c r="G183" s="4"/>
      <c r="H183" s="4"/>
      <c r="I183" s="7" t="s">
        <v>18</v>
      </c>
      <c r="J183" s="7" t="s">
        <v>18</v>
      </c>
      <c r="K183" s="7" t="s">
        <v>18</v>
      </c>
      <c r="L183" s="7" t="s">
        <v>18</v>
      </c>
      <c r="M183" s="7" t="s">
        <v>18</v>
      </c>
      <c r="N183" s="7" t="s">
        <v>18</v>
      </c>
    </row>
    <row r="184" spans="1:14" s="2" customFormat="1" x14ac:dyDescent="0.15">
      <c r="A184" s="3">
        <v>183</v>
      </c>
      <c r="B184" s="4" t="str">
        <f>IF(COUNTIF(用語集[キーワード],用語集[[#This Row],[キーワード]])&gt;1,"!","")</f>
        <v/>
      </c>
      <c r="C184" s="4" t="str">
        <f>IF(用語集[[#This Row],[キーワード]]="","",IF(OR(用語集[[#This Row],[説明]]="",NOT(ISERROR(FIND("★",用語集[[#This Row],[説明]])))),"★","☆"))</f>
        <v/>
      </c>
      <c r="D184" s="5"/>
      <c r="E184" s="3"/>
      <c r="F184" s="3"/>
      <c r="G184" s="4"/>
      <c r="H184" s="4"/>
      <c r="I184" s="7" t="s">
        <v>18</v>
      </c>
      <c r="J184" s="7" t="s">
        <v>18</v>
      </c>
      <c r="K184" s="7" t="s">
        <v>18</v>
      </c>
      <c r="L184" s="7" t="s">
        <v>18</v>
      </c>
      <c r="M184" s="7" t="s">
        <v>18</v>
      </c>
      <c r="N184" s="7" t="s">
        <v>18</v>
      </c>
    </row>
    <row r="185" spans="1:14" s="2" customFormat="1" x14ac:dyDescent="0.15">
      <c r="A185" s="3">
        <v>184</v>
      </c>
      <c r="B185" s="4" t="str">
        <f>IF(COUNTIF(用語集[キーワード],用語集[[#This Row],[キーワード]])&gt;1,"!","")</f>
        <v/>
      </c>
      <c r="C185" s="4" t="str">
        <f>IF(用語集[[#This Row],[キーワード]]="","",IF(OR(用語集[[#This Row],[説明]]="",NOT(ISERROR(FIND("★",用語集[[#This Row],[説明]])))),"★","☆"))</f>
        <v/>
      </c>
      <c r="D185" s="5"/>
      <c r="E185" s="3"/>
      <c r="F185" s="3"/>
      <c r="G185" s="4"/>
      <c r="H185" s="4"/>
      <c r="I185" s="7" t="s">
        <v>18</v>
      </c>
      <c r="J185" s="7" t="s">
        <v>18</v>
      </c>
      <c r="K185" s="7" t="s">
        <v>18</v>
      </c>
      <c r="L185" s="7" t="s">
        <v>18</v>
      </c>
      <c r="M185" s="7" t="s">
        <v>18</v>
      </c>
      <c r="N185" s="7" t="s">
        <v>18</v>
      </c>
    </row>
    <row r="186" spans="1:14" s="2" customFormat="1" x14ac:dyDescent="0.15">
      <c r="A186" s="3">
        <v>185</v>
      </c>
      <c r="B186" s="4" t="str">
        <f>IF(COUNTIF(用語集[キーワード],用語集[[#This Row],[キーワード]])&gt;1,"!","")</f>
        <v/>
      </c>
      <c r="C186" s="4" t="str">
        <f>IF(用語集[[#This Row],[キーワード]]="","",IF(OR(用語集[[#This Row],[説明]]="",NOT(ISERROR(FIND("★",用語集[[#This Row],[説明]])))),"★","☆"))</f>
        <v/>
      </c>
      <c r="D186" s="5"/>
      <c r="E186" s="3"/>
      <c r="F186" s="3"/>
      <c r="G186" s="4"/>
      <c r="H186" s="4"/>
      <c r="I186" s="7" t="s">
        <v>18</v>
      </c>
      <c r="J186" s="7" t="s">
        <v>18</v>
      </c>
      <c r="K186" s="7" t="s">
        <v>18</v>
      </c>
      <c r="L186" s="7" t="s">
        <v>18</v>
      </c>
      <c r="M186" s="7" t="s">
        <v>18</v>
      </c>
      <c r="N186" s="7" t="s">
        <v>18</v>
      </c>
    </row>
    <row r="187" spans="1:14" s="2" customFormat="1" x14ac:dyDescent="0.15">
      <c r="A187" s="3">
        <v>186</v>
      </c>
      <c r="B187" s="4" t="str">
        <f>IF(COUNTIF(用語集[キーワード],用語集[[#This Row],[キーワード]])&gt;1,"!","")</f>
        <v/>
      </c>
      <c r="C187" s="4" t="str">
        <f>IF(用語集[[#This Row],[キーワード]]="","",IF(OR(用語集[[#This Row],[説明]]="",NOT(ISERROR(FIND("★",用語集[[#This Row],[説明]])))),"★","☆"))</f>
        <v/>
      </c>
      <c r="D187" s="5"/>
      <c r="E187" s="3"/>
      <c r="F187" s="3"/>
      <c r="G187" s="4"/>
      <c r="H187" s="4"/>
      <c r="I187" s="7" t="s">
        <v>18</v>
      </c>
      <c r="J187" s="7" t="s">
        <v>18</v>
      </c>
      <c r="K187" s="7" t="s">
        <v>18</v>
      </c>
      <c r="L187" s="7" t="s">
        <v>18</v>
      </c>
      <c r="M187" s="7" t="s">
        <v>18</v>
      </c>
      <c r="N187" s="7" t="s">
        <v>18</v>
      </c>
    </row>
    <row r="188" spans="1:14" s="2" customFormat="1" x14ac:dyDescent="0.15">
      <c r="A188" s="3">
        <v>187</v>
      </c>
      <c r="B188" s="4" t="str">
        <f>IF(COUNTIF(用語集[キーワード],用語集[[#This Row],[キーワード]])&gt;1,"!","")</f>
        <v/>
      </c>
      <c r="C188" s="4" t="str">
        <f>IF(用語集[[#This Row],[キーワード]]="","",IF(OR(用語集[[#This Row],[説明]]="",NOT(ISERROR(FIND("★",用語集[[#This Row],[説明]])))),"★","☆"))</f>
        <v/>
      </c>
      <c r="D188" s="5"/>
      <c r="E188" s="3"/>
      <c r="F188" s="3"/>
      <c r="G188" s="4"/>
      <c r="H188" s="4"/>
      <c r="I188" s="7" t="s">
        <v>18</v>
      </c>
      <c r="J188" s="7" t="s">
        <v>18</v>
      </c>
      <c r="K188" s="7" t="s">
        <v>18</v>
      </c>
      <c r="L188" s="7" t="s">
        <v>18</v>
      </c>
      <c r="M188" s="7" t="s">
        <v>18</v>
      </c>
      <c r="N188" s="7" t="s">
        <v>18</v>
      </c>
    </row>
    <row r="189" spans="1:14" s="2" customFormat="1" x14ac:dyDescent="0.15">
      <c r="A189" s="3">
        <v>188</v>
      </c>
      <c r="B189" s="4" t="str">
        <f>IF(COUNTIF(用語集[キーワード],用語集[[#This Row],[キーワード]])&gt;1,"!","")</f>
        <v/>
      </c>
      <c r="C189" s="4" t="str">
        <f>IF(用語集[[#This Row],[キーワード]]="","",IF(OR(用語集[[#This Row],[説明]]="",NOT(ISERROR(FIND("★",用語集[[#This Row],[説明]])))),"★","☆"))</f>
        <v/>
      </c>
      <c r="D189" s="5"/>
      <c r="E189" s="3"/>
      <c r="F189" s="3"/>
      <c r="G189" s="4"/>
      <c r="H189" s="4"/>
      <c r="I189" s="7" t="s">
        <v>18</v>
      </c>
      <c r="J189" s="7" t="s">
        <v>18</v>
      </c>
      <c r="K189" s="7" t="s">
        <v>18</v>
      </c>
      <c r="L189" s="7" t="s">
        <v>18</v>
      </c>
      <c r="M189" s="7" t="s">
        <v>18</v>
      </c>
      <c r="N189" s="7" t="s">
        <v>18</v>
      </c>
    </row>
    <row r="190" spans="1:14" s="2" customFormat="1" x14ac:dyDescent="0.15">
      <c r="A190" s="3">
        <v>189</v>
      </c>
      <c r="B190" s="4" t="str">
        <f>IF(COUNTIF(用語集[キーワード],用語集[[#This Row],[キーワード]])&gt;1,"!","")</f>
        <v/>
      </c>
      <c r="C190" s="4" t="str">
        <f>IF(用語集[[#This Row],[キーワード]]="","",IF(OR(用語集[[#This Row],[説明]]="",NOT(ISERROR(FIND("★",用語集[[#This Row],[説明]])))),"★","☆"))</f>
        <v/>
      </c>
      <c r="D190" s="5"/>
      <c r="E190" s="3"/>
      <c r="F190" s="3"/>
      <c r="G190" s="4"/>
      <c r="H190" s="4"/>
      <c r="I190" s="7" t="s">
        <v>18</v>
      </c>
      <c r="J190" s="7" t="s">
        <v>18</v>
      </c>
      <c r="K190" s="7" t="s">
        <v>18</v>
      </c>
      <c r="L190" s="7" t="s">
        <v>18</v>
      </c>
      <c r="M190" s="7" t="s">
        <v>18</v>
      </c>
      <c r="N190" s="7" t="s">
        <v>18</v>
      </c>
    </row>
    <row r="191" spans="1:14" s="2" customFormat="1" x14ac:dyDescent="0.15">
      <c r="A191" s="3">
        <v>190</v>
      </c>
      <c r="B191" s="4" t="str">
        <f>IF(COUNTIF(用語集[キーワード],用語集[[#This Row],[キーワード]])&gt;1,"!","")</f>
        <v/>
      </c>
      <c r="C191" s="4" t="str">
        <f>IF(用語集[[#This Row],[キーワード]]="","",IF(OR(用語集[[#This Row],[説明]]="",NOT(ISERROR(FIND("★",用語集[[#This Row],[説明]])))),"★","☆"))</f>
        <v/>
      </c>
      <c r="D191" s="5"/>
      <c r="E191" s="3"/>
      <c r="F191" s="3"/>
      <c r="G191" s="4"/>
      <c r="H191" s="4"/>
      <c r="I191" s="7" t="s">
        <v>18</v>
      </c>
      <c r="J191" s="7" t="s">
        <v>18</v>
      </c>
      <c r="K191" s="7" t="s">
        <v>18</v>
      </c>
      <c r="L191" s="7" t="s">
        <v>18</v>
      </c>
      <c r="M191" s="7" t="s">
        <v>18</v>
      </c>
      <c r="N191" s="7" t="s">
        <v>18</v>
      </c>
    </row>
    <row r="192" spans="1:14" s="2" customFormat="1" x14ac:dyDescent="0.15">
      <c r="A192" s="3">
        <v>191</v>
      </c>
      <c r="B192" s="4" t="str">
        <f>IF(COUNTIF(用語集[キーワード],用語集[[#This Row],[キーワード]])&gt;1,"!","")</f>
        <v/>
      </c>
      <c r="C192" s="4" t="str">
        <f>IF(用語集[[#This Row],[キーワード]]="","",IF(OR(用語集[[#This Row],[説明]]="",NOT(ISERROR(FIND("★",用語集[[#This Row],[説明]])))),"★","☆"))</f>
        <v/>
      </c>
      <c r="D192" s="5"/>
      <c r="E192" s="3"/>
      <c r="F192" s="3"/>
      <c r="G192" s="4"/>
      <c r="H192" s="4"/>
      <c r="I192" s="7" t="s">
        <v>18</v>
      </c>
      <c r="J192" s="7" t="s">
        <v>18</v>
      </c>
      <c r="K192" s="7" t="s">
        <v>18</v>
      </c>
      <c r="L192" s="7" t="s">
        <v>18</v>
      </c>
      <c r="M192" s="7" t="s">
        <v>18</v>
      </c>
      <c r="N192" s="7" t="s">
        <v>18</v>
      </c>
    </row>
    <row r="193" spans="1:14" s="2" customFormat="1" x14ac:dyDescent="0.15">
      <c r="A193" s="3">
        <v>192</v>
      </c>
      <c r="B193" s="4" t="str">
        <f>IF(COUNTIF(用語集[キーワード],用語集[[#This Row],[キーワード]])&gt;1,"!","")</f>
        <v/>
      </c>
      <c r="C193" s="4" t="str">
        <f>IF(用語集[[#This Row],[キーワード]]="","",IF(OR(用語集[[#This Row],[説明]]="",NOT(ISERROR(FIND("★",用語集[[#This Row],[説明]])))),"★","☆"))</f>
        <v/>
      </c>
      <c r="D193" s="5"/>
      <c r="E193" s="3"/>
      <c r="F193" s="3"/>
      <c r="G193" s="4"/>
      <c r="H193" s="4"/>
      <c r="I193" s="7" t="s">
        <v>18</v>
      </c>
      <c r="J193" s="7" t="s">
        <v>18</v>
      </c>
      <c r="K193" s="7" t="s">
        <v>18</v>
      </c>
      <c r="L193" s="7" t="s">
        <v>18</v>
      </c>
      <c r="M193" s="7" t="s">
        <v>18</v>
      </c>
      <c r="N193" s="7" t="s">
        <v>18</v>
      </c>
    </row>
    <row r="194" spans="1:14" s="2" customFormat="1" x14ac:dyDescent="0.15">
      <c r="A194" s="3">
        <v>193</v>
      </c>
      <c r="B194" s="4" t="str">
        <f>IF(COUNTIF(用語集[キーワード],用語集[[#This Row],[キーワード]])&gt;1,"!","")</f>
        <v/>
      </c>
      <c r="C194" s="4" t="str">
        <f>IF(用語集[[#This Row],[キーワード]]="","",IF(OR(用語集[[#This Row],[説明]]="",NOT(ISERROR(FIND("★",用語集[[#This Row],[説明]])))),"★","☆"))</f>
        <v/>
      </c>
      <c r="D194" s="5"/>
      <c r="E194" s="3"/>
      <c r="F194" s="3"/>
      <c r="G194" s="4"/>
      <c r="H194" s="4"/>
      <c r="I194" s="7" t="s">
        <v>18</v>
      </c>
      <c r="J194" s="7" t="s">
        <v>18</v>
      </c>
      <c r="K194" s="7" t="s">
        <v>18</v>
      </c>
      <c r="L194" s="7" t="s">
        <v>18</v>
      </c>
      <c r="M194" s="7" t="s">
        <v>18</v>
      </c>
      <c r="N194" s="7" t="s">
        <v>18</v>
      </c>
    </row>
    <row r="195" spans="1:14" s="2" customFormat="1" x14ac:dyDescent="0.15">
      <c r="A195" s="3">
        <v>194</v>
      </c>
      <c r="B195" s="4" t="str">
        <f>IF(COUNTIF(用語集[キーワード],用語集[[#This Row],[キーワード]])&gt;1,"!","")</f>
        <v/>
      </c>
      <c r="C195" s="4" t="str">
        <f>IF(用語集[[#This Row],[キーワード]]="","",IF(OR(用語集[[#This Row],[説明]]="",NOT(ISERROR(FIND("★",用語集[[#This Row],[説明]])))),"★","☆"))</f>
        <v/>
      </c>
      <c r="D195" s="5"/>
      <c r="E195" s="3"/>
      <c r="F195" s="3"/>
      <c r="G195" s="4"/>
      <c r="H195" s="4"/>
      <c r="I195" s="7" t="s">
        <v>18</v>
      </c>
      <c r="J195" s="7" t="s">
        <v>18</v>
      </c>
      <c r="K195" s="7" t="s">
        <v>18</v>
      </c>
      <c r="L195" s="7" t="s">
        <v>18</v>
      </c>
      <c r="M195" s="7" t="s">
        <v>18</v>
      </c>
      <c r="N195" s="7" t="s">
        <v>18</v>
      </c>
    </row>
    <row r="196" spans="1:14" s="2" customFormat="1" x14ac:dyDescent="0.15">
      <c r="A196" s="3">
        <v>195</v>
      </c>
      <c r="B196" s="4" t="str">
        <f>IF(COUNTIF(用語集[キーワード],用語集[[#This Row],[キーワード]])&gt;1,"!","")</f>
        <v/>
      </c>
      <c r="C196" s="4" t="str">
        <f>IF(用語集[[#This Row],[キーワード]]="","",IF(OR(用語集[[#This Row],[説明]]="",NOT(ISERROR(FIND("★",用語集[[#This Row],[説明]])))),"★","☆"))</f>
        <v/>
      </c>
      <c r="D196" s="5"/>
      <c r="E196" s="3"/>
      <c r="F196" s="3"/>
      <c r="G196" s="4"/>
      <c r="H196" s="4"/>
      <c r="I196" s="7" t="s">
        <v>18</v>
      </c>
      <c r="J196" s="7" t="s">
        <v>18</v>
      </c>
      <c r="K196" s="7" t="s">
        <v>18</v>
      </c>
      <c r="L196" s="7" t="s">
        <v>18</v>
      </c>
      <c r="M196" s="7" t="s">
        <v>18</v>
      </c>
      <c r="N196" s="7" t="s">
        <v>18</v>
      </c>
    </row>
    <row r="197" spans="1:14" s="2" customFormat="1" x14ac:dyDescent="0.15">
      <c r="A197" s="3">
        <v>196</v>
      </c>
      <c r="B197" s="4" t="str">
        <f>IF(COUNTIF(用語集[キーワード],用語集[[#This Row],[キーワード]])&gt;1,"!","")</f>
        <v/>
      </c>
      <c r="C197" s="4" t="str">
        <f>IF(用語集[[#This Row],[キーワード]]="","",IF(OR(用語集[[#This Row],[説明]]="",NOT(ISERROR(FIND("★",用語集[[#This Row],[説明]])))),"★","☆"))</f>
        <v/>
      </c>
      <c r="D197" s="5"/>
      <c r="E197" s="3"/>
      <c r="F197" s="3"/>
      <c r="G197" s="4"/>
      <c r="H197" s="4"/>
      <c r="I197" s="7" t="s">
        <v>18</v>
      </c>
      <c r="J197" s="7" t="s">
        <v>18</v>
      </c>
      <c r="K197" s="7" t="s">
        <v>18</v>
      </c>
      <c r="L197" s="7" t="s">
        <v>18</v>
      </c>
      <c r="M197" s="7" t="s">
        <v>18</v>
      </c>
      <c r="N197" s="7" t="s">
        <v>18</v>
      </c>
    </row>
    <row r="198" spans="1:14" s="2" customFormat="1" x14ac:dyDescent="0.15">
      <c r="A198" s="3">
        <v>197</v>
      </c>
      <c r="B198" s="4" t="str">
        <f>IF(COUNTIF(用語集[キーワード],用語集[[#This Row],[キーワード]])&gt;1,"!","")</f>
        <v/>
      </c>
      <c r="C198" s="4" t="str">
        <f>IF(用語集[[#This Row],[キーワード]]="","",IF(OR(用語集[[#This Row],[説明]]="",NOT(ISERROR(FIND("★",用語集[[#This Row],[説明]])))),"★","☆"))</f>
        <v/>
      </c>
      <c r="D198" s="5"/>
      <c r="E198" s="3"/>
      <c r="F198" s="3"/>
      <c r="G198" s="4"/>
      <c r="H198" s="4"/>
      <c r="I198" s="7" t="s">
        <v>18</v>
      </c>
      <c r="J198" s="7" t="s">
        <v>18</v>
      </c>
      <c r="K198" s="7" t="s">
        <v>18</v>
      </c>
      <c r="L198" s="7" t="s">
        <v>18</v>
      </c>
      <c r="M198" s="7" t="s">
        <v>18</v>
      </c>
      <c r="N198" s="7" t="s">
        <v>18</v>
      </c>
    </row>
    <row r="199" spans="1:14" s="2" customFormat="1" x14ac:dyDescent="0.15">
      <c r="A199" s="3">
        <v>198</v>
      </c>
      <c r="B199" s="4" t="str">
        <f>IF(COUNTIF(用語集[キーワード],用語集[[#This Row],[キーワード]])&gt;1,"!","")</f>
        <v/>
      </c>
      <c r="C199" s="4" t="str">
        <f>IF(用語集[[#This Row],[キーワード]]="","",IF(OR(用語集[[#This Row],[説明]]="",NOT(ISERROR(FIND("★",用語集[[#This Row],[説明]])))),"★","☆"))</f>
        <v/>
      </c>
      <c r="D199" s="5"/>
      <c r="E199" s="3"/>
      <c r="F199" s="3"/>
      <c r="G199" s="4"/>
      <c r="H199" s="4"/>
      <c r="I199" s="7" t="s">
        <v>18</v>
      </c>
      <c r="J199" s="7" t="s">
        <v>18</v>
      </c>
      <c r="K199" s="7" t="s">
        <v>18</v>
      </c>
      <c r="L199" s="7" t="s">
        <v>18</v>
      </c>
      <c r="M199" s="7" t="s">
        <v>18</v>
      </c>
      <c r="N199" s="7" t="s">
        <v>18</v>
      </c>
    </row>
    <row r="200" spans="1:14" s="2" customFormat="1" x14ac:dyDescent="0.15">
      <c r="A200" s="3">
        <v>199</v>
      </c>
      <c r="B200" s="4" t="str">
        <f>IF(COUNTIF(用語集[キーワード],用語集[[#This Row],[キーワード]])&gt;1,"!","")</f>
        <v/>
      </c>
      <c r="C200" s="4" t="str">
        <f>IF(用語集[[#This Row],[キーワード]]="","",IF(OR(用語集[[#This Row],[説明]]="",NOT(ISERROR(FIND("★",用語集[[#This Row],[説明]])))),"★","☆"))</f>
        <v/>
      </c>
      <c r="D200" s="5"/>
      <c r="E200" s="3"/>
      <c r="F200" s="3"/>
      <c r="G200" s="4"/>
      <c r="H200" s="4"/>
      <c r="I200" s="7" t="s">
        <v>18</v>
      </c>
      <c r="J200" s="7" t="s">
        <v>18</v>
      </c>
      <c r="K200" s="7" t="s">
        <v>18</v>
      </c>
      <c r="L200" s="7" t="s">
        <v>18</v>
      </c>
      <c r="M200" s="7" t="s">
        <v>18</v>
      </c>
      <c r="N200" s="7" t="s">
        <v>18</v>
      </c>
    </row>
    <row r="201" spans="1:14" s="2" customFormat="1" x14ac:dyDescent="0.15">
      <c r="A201" s="3">
        <v>200</v>
      </c>
      <c r="B201" s="4" t="str">
        <f>IF(COUNTIF(用語集[キーワード],用語集[[#This Row],[キーワード]])&gt;1,"!","")</f>
        <v/>
      </c>
      <c r="C201" s="4" t="str">
        <f>IF(用語集[[#This Row],[キーワード]]="","",IF(OR(用語集[[#This Row],[説明]]="",NOT(ISERROR(FIND("★",用語集[[#This Row],[説明]])))),"★","☆"))</f>
        <v/>
      </c>
      <c r="D201" s="5"/>
      <c r="E201" s="3"/>
      <c r="F201" s="3"/>
      <c r="G201" s="4"/>
      <c r="H201" s="4"/>
      <c r="I201" s="7" t="s">
        <v>18</v>
      </c>
      <c r="J201" s="7" t="s">
        <v>18</v>
      </c>
      <c r="K201" s="7" t="s">
        <v>18</v>
      </c>
      <c r="L201" s="7" t="s">
        <v>18</v>
      </c>
      <c r="M201" s="7" t="s">
        <v>18</v>
      </c>
      <c r="N201" s="7" t="s">
        <v>18</v>
      </c>
    </row>
    <row r="202" spans="1:14" s="2" customFormat="1" x14ac:dyDescent="0.15">
      <c r="A202" s="3">
        <v>201</v>
      </c>
      <c r="B202" s="4" t="str">
        <f>IF(COUNTIF(用語集[キーワード],用語集[[#This Row],[キーワード]])&gt;1,"!","")</f>
        <v/>
      </c>
      <c r="C202" s="4" t="str">
        <f>IF(用語集[[#This Row],[キーワード]]="","",IF(OR(用語集[[#This Row],[説明]]="",NOT(ISERROR(FIND("★",用語集[[#This Row],[説明]])))),"★","☆"))</f>
        <v/>
      </c>
      <c r="D202" s="5"/>
      <c r="E202" s="3"/>
      <c r="F202" s="3"/>
      <c r="G202" s="4"/>
      <c r="H202" s="4"/>
      <c r="I202" s="7" t="s">
        <v>18</v>
      </c>
      <c r="J202" s="7" t="s">
        <v>18</v>
      </c>
      <c r="K202" s="7" t="s">
        <v>18</v>
      </c>
      <c r="L202" s="7" t="s">
        <v>18</v>
      </c>
      <c r="M202" s="7" t="s">
        <v>18</v>
      </c>
      <c r="N202" s="7" t="s">
        <v>18</v>
      </c>
    </row>
    <row r="203" spans="1:14" s="2" customFormat="1" x14ac:dyDescent="0.15">
      <c r="A203" s="3">
        <v>202</v>
      </c>
      <c r="B203" s="4" t="str">
        <f>IF(COUNTIF(用語集[キーワード],用語集[[#This Row],[キーワード]])&gt;1,"!","")</f>
        <v/>
      </c>
      <c r="C203" s="4" t="str">
        <f>IF(用語集[[#This Row],[キーワード]]="","",IF(OR(用語集[[#This Row],[説明]]="",NOT(ISERROR(FIND("★",用語集[[#This Row],[説明]])))),"★","☆"))</f>
        <v/>
      </c>
      <c r="D203" s="5"/>
      <c r="E203" s="3"/>
      <c r="F203" s="3"/>
      <c r="G203" s="4"/>
      <c r="H203" s="4"/>
      <c r="I203" s="7" t="s">
        <v>18</v>
      </c>
      <c r="J203" s="7" t="s">
        <v>18</v>
      </c>
      <c r="K203" s="7" t="s">
        <v>18</v>
      </c>
      <c r="L203" s="7" t="s">
        <v>18</v>
      </c>
      <c r="M203" s="7" t="s">
        <v>18</v>
      </c>
      <c r="N203" s="7" t="s">
        <v>18</v>
      </c>
    </row>
    <row r="204" spans="1:14" s="2" customFormat="1" x14ac:dyDescent="0.15">
      <c r="A204" s="3">
        <v>203</v>
      </c>
      <c r="B204" s="4" t="str">
        <f>IF(COUNTIF(用語集[キーワード],用語集[[#This Row],[キーワード]])&gt;1,"!","")</f>
        <v/>
      </c>
      <c r="C204" s="4" t="str">
        <f>IF(用語集[[#This Row],[キーワード]]="","",IF(OR(用語集[[#This Row],[説明]]="",NOT(ISERROR(FIND("★",用語集[[#This Row],[説明]])))),"★","☆"))</f>
        <v/>
      </c>
      <c r="D204" s="5"/>
      <c r="E204" s="3"/>
      <c r="F204" s="3"/>
      <c r="G204" s="4"/>
      <c r="H204" s="4"/>
      <c r="I204" s="7" t="s">
        <v>18</v>
      </c>
      <c r="J204" s="7" t="s">
        <v>18</v>
      </c>
      <c r="K204" s="7" t="s">
        <v>18</v>
      </c>
      <c r="L204" s="7" t="s">
        <v>18</v>
      </c>
      <c r="M204" s="7" t="s">
        <v>18</v>
      </c>
      <c r="N204" s="7" t="s">
        <v>18</v>
      </c>
    </row>
    <row r="205" spans="1:14" s="2" customFormat="1" x14ac:dyDescent="0.15">
      <c r="A205" s="10">
        <v>204</v>
      </c>
      <c r="B205" s="4" t="str">
        <f>IF(COUNTIF(用語集[キーワード],用語集[[#This Row],[キーワード]])&gt;1,"!","")</f>
        <v/>
      </c>
      <c r="C205" s="4" t="str">
        <f>IF(用語集[[#This Row],[キーワード]]="","",IF(OR(用語集[[#This Row],[説明]]="",NOT(ISERROR(FIND("★",用語集[[#This Row],[説明]])))),"★","☆"))</f>
        <v/>
      </c>
      <c r="D205" s="5"/>
      <c r="E205" s="10"/>
      <c r="F205" s="3"/>
      <c r="G205" s="4"/>
      <c r="H205" s="4"/>
      <c r="I205" s="7" t="s">
        <v>18</v>
      </c>
      <c r="J205" s="7" t="s">
        <v>18</v>
      </c>
      <c r="K205" s="7" t="s">
        <v>18</v>
      </c>
      <c r="L205" s="7" t="s">
        <v>18</v>
      </c>
      <c r="M205" s="7" t="s">
        <v>18</v>
      </c>
      <c r="N205" s="7" t="s">
        <v>18</v>
      </c>
    </row>
    <row r="206" spans="1:14" s="2" customFormat="1" x14ac:dyDescent="0.15">
      <c r="A206" s="3">
        <v>205</v>
      </c>
      <c r="B206" s="4" t="str">
        <f>IF(COUNTIF(用語集[キーワード],用語集[[#This Row],[キーワード]])&gt;1,"!","")</f>
        <v/>
      </c>
      <c r="C206" s="4" t="str">
        <f>IF(用語集[[#This Row],[キーワード]]="","",IF(OR(用語集[[#This Row],[説明]]="",NOT(ISERROR(FIND("★",用語集[[#This Row],[説明]])))),"★","☆"))</f>
        <v/>
      </c>
      <c r="D206" s="5"/>
      <c r="E206" s="3"/>
      <c r="F206" s="3"/>
      <c r="G206" s="4"/>
      <c r="H206" s="4"/>
      <c r="I206" s="7" t="s">
        <v>18</v>
      </c>
      <c r="J206" s="7" t="s">
        <v>18</v>
      </c>
      <c r="K206" s="7" t="s">
        <v>18</v>
      </c>
      <c r="L206" s="7" t="s">
        <v>18</v>
      </c>
      <c r="M206" s="7" t="s">
        <v>18</v>
      </c>
      <c r="N206" s="7" t="s">
        <v>18</v>
      </c>
    </row>
    <row r="207" spans="1:14" s="2" customFormat="1" x14ac:dyDescent="0.15">
      <c r="A207" s="3">
        <v>206</v>
      </c>
      <c r="B207" s="4" t="str">
        <f>IF(COUNTIF(用語集[キーワード],用語集[[#This Row],[キーワード]])&gt;1,"!","")</f>
        <v/>
      </c>
      <c r="C207" s="4" t="str">
        <f>IF(用語集[[#This Row],[キーワード]]="","",IF(OR(用語集[[#This Row],[説明]]="",NOT(ISERROR(FIND("★",用語集[[#This Row],[説明]])))),"★","☆"))</f>
        <v/>
      </c>
      <c r="D207" s="5"/>
      <c r="E207" s="3"/>
      <c r="F207" s="3"/>
      <c r="G207" s="4"/>
      <c r="H207" s="4"/>
      <c r="I207" s="7" t="s">
        <v>18</v>
      </c>
      <c r="J207" s="7" t="s">
        <v>18</v>
      </c>
      <c r="K207" s="7" t="s">
        <v>18</v>
      </c>
      <c r="L207" s="7" t="s">
        <v>18</v>
      </c>
      <c r="M207" s="7" t="s">
        <v>18</v>
      </c>
      <c r="N207" s="7" t="s">
        <v>18</v>
      </c>
    </row>
    <row r="208" spans="1:14" s="2" customFormat="1" x14ac:dyDescent="0.15">
      <c r="A208" s="3">
        <v>207</v>
      </c>
      <c r="B208" s="4" t="str">
        <f>IF(COUNTIF(用語集[キーワード],用語集[[#This Row],[キーワード]])&gt;1,"!","")</f>
        <v/>
      </c>
      <c r="C208" s="4" t="str">
        <f>IF(用語集[[#This Row],[キーワード]]="","",IF(OR(用語集[[#This Row],[説明]]="",NOT(ISERROR(FIND("★",用語集[[#This Row],[説明]])))),"★","☆"))</f>
        <v/>
      </c>
      <c r="D208" s="5"/>
      <c r="E208" s="3"/>
      <c r="F208" s="3"/>
      <c r="G208" s="4"/>
      <c r="H208" s="4"/>
      <c r="I208" s="7" t="s">
        <v>18</v>
      </c>
      <c r="J208" s="7" t="s">
        <v>18</v>
      </c>
      <c r="K208" s="7" t="s">
        <v>18</v>
      </c>
      <c r="L208" s="7" t="s">
        <v>18</v>
      </c>
      <c r="M208" s="7" t="s">
        <v>18</v>
      </c>
      <c r="N208" s="7" t="s">
        <v>18</v>
      </c>
    </row>
    <row r="209" spans="1:14" s="2" customFormat="1" x14ac:dyDescent="0.15">
      <c r="A209" s="3">
        <v>208</v>
      </c>
      <c r="B209" s="4" t="str">
        <f>IF(COUNTIF(用語集[キーワード],用語集[[#This Row],[キーワード]])&gt;1,"!","")</f>
        <v/>
      </c>
      <c r="C209" s="4" t="str">
        <f>IF(用語集[[#This Row],[キーワード]]="","",IF(OR(用語集[[#This Row],[説明]]="",NOT(ISERROR(FIND("★",用語集[[#This Row],[説明]])))),"★","☆"))</f>
        <v/>
      </c>
      <c r="D209" s="5"/>
      <c r="E209" s="3"/>
      <c r="F209" s="3"/>
      <c r="G209" s="4"/>
      <c r="H209" s="4"/>
      <c r="I209" s="7" t="s">
        <v>18</v>
      </c>
      <c r="J209" s="7" t="s">
        <v>18</v>
      </c>
      <c r="K209" s="7" t="s">
        <v>18</v>
      </c>
      <c r="L209" s="7" t="s">
        <v>18</v>
      </c>
      <c r="M209" s="7" t="s">
        <v>18</v>
      </c>
      <c r="N209" s="7" t="s">
        <v>18</v>
      </c>
    </row>
    <row r="210" spans="1:14" s="2" customFormat="1" x14ac:dyDescent="0.15">
      <c r="A210" s="3">
        <v>209</v>
      </c>
      <c r="B210" s="4" t="str">
        <f>IF(COUNTIF(用語集[キーワード],用語集[[#This Row],[キーワード]])&gt;1,"!","")</f>
        <v/>
      </c>
      <c r="C210" s="4" t="str">
        <f>IF(用語集[[#This Row],[キーワード]]="","",IF(OR(用語集[[#This Row],[説明]]="",NOT(ISERROR(FIND("★",用語集[[#This Row],[説明]])))),"★","☆"))</f>
        <v/>
      </c>
      <c r="D210" s="5"/>
      <c r="E210" s="3"/>
      <c r="F210" s="3"/>
      <c r="G210" s="4"/>
      <c r="H210" s="4"/>
      <c r="I210" s="7" t="s">
        <v>18</v>
      </c>
      <c r="J210" s="7" t="s">
        <v>18</v>
      </c>
      <c r="K210" s="7" t="s">
        <v>18</v>
      </c>
      <c r="L210" s="7" t="s">
        <v>18</v>
      </c>
      <c r="M210" s="7" t="s">
        <v>18</v>
      </c>
      <c r="N210" s="7" t="s">
        <v>18</v>
      </c>
    </row>
    <row r="211" spans="1:14" s="2" customFormat="1" x14ac:dyDescent="0.15">
      <c r="A211" s="3">
        <v>210</v>
      </c>
      <c r="B211" s="4" t="str">
        <f>IF(COUNTIF(用語集[キーワード],用語集[[#This Row],[キーワード]])&gt;1,"!","")</f>
        <v/>
      </c>
      <c r="C211" s="4" t="str">
        <f>IF(用語集[[#This Row],[キーワード]]="","",IF(OR(用語集[[#This Row],[説明]]="",NOT(ISERROR(FIND("★",用語集[[#This Row],[説明]])))),"★","☆"))</f>
        <v/>
      </c>
      <c r="D211" s="5"/>
      <c r="E211" s="3"/>
      <c r="F211" s="3"/>
      <c r="G211" s="4"/>
      <c r="H211" s="4"/>
      <c r="I211" s="7" t="s">
        <v>18</v>
      </c>
      <c r="J211" s="7" t="s">
        <v>18</v>
      </c>
      <c r="K211" s="7" t="s">
        <v>18</v>
      </c>
      <c r="L211" s="7" t="s">
        <v>18</v>
      </c>
      <c r="M211" s="7" t="s">
        <v>18</v>
      </c>
      <c r="N211" s="7" t="s">
        <v>18</v>
      </c>
    </row>
    <row r="212" spans="1:14" s="2" customFormat="1" x14ac:dyDescent="0.15">
      <c r="A212" s="3">
        <v>211</v>
      </c>
      <c r="B212" s="4" t="str">
        <f>IF(COUNTIF(用語集[キーワード],用語集[[#This Row],[キーワード]])&gt;1,"!","")</f>
        <v/>
      </c>
      <c r="C212" s="4" t="str">
        <f>IF(用語集[[#This Row],[キーワード]]="","",IF(OR(用語集[[#This Row],[説明]]="",NOT(ISERROR(FIND("★",用語集[[#This Row],[説明]])))),"★","☆"))</f>
        <v/>
      </c>
      <c r="D212" s="5"/>
      <c r="E212" s="3"/>
      <c r="F212" s="3"/>
      <c r="G212" s="4"/>
      <c r="H212" s="4"/>
      <c r="I212" s="7" t="s">
        <v>18</v>
      </c>
      <c r="J212" s="7" t="s">
        <v>18</v>
      </c>
      <c r="K212" s="7" t="s">
        <v>18</v>
      </c>
      <c r="L212" s="7" t="s">
        <v>18</v>
      </c>
      <c r="M212" s="7" t="s">
        <v>18</v>
      </c>
      <c r="N212" s="7" t="s">
        <v>18</v>
      </c>
    </row>
    <row r="213" spans="1:14" s="2" customFormat="1" x14ac:dyDescent="0.15">
      <c r="A213" s="3">
        <v>212</v>
      </c>
      <c r="B213" s="4" t="str">
        <f>IF(COUNTIF(用語集[キーワード],用語集[[#This Row],[キーワード]])&gt;1,"!","")</f>
        <v/>
      </c>
      <c r="C213" s="4" t="str">
        <f>IF(用語集[[#This Row],[キーワード]]="","",IF(OR(用語集[[#This Row],[説明]]="",NOT(ISERROR(FIND("★",用語集[[#This Row],[説明]])))),"★","☆"))</f>
        <v/>
      </c>
      <c r="D213" s="5"/>
      <c r="E213" s="3"/>
      <c r="F213" s="3"/>
      <c r="G213" s="4"/>
      <c r="H213" s="4"/>
      <c r="I213" s="7" t="s">
        <v>18</v>
      </c>
      <c r="J213" s="7" t="s">
        <v>18</v>
      </c>
      <c r="K213" s="7" t="s">
        <v>18</v>
      </c>
      <c r="L213" s="7" t="s">
        <v>18</v>
      </c>
      <c r="M213" s="7" t="s">
        <v>18</v>
      </c>
      <c r="N213" s="7" t="s">
        <v>18</v>
      </c>
    </row>
    <row r="214" spans="1:14" s="2" customFormat="1" x14ac:dyDescent="0.15">
      <c r="A214" s="3">
        <v>213</v>
      </c>
      <c r="B214" s="4" t="str">
        <f>IF(COUNTIF(用語集[キーワード],用語集[[#This Row],[キーワード]])&gt;1,"!","")</f>
        <v/>
      </c>
      <c r="C214" s="4" t="str">
        <f>IF(用語集[[#This Row],[キーワード]]="","",IF(OR(用語集[[#This Row],[説明]]="",NOT(ISERROR(FIND("★",用語集[[#This Row],[説明]])))),"★","☆"))</f>
        <v/>
      </c>
      <c r="D214" s="5"/>
      <c r="E214" s="3"/>
      <c r="F214" s="3"/>
      <c r="G214" s="4"/>
      <c r="H214" s="4"/>
      <c r="I214" s="7" t="s">
        <v>18</v>
      </c>
      <c r="J214" s="7" t="s">
        <v>18</v>
      </c>
      <c r="K214" s="7" t="s">
        <v>18</v>
      </c>
      <c r="L214" s="7" t="s">
        <v>18</v>
      </c>
      <c r="M214" s="7" t="s">
        <v>18</v>
      </c>
      <c r="N214" s="7" t="s">
        <v>18</v>
      </c>
    </row>
    <row r="215" spans="1:14" s="2" customFormat="1" x14ac:dyDescent="0.15">
      <c r="A215" s="3">
        <v>214</v>
      </c>
      <c r="B215" s="4" t="str">
        <f>IF(COUNTIF(用語集[キーワード],用語集[[#This Row],[キーワード]])&gt;1,"!","")</f>
        <v/>
      </c>
      <c r="C215" s="4" t="str">
        <f>IF(用語集[[#This Row],[キーワード]]="","",IF(OR(用語集[[#This Row],[説明]]="",NOT(ISERROR(FIND("★",用語集[[#This Row],[説明]])))),"★","☆"))</f>
        <v/>
      </c>
      <c r="D215" s="5"/>
      <c r="E215" s="3"/>
      <c r="F215" s="3"/>
      <c r="G215" s="4"/>
      <c r="H215" s="4"/>
      <c r="I215" s="7" t="s">
        <v>18</v>
      </c>
      <c r="J215" s="7" t="s">
        <v>18</v>
      </c>
      <c r="K215" s="7" t="s">
        <v>18</v>
      </c>
      <c r="L215" s="7" t="s">
        <v>18</v>
      </c>
      <c r="M215" s="7" t="s">
        <v>18</v>
      </c>
      <c r="N215" s="7" t="s">
        <v>18</v>
      </c>
    </row>
    <row r="216" spans="1:14" s="2" customFormat="1" x14ac:dyDescent="0.15">
      <c r="A216" s="3">
        <v>215</v>
      </c>
      <c r="B216" s="4" t="str">
        <f>IF(COUNTIF(用語集[キーワード],用語集[[#This Row],[キーワード]])&gt;1,"!","")</f>
        <v/>
      </c>
      <c r="C216" s="4" t="str">
        <f>IF(用語集[[#This Row],[キーワード]]="","",IF(OR(用語集[[#This Row],[説明]]="",NOT(ISERROR(FIND("★",用語集[[#This Row],[説明]])))),"★","☆"))</f>
        <v/>
      </c>
      <c r="D216" s="5"/>
      <c r="E216" s="3"/>
      <c r="F216" s="3"/>
      <c r="G216" s="4"/>
      <c r="H216" s="4"/>
      <c r="I216" s="7" t="s">
        <v>18</v>
      </c>
      <c r="J216" s="7" t="s">
        <v>18</v>
      </c>
      <c r="K216" s="7" t="s">
        <v>18</v>
      </c>
      <c r="L216" s="7" t="s">
        <v>18</v>
      </c>
      <c r="M216" s="7" t="s">
        <v>18</v>
      </c>
      <c r="N216" s="7" t="s">
        <v>18</v>
      </c>
    </row>
    <row r="217" spans="1:14" s="2" customFormat="1" x14ac:dyDescent="0.15">
      <c r="A217" s="3">
        <v>216</v>
      </c>
      <c r="B217" s="4" t="str">
        <f>IF(COUNTIF(用語集[キーワード],用語集[[#This Row],[キーワード]])&gt;1,"!","")</f>
        <v/>
      </c>
      <c r="C217" s="4" t="str">
        <f>IF(用語集[[#This Row],[キーワード]]="","",IF(OR(用語集[[#This Row],[説明]]="",NOT(ISERROR(FIND("★",用語集[[#This Row],[説明]])))),"★","☆"))</f>
        <v/>
      </c>
      <c r="D217" s="5"/>
      <c r="E217" s="3"/>
      <c r="F217" s="3"/>
      <c r="G217" s="4"/>
      <c r="H217" s="4"/>
      <c r="I217" s="7" t="s">
        <v>18</v>
      </c>
      <c r="J217" s="7" t="s">
        <v>18</v>
      </c>
      <c r="K217" s="7" t="s">
        <v>18</v>
      </c>
      <c r="L217" s="7" t="s">
        <v>18</v>
      </c>
      <c r="M217" s="7" t="s">
        <v>18</v>
      </c>
      <c r="N217" s="7" t="s">
        <v>18</v>
      </c>
    </row>
    <row r="218" spans="1:14" s="2" customFormat="1" x14ac:dyDescent="0.15">
      <c r="A218" s="3">
        <v>217</v>
      </c>
      <c r="B218" s="4" t="str">
        <f>IF(COUNTIF(用語集[キーワード],用語集[[#This Row],[キーワード]])&gt;1,"!","")</f>
        <v/>
      </c>
      <c r="C218" s="4" t="str">
        <f>IF(用語集[[#This Row],[キーワード]]="","",IF(OR(用語集[[#This Row],[説明]]="",NOT(ISERROR(FIND("★",用語集[[#This Row],[説明]])))),"★","☆"))</f>
        <v/>
      </c>
      <c r="D218" s="5"/>
      <c r="E218" s="3"/>
      <c r="F218" s="3"/>
      <c r="G218" s="4"/>
      <c r="H218" s="4"/>
      <c r="I218" s="7" t="s">
        <v>18</v>
      </c>
      <c r="J218" s="7" t="s">
        <v>18</v>
      </c>
      <c r="K218" s="7" t="s">
        <v>18</v>
      </c>
      <c r="L218" s="7" t="s">
        <v>18</v>
      </c>
      <c r="M218" s="7" t="s">
        <v>18</v>
      </c>
      <c r="N218" s="7" t="s">
        <v>18</v>
      </c>
    </row>
    <row r="219" spans="1:14" s="2" customFormat="1" x14ac:dyDescent="0.15">
      <c r="A219" s="3">
        <v>218</v>
      </c>
      <c r="B219" s="4" t="str">
        <f>IF(COUNTIF(用語集[キーワード],用語集[[#This Row],[キーワード]])&gt;1,"!","")</f>
        <v/>
      </c>
      <c r="C219" s="4" t="str">
        <f>IF(用語集[[#This Row],[キーワード]]="","",IF(OR(用語集[[#This Row],[説明]]="",NOT(ISERROR(FIND("★",用語集[[#This Row],[説明]])))),"★","☆"))</f>
        <v/>
      </c>
      <c r="D219" s="5"/>
      <c r="E219" s="3"/>
      <c r="F219" s="3"/>
      <c r="G219" s="4"/>
      <c r="H219" s="4"/>
      <c r="I219" s="7" t="s">
        <v>18</v>
      </c>
      <c r="J219" s="7" t="s">
        <v>18</v>
      </c>
      <c r="K219" s="7" t="s">
        <v>18</v>
      </c>
      <c r="L219" s="7" t="s">
        <v>18</v>
      </c>
      <c r="M219" s="7" t="s">
        <v>18</v>
      </c>
      <c r="N219" s="7" t="s">
        <v>18</v>
      </c>
    </row>
    <row r="220" spans="1:14" s="2" customFormat="1" x14ac:dyDescent="0.15">
      <c r="A220" s="3">
        <v>219</v>
      </c>
      <c r="B220" s="4" t="str">
        <f>IF(COUNTIF(用語集[キーワード],用語集[[#This Row],[キーワード]])&gt;1,"!","")</f>
        <v/>
      </c>
      <c r="C220" s="4" t="str">
        <f>IF(用語集[[#This Row],[キーワード]]="","",IF(OR(用語集[[#This Row],[説明]]="",NOT(ISERROR(FIND("★",用語集[[#This Row],[説明]])))),"★","☆"))</f>
        <v/>
      </c>
      <c r="D220" s="5"/>
      <c r="E220" s="3"/>
      <c r="F220" s="3"/>
      <c r="G220" s="4"/>
      <c r="H220" s="4"/>
      <c r="I220" s="7" t="s">
        <v>18</v>
      </c>
      <c r="J220" s="7" t="s">
        <v>18</v>
      </c>
      <c r="K220" s="7" t="s">
        <v>18</v>
      </c>
      <c r="L220" s="7" t="s">
        <v>18</v>
      </c>
      <c r="M220" s="7" t="s">
        <v>18</v>
      </c>
      <c r="N220" s="7" t="s">
        <v>18</v>
      </c>
    </row>
    <row r="221" spans="1:14" s="2" customFormat="1" x14ac:dyDescent="0.15">
      <c r="A221" s="3">
        <v>220</v>
      </c>
      <c r="B221" s="4" t="str">
        <f>IF(COUNTIF(用語集[キーワード],用語集[[#This Row],[キーワード]])&gt;1,"!","")</f>
        <v/>
      </c>
      <c r="C221" s="4" t="str">
        <f>IF(用語集[[#This Row],[キーワード]]="","",IF(OR(用語集[[#This Row],[説明]]="",NOT(ISERROR(FIND("★",用語集[[#This Row],[説明]])))),"★","☆"))</f>
        <v/>
      </c>
      <c r="D221" s="5"/>
      <c r="E221" s="3"/>
      <c r="F221" s="3"/>
      <c r="G221" s="4"/>
      <c r="H221" s="4"/>
      <c r="I221" s="7" t="s">
        <v>18</v>
      </c>
      <c r="J221" s="7" t="s">
        <v>18</v>
      </c>
      <c r="K221" s="7" t="s">
        <v>18</v>
      </c>
      <c r="L221" s="7" t="s">
        <v>18</v>
      </c>
      <c r="M221" s="7" t="s">
        <v>18</v>
      </c>
      <c r="N221" s="7" t="s">
        <v>18</v>
      </c>
    </row>
    <row r="222" spans="1:14" s="2" customFormat="1" x14ac:dyDescent="0.15">
      <c r="A222" s="3">
        <v>221</v>
      </c>
      <c r="B222" s="4" t="str">
        <f>IF(COUNTIF(用語集[キーワード],用語集[[#This Row],[キーワード]])&gt;1,"!","")</f>
        <v/>
      </c>
      <c r="C222" s="4" t="str">
        <f>IF(用語集[[#This Row],[キーワード]]="","",IF(OR(用語集[[#This Row],[説明]]="",NOT(ISERROR(FIND("★",用語集[[#This Row],[説明]])))),"★","☆"))</f>
        <v/>
      </c>
      <c r="D222" s="5"/>
      <c r="E222" s="3"/>
      <c r="F222" s="3"/>
      <c r="G222" s="4"/>
      <c r="H222" s="4"/>
      <c r="I222" s="7" t="s">
        <v>18</v>
      </c>
      <c r="J222" s="7" t="s">
        <v>18</v>
      </c>
      <c r="K222" s="7" t="s">
        <v>18</v>
      </c>
      <c r="L222" s="7" t="s">
        <v>18</v>
      </c>
      <c r="M222" s="7" t="s">
        <v>18</v>
      </c>
      <c r="N222" s="7" t="s">
        <v>18</v>
      </c>
    </row>
    <row r="223" spans="1:14" s="2" customFormat="1" x14ac:dyDescent="0.15">
      <c r="A223" s="3">
        <v>222</v>
      </c>
      <c r="B223" s="4" t="str">
        <f>IF(COUNTIF(用語集[キーワード],用語集[[#This Row],[キーワード]])&gt;1,"!","")</f>
        <v/>
      </c>
      <c r="C223" s="4" t="str">
        <f>IF(用語集[[#This Row],[キーワード]]="","",IF(OR(用語集[[#This Row],[説明]]="",NOT(ISERROR(FIND("★",用語集[[#This Row],[説明]])))),"★","☆"))</f>
        <v/>
      </c>
      <c r="D223" s="5"/>
      <c r="E223" s="3"/>
      <c r="F223" s="3"/>
      <c r="G223" s="4"/>
      <c r="H223" s="4"/>
      <c r="I223" s="7" t="s">
        <v>18</v>
      </c>
      <c r="J223" s="7" t="s">
        <v>18</v>
      </c>
      <c r="K223" s="7" t="s">
        <v>18</v>
      </c>
      <c r="L223" s="7" t="s">
        <v>18</v>
      </c>
      <c r="M223" s="7" t="s">
        <v>18</v>
      </c>
      <c r="N223" s="7" t="s">
        <v>18</v>
      </c>
    </row>
    <row r="224" spans="1:14" s="2" customFormat="1" x14ac:dyDescent="0.15">
      <c r="A224" s="3">
        <v>223</v>
      </c>
      <c r="B224" s="4" t="str">
        <f>IF(COUNTIF(用語集[キーワード],用語集[[#This Row],[キーワード]])&gt;1,"!","")</f>
        <v/>
      </c>
      <c r="C224" s="4" t="str">
        <f>IF(用語集[[#This Row],[キーワード]]="","",IF(OR(用語集[[#This Row],[説明]]="",NOT(ISERROR(FIND("★",用語集[[#This Row],[説明]])))),"★","☆"))</f>
        <v/>
      </c>
      <c r="D224" s="5"/>
      <c r="E224" s="3"/>
      <c r="F224" s="3"/>
      <c r="G224" s="4"/>
      <c r="H224" s="4"/>
      <c r="I224" s="7" t="s">
        <v>18</v>
      </c>
      <c r="J224" s="7" t="s">
        <v>18</v>
      </c>
      <c r="K224" s="7" t="s">
        <v>18</v>
      </c>
      <c r="L224" s="7" t="s">
        <v>18</v>
      </c>
      <c r="M224" s="7" t="s">
        <v>18</v>
      </c>
      <c r="N224" s="7" t="s">
        <v>18</v>
      </c>
    </row>
    <row r="225" spans="1:14" s="2" customFormat="1" x14ac:dyDescent="0.15">
      <c r="A225" s="3">
        <v>224</v>
      </c>
      <c r="B225" s="4" t="str">
        <f>IF(COUNTIF(用語集[キーワード],用語集[[#This Row],[キーワード]])&gt;1,"!","")</f>
        <v/>
      </c>
      <c r="C225" s="4" t="str">
        <f>IF(用語集[[#This Row],[キーワード]]="","",IF(OR(用語集[[#This Row],[説明]]="",NOT(ISERROR(FIND("★",用語集[[#This Row],[説明]])))),"★","☆"))</f>
        <v/>
      </c>
      <c r="D225" s="5"/>
      <c r="E225" s="3"/>
      <c r="F225" s="3"/>
      <c r="G225" s="4"/>
      <c r="H225" s="4"/>
      <c r="I225" s="7" t="s">
        <v>18</v>
      </c>
      <c r="J225" s="7" t="s">
        <v>18</v>
      </c>
      <c r="K225" s="7" t="s">
        <v>18</v>
      </c>
      <c r="L225" s="7" t="s">
        <v>18</v>
      </c>
      <c r="M225" s="7" t="s">
        <v>18</v>
      </c>
      <c r="N225" s="7" t="s">
        <v>18</v>
      </c>
    </row>
    <row r="226" spans="1:14" s="2" customFormat="1" x14ac:dyDescent="0.15">
      <c r="A226" s="3">
        <v>225</v>
      </c>
      <c r="B226" s="4" t="str">
        <f>IF(COUNTIF(用語集[キーワード],用語集[[#This Row],[キーワード]])&gt;1,"!","")</f>
        <v/>
      </c>
      <c r="C226" s="4" t="str">
        <f>IF(用語集[[#This Row],[キーワード]]="","",IF(OR(用語集[[#This Row],[説明]]="",NOT(ISERROR(FIND("★",用語集[[#This Row],[説明]])))),"★","☆"))</f>
        <v/>
      </c>
      <c r="D226" s="5"/>
      <c r="E226" s="3"/>
      <c r="F226" s="3"/>
      <c r="G226" s="4"/>
      <c r="H226" s="4"/>
      <c r="I226" s="7" t="s">
        <v>18</v>
      </c>
      <c r="J226" s="7" t="s">
        <v>18</v>
      </c>
      <c r="K226" s="7" t="s">
        <v>18</v>
      </c>
      <c r="L226" s="7" t="s">
        <v>18</v>
      </c>
      <c r="M226" s="7" t="s">
        <v>18</v>
      </c>
      <c r="N226" s="7" t="s">
        <v>18</v>
      </c>
    </row>
    <row r="227" spans="1:14" s="2" customFormat="1" x14ac:dyDescent="0.15">
      <c r="A227" s="3">
        <v>226</v>
      </c>
      <c r="B227" s="4" t="str">
        <f>IF(COUNTIF(用語集[キーワード],用語集[[#This Row],[キーワード]])&gt;1,"!","")</f>
        <v/>
      </c>
      <c r="C227" s="4" t="str">
        <f>IF(用語集[[#This Row],[キーワード]]="","",IF(OR(用語集[[#This Row],[説明]]="",NOT(ISERROR(FIND("★",用語集[[#This Row],[説明]])))),"★","☆"))</f>
        <v/>
      </c>
      <c r="D227" s="5"/>
      <c r="E227" s="3"/>
      <c r="F227" s="3"/>
      <c r="G227" s="4"/>
      <c r="H227" s="4"/>
      <c r="I227" s="7" t="s">
        <v>18</v>
      </c>
      <c r="J227" s="7" t="s">
        <v>18</v>
      </c>
      <c r="K227" s="7" t="s">
        <v>18</v>
      </c>
      <c r="L227" s="7" t="s">
        <v>18</v>
      </c>
      <c r="M227" s="7" t="s">
        <v>18</v>
      </c>
      <c r="N227" s="7" t="s">
        <v>18</v>
      </c>
    </row>
    <row r="228" spans="1:14" s="2" customFormat="1" x14ac:dyDescent="0.15">
      <c r="A228" s="3">
        <v>227</v>
      </c>
      <c r="B228" s="4" t="str">
        <f>IF(COUNTIF(用語集[キーワード],用語集[[#This Row],[キーワード]])&gt;1,"!","")</f>
        <v/>
      </c>
      <c r="C228" s="4" t="str">
        <f>IF(用語集[[#This Row],[キーワード]]="","",IF(OR(用語集[[#This Row],[説明]]="",NOT(ISERROR(FIND("★",用語集[[#This Row],[説明]])))),"★","☆"))</f>
        <v/>
      </c>
      <c r="D228" s="5"/>
      <c r="E228" s="3"/>
      <c r="F228" s="3"/>
      <c r="G228" s="4"/>
      <c r="H228" s="4"/>
      <c r="I228" s="7" t="s">
        <v>18</v>
      </c>
      <c r="J228" s="7" t="s">
        <v>18</v>
      </c>
      <c r="K228" s="7" t="s">
        <v>18</v>
      </c>
      <c r="L228" s="7" t="s">
        <v>18</v>
      </c>
      <c r="M228" s="7" t="s">
        <v>18</v>
      </c>
      <c r="N228" s="7" t="s">
        <v>18</v>
      </c>
    </row>
    <row r="229" spans="1:14" s="2" customFormat="1" x14ac:dyDescent="0.15">
      <c r="A229" s="3">
        <v>228</v>
      </c>
      <c r="B229" s="4" t="str">
        <f>IF(COUNTIF(用語集[キーワード],用語集[[#This Row],[キーワード]])&gt;1,"!","")</f>
        <v/>
      </c>
      <c r="C229" s="4" t="str">
        <f>IF(用語集[[#This Row],[キーワード]]="","",IF(OR(用語集[[#This Row],[説明]]="",NOT(ISERROR(FIND("★",用語集[[#This Row],[説明]])))),"★","☆"))</f>
        <v/>
      </c>
      <c r="D229" s="5"/>
      <c r="E229" s="3"/>
      <c r="F229" s="3"/>
      <c r="G229" s="4"/>
      <c r="H229" s="4"/>
      <c r="I229" s="7" t="s">
        <v>18</v>
      </c>
      <c r="J229" s="7" t="s">
        <v>18</v>
      </c>
      <c r="K229" s="7" t="s">
        <v>18</v>
      </c>
      <c r="L229" s="7" t="s">
        <v>18</v>
      </c>
      <c r="M229" s="7" t="s">
        <v>18</v>
      </c>
      <c r="N229" s="7" t="s">
        <v>18</v>
      </c>
    </row>
    <row r="230" spans="1:14" s="2" customFormat="1" x14ac:dyDescent="0.15">
      <c r="A230" s="3">
        <v>229</v>
      </c>
      <c r="B230" s="4" t="str">
        <f>IF(COUNTIF(用語集[キーワード],用語集[[#This Row],[キーワード]])&gt;1,"!","")</f>
        <v/>
      </c>
      <c r="C230" s="4" t="str">
        <f>IF(用語集[[#This Row],[キーワード]]="","",IF(OR(用語集[[#This Row],[説明]]="",NOT(ISERROR(FIND("★",用語集[[#This Row],[説明]])))),"★","☆"))</f>
        <v/>
      </c>
      <c r="D230" s="5"/>
      <c r="E230" s="3"/>
      <c r="F230" s="3"/>
      <c r="G230" s="4"/>
      <c r="H230" s="4"/>
      <c r="I230" s="7" t="s">
        <v>18</v>
      </c>
      <c r="J230" s="7" t="s">
        <v>18</v>
      </c>
      <c r="K230" s="7" t="s">
        <v>18</v>
      </c>
      <c r="L230" s="7" t="s">
        <v>18</v>
      </c>
      <c r="M230" s="7" t="s">
        <v>18</v>
      </c>
      <c r="N230" s="7" t="s">
        <v>18</v>
      </c>
    </row>
    <row r="231" spans="1:14" s="2" customFormat="1" x14ac:dyDescent="0.15">
      <c r="A231" s="3">
        <v>230</v>
      </c>
      <c r="B231" s="4" t="str">
        <f>IF(COUNTIF(用語集[キーワード],用語集[[#This Row],[キーワード]])&gt;1,"!","")</f>
        <v/>
      </c>
      <c r="C231" s="4" t="str">
        <f>IF(用語集[[#This Row],[キーワード]]="","",IF(OR(用語集[[#This Row],[説明]]="",NOT(ISERROR(FIND("★",用語集[[#This Row],[説明]])))),"★","☆"))</f>
        <v/>
      </c>
      <c r="D231" s="5"/>
      <c r="E231" s="3"/>
      <c r="F231" s="3"/>
      <c r="G231" s="4"/>
      <c r="H231" s="4"/>
      <c r="I231" s="7" t="s">
        <v>18</v>
      </c>
      <c r="J231" s="7" t="s">
        <v>18</v>
      </c>
      <c r="K231" s="7" t="s">
        <v>18</v>
      </c>
      <c r="L231" s="7" t="s">
        <v>18</v>
      </c>
      <c r="M231" s="7" t="s">
        <v>18</v>
      </c>
      <c r="N231" s="7" t="s">
        <v>18</v>
      </c>
    </row>
    <row r="232" spans="1:14" s="2" customFormat="1" x14ac:dyDescent="0.15">
      <c r="A232" s="3">
        <v>231</v>
      </c>
      <c r="B232" s="4" t="str">
        <f>IF(COUNTIF(用語集[キーワード],用語集[[#This Row],[キーワード]])&gt;1,"!","")</f>
        <v/>
      </c>
      <c r="C232" s="4" t="str">
        <f>IF(用語集[[#This Row],[キーワード]]="","",IF(OR(用語集[[#This Row],[説明]]="",NOT(ISERROR(FIND("★",用語集[[#This Row],[説明]])))),"★","☆"))</f>
        <v/>
      </c>
      <c r="D232" s="5"/>
      <c r="E232" s="3"/>
      <c r="F232" s="3"/>
      <c r="G232" s="4"/>
      <c r="H232" s="4"/>
      <c r="I232" s="7" t="s">
        <v>18</v>
      </c>
      <c r="J232" s="7" t="s">
        <v>18</v>
      </c>
      <c r="K232" s="7" t="s">
        <v>18</v>
      </c>
      <c r="L232" s="7" t="s">
        <v>18</v>
      </c>
      <c r="M232" s="7" t="s">
        <v>18</v>
      </c>
      <c r="N232" s="7" t="s">
        <v>18</v>
      </c>
    </row>
    <row r="233" spans="1:14" s="2" customFormat="1" x14ac:dyDescent="0.15">
      <c r="A233" s="3">
        <v>232</v>
      </c>
      <c r="B233" s="4" t="str">
        <f>IF(COUNTIF(用語集[キーワード],用語集[[#This Row],[キーワード]])&gt;1,"!","")</f>
        <v/>
      </c>
      <c r="C233" s="4" t="str">
        <f>IF(用語集[[#This Row],[キーワード]]="","",IF(OR(用語集[[#This Row],[説明]]="",NOT(ISERROR(FIND("★",用語集[[#This Row],[説明]])))),"★","☆"))</f>
        <v/>
      </c>
      <c r="D233" s="5"/>
      <c r="E233" s="3"/>
      <c r="F233" s="3"/>
      <c r="G233" s="4"/>
      <c r="H233" s="4"/>
      <c r="I233" s="7" t="s">
        <v>18</v>
      </c>
      <c r="J233" s="7" t="s">
        <v>18</v>
      </c>
      <c r="K233" s="7" t="s">
        <v>18</v>
      </c>
      <c r="L233" s="7" t="s">
        <v>18</v>
      </c>
      <c r="M233" s="7" t="s">
        <v>18</v>
      </c>
      <c r="N233" s="7" t="s">
        <v>18</v>
      </c>
    </row>
    <row r="234" spans="1:14" s="2" customFormat="1" x14ac:dyDescent="0.15">
      <c r="A234" s="3">
        <v>233</v>
      </c>
      <c r="B234" s="4" t="str">
        <f>IF(COUNTIF(用語集[キーワード],用語集[[#This Row],[キーワード]])&gt;1,"!","")</f>
        <v/>
      </c>
      <c r="C234" s="4" t="str">
        <f>IF(用語集[[#This Row],[キーワード]]="","",IF(OR(用語集[[#This Row],[説明]]="",NOT(ISERROR(FIND("★",用語集[[#This Row],[説明]])))),"★","☆"))</f>
        <v/>
      </c>
      <c r="D234" s="5"/>
      <c r="E234" s="3"/>
      <c r="F234" s="3"/>
      <c r="G234" s="4"/>
      <c r="H234" s="4"/>
      <c r="I234" s="7" t="s">
        <v>18</v>
      </c>
      <c r="J234" s="7" t="s">
        <v>18</v>
      </c>
      <c r="K234" s="7" t="s">
        <v>18</v>
      </c>
      <c r="L234" s="7" t="s">
        <v>18</v>
      </c>
      <c r="M234" s="7" t="s">
        <v>18</v>
      </c>
      <c r="N234" s="7" t="s">
        <v>18</v>
      </c>
    </row>
    <row r="235" spans="1:14" s="2" customFormat="1" x14ac:dyDescent="0.15">
      <c r="A235" s="3">
        <v>234</v>
      </c>
      <c r="B235" s="4" t="str">
        <f>IF(COUNTIF(用語集[キーワード],用語集[[#This Row],[キーワード]])&gt;1,"!","")</f>
        <v/>
      </c>
      <c r="C235" s="4" t="str">
        <f>IF(用語集[[#This Row],[キーワード]]="","",IF(OR(用語集[[#This Row],[説明]]="",NOT(ISERROR(FIND("★",用語集[[#This Row],[説明]])))),"★","☆"))</f>
        <v/>
      </c>
      <c r="D235" s="5"/>
      <c r="E235" s="3"/>
      <c r="F235" s="3"/>
      <c r="G235" s="4"/>
      <c r="H235" s="4"/>
      <c r="I235" s="7" t="s">
        <v>18</v>
      </c>
      <c r="J235" s="7" t="s">
        <v>18</v>
      </c>
      <c r="K235" s="7" t="s">
        <v>18</v>
      </c>
      <c r="L235" s="7" t="s">
        <v>18</v>
      </c>
      <c r="M235" s="7" t="s">
        <v>18</v>
      </c>
      <c r="N235" s="7" t="s">
        <v>18</v>
      </c>
    </row>
    <row r="236" spans="1:14" s="2" customFormat="1" x14ac:dyDescent="0.15">
      <c r="A236" s="3">
        <v>235</v>
      </c>
      <c r="B236" s="4" t="str">
        <f>IF(COUNTIF(用語集[キーワード],用語集[[#This Row],[キーワード]])&gt;1,"!","")</f>
        <v/>
      </c>
      <c r="C236" s="4" t="str">
        <f>IF(用語集[[#This Row],[キーワード]]="","",IF(OR(用語集[[#This Row],[説明]]="",NOT(ISERROR(FIND("★",用語集[[#This Row],[説明]])))),"★","☆"))</f>
        <v/>
      </c>
      <c r="D236" s="5"/>
      <c r="E236" s="3"/>
      <c r="F236" s="3"/>
      <c r="G236" s="4"/>
      <c r="H236" s="4"/>
      <c r="I236" s="7" t="s">
        <v>18</v>
      </c>
      <c r="J236" s="7" t="s">
        <v>18</v>
      </c>
      <c r="K236" s="7" t="s">
        <v>18</v>
      </c>
      <c r="L236" s="7" t="s">
        <v>18</v>
      </c>
      <c r="M236" s="7" t="s">
        <v>18</v>
      </c>
      <c r="N236" s="7" t="s">
        <v>18</v>
      </c>
    </row>
    <row r="237" spans="1:14" s="2" customFormat="1" x14ac:dyDescent="0.15">
      <c r="A237" s="3">
        <v>236</v>
      </c>
      <c r="B237" s="4" t="str">
        <f>IF(COUNTIF(用語集[キーワード],用語集[[#This Row],[キーワード]])&gt;1,"!","")</f>
        <v/>
      </c>
      <c r="C237" s="4" t="str">
        <f>IF(用語集[[#This Row],[キーワード]]="","",IF(OR(用語集[[#This Row],[説明]]="",NOT(ISERROR(FIND("★",用語集[[#This Row],[説明]])))),"★","☆"))</f>
        <v/>
      </c>
      <c r="D237" s="5"/>
      <c r="E237" s="3"/>
      <c r="F237" s="3"/>
      <c r="G237" s="4"/>
      <c r="H237" s="4"/>
      <c r="I237" s="7" t="s">
        <v>18</v>
      </c>
      <c r="J237" s="7" t="s">
        <v>18</v>
      </c>
      <c r="K237" s="7" t="s">
        <v>18</v>
      </c>
      <c r="L237" s="7" t="s">
        <v>18</v>
      </c>
      <c r="M237" s="7" t="s">
        <v>18</v>
      </c>
      <c r="N237" s="7" t="s">
        <v>18</v>
      </c>
    </row>
    <row r="238" spans="1:14" s="2" customFormat="1" x14ac:dyDescent="0.15">
      <c r="A238" s="3">
        <v>237</v>
      </c>
      <c r="B238" s="4" t="str">
        <f>IF(COUNTIF(用語集[キーワード],用語集[[#This Row],[キーワード]])&gt;1,"!","")</f>
        <v/>
      </c>
      <c r="C238" s="4" t="str">
        <f>IF(用語集[[#This Row],[キーワード]]="","",IF(OR(用語集[[#This Row],[説明]]="",NOT(ISERROR(FIND("★",用語集[[#This Row],[説明]])))),"★","☆"))</f>
        <v/>
      </c>
      <c r="D238" s="5"/>
      <c r="E238" s="3"/>
      <c r="F238" s="3"/>
      <c r="G238" s="4"/>
      <c r="H238" s="4"/>
      <c r="I238" s="7" t="s">
        <v>18</v>
      </c>
      <c r="J238" s="7" t="s">
        <v>18</v>
      </c>
      <c r="K238" s="7" t="s">
        <v>18</v>
      </c>
      <c r="L238" s="7" t="s">
        <v>18</v>
      </c>
      <c r="M238" s="7" t="s">
        <v>18</v>
      </c>
      <c r="N238" s="7" t="s">
        <v>18</v>
      </c>
    </row>
    <row r="239" spans="1:14" s="2" customFormat="1" x14ac:dyDescent="0.15">
      <c r="A239" s="3">
        <v>238</v>
      </c>
      <c r="B239" s="4" t="str">
        <f>IF(COUNTIF(用語集[キーワード],用語集[[#This Row],[キーワード]])&gt;1,"!","")</f>
        <v/>
      </c>
      <c r="C239" s="4" t="str">
        <f>IF(用語集[[#This Row],[キーワード]]="","",IF(OR(用語集[[#This Row],[説明]]="",NOT(ISERROR(FIND("★",用語集[[#This Row],[説明]])))),"★","☆"))</f>
        <v/>
      </c>
      <c r="D239" s="5"/>
      <c r="E239" s="3"/>
      <c r="F239" s="3"/>
      <c r="G239" s="4"/>
      <c r="H239" s="4"/>
      <c r="I239" s="7" t="s">
        <v>18</v>
      </c>
      <c r="J239" s="7" t="s">
        <v>18</v>
      </c>
      <c r="K239" s="7" t="s">
        <v>18</v>
      </c>
      <c r="L239" s="7" t="s">
        <v>18</v>
      </c>
      <c r="M239" s="7" t="s">
        <v>18</v>
      </c>
      <c r="N239" s="7" t="s">
        <v>18</v>
      </c>
    </row>
    <row r="240" spans="1:14" s="2" customFormat="1" x14ac:dyDescent="0.15">
      <c r="A240" s="3">
        <v>239</v>
      </c>
      <c r="B240" s="4" t="str">
        <f>IF(COUNTIF(用語集[キーワード],用語集[[#This Row],[キーワード]])&gt;1,"!","")</f>
        <v/>
      </c>
      <c r="C240" s="4" t="str">
        <f>IF(用語集[[#This Row],[キーワード]]="","",IF(OR(用語集[[#This Row],[説明]]="",NOT(ISERROR(FIND("★",用語集[[#This Row],[説明]])))),"★","☆"))</f>
        <v/>
      </c>
      <c r="D240" s="5"/>
      <c r="E240" s="3"/>
      <c r="F240" s="3"/>
      <c r="G240" s="4"/>
      <c r="H240" s="4"/>
      <c r="I240" s="7" t="s">
        <v>18</v>
      </c>
      <c r="J240" s="7" t="s">
        <v>18</v>
      </c>
      <c r="K240" s="7" t="s">
        <v>18</v>
      </c>
      <c r="L240" s="7" t="s">
        <v>18</v>
      </c>
      <c r="M240" s="7" t="s">
        <v>18</v>
      </c>
      <c r="N240" s="7" t="s">
        <v>18</v>
      </c>
    </row>
    <row r="241" spans="1:14" s="2" customFormat="1" x14ac:dyDescent="0.15">
      <c r="A241" s="3">
        <v>240</v>
      </c>
      <c r="B241" s="4" t="str">
        <f>IF(COUNTIF(用語集[キーワード],用語集[[#This Row],[キーワード]])&gt;1,"!","")</f>
        <v/>
      </c>
      <c r="C241" s="4" t="str">
        <f>IF(用語集[[#This Row],[キーワード]]="","",IF(OR(用語集[[#This Row],[説明]]="",NOT(ISERROR(FIND("★",用語集[[#This Row],[説明]])))),"★","☆"))</f>
        <v/>
      </c>
      <c r="D241" s="5"/>
      <c r="E241" s="3"/>
      <c r="F241" s="3"/>
      <c r="G241" s="4"/>
      <c r="H241" s="4"/>
      <c r="I241" s="7" t="s">
        <v>18</v>
      </c>
      <c r="J241" s="7" t="s">
        <v>18</v>
      </c>
      <c r="K241" s="7" t="s">
        <v>18</v>
      </c>
      <c r="L241" s="7" t="s">
        <v>18</v>
      </c>
      <c r="M241" s="7" t="s">
        <v>18</v>
      </c>
      <c r="N241" s="7" t="s">
        <v>18</v>
      </c>
    </row>
    <row r="242" spans="1:14" s="2" customFormat="1" x14ac:dyDescent="0.15">
      <c r="A242" s="3">
        <v>241</v>
      </c>
      <c r="B242" s="4" t="str">
        <f>IF(COUNTIF(用語集[キーワード],用語集[[#This Row],[キーワード]])&gt;1,"!","")</f>
        <v/>
      </c>
      <c r="C242" s="4" t="str">
        <f>IF(用語集[[#This Row],[キーワード]]="","",IF(OR(用語集[[#This Row],[説明]]="",NOT(ISERROR(FIND("★",用語集[[#This Row],[説明]])))),"★","☆"))</f>
        <v/>
      </c>
      <c r="D242" s="5"/>
      <c r="E242" s="3"/>
      <c r="F242" s="3"/>
      <c r="G242" s="4"/>
      <c r="H242" s="4"/>
      <c r="I242" s="7" t="s">
        <v>18</v>
      </c>
      <c r="J242" s="7" t="s">
        <v>18</v>
      </c>
      <c r="K242" s="7" t="s">
        <v>18</v>
      </c>
      <c r="L242" s="7" t="s">
        <v>18</v>
      </c>
      <c r="M242" s="7" t="s">
        <v>18</v>
      </c>
      <c r="N242" s="7" t="s">
        <v>18</v>
      </c>
    </row>
    <row r="243" spans="1:14" s="2" customFormat="1" x14ac:dyDescent="0.15">
      <c r="A243" s="3">
        <v>242</v>
      </c>
      <c r="B243" s="4" t="str">
        <f>IF(COUNTIF(用語集[キーワード],用語集[[#This Row],[キーワード]])&gt;1,"!","")</f>
        <v/>
      </c>
      <c r="C243" s="4" t="str">
        <f>IF(用語集[[#This Row],[キーワード]]="","",IF(OR(用語集[[#This Row],[説明]]="",NOT(ISERROR(FIND("★",用語集[[#This Row],[説明]])))),"★","☆"))</f>
        <v/>
      </c>
      <c r="D243" s="5"/>
      <c r="E243" s="3"/>
      <c r="F243" s="3"/>
      <c r="G243" s="4"/>
      <c r="H243" s="4"/>
      <c r="I243" s="7" t="s">
        <v>18</v>
      </c>
      <c r="J243" s="7" t="s">
        <v>18</v>
      </c>
      <c r="K243" s="7" t="s">
        <v>18</v>
      </c>
      <c r="L243" s="7" t="s">
        <v>18</v>
      </c>
      <c r="M243" s="7" t="s">
        <v>18</v>
      </c>
      <c r="N243" s="7" t="s">
        <v>18</v>
      </c>
    </row>
    <row r="244" spans="1:14" s="2" customFormat="1" x14ac:dyDescent="0.15">
      <c r="A244" s="3">
        <v>243</v>
      </c>
      <c r="B244" s="4" t="str">
        <f>IF(COUNTIF(用語集[キーワード],用語集[[#This Row],[キーワード]])&gt;1,"!","")</f>
        <v/>
      </c>
      <c r="C244" s="4" t="str">
        <f>IF(用語集[[#This Row],[キーワード]]="","",IF(OR(用語集[[#This Row],[説明]]="",NOT(ISERROR(FIND("★",用語集[[#This Row],[説明]])))),"★","☆"))</f>
        <v/>
      </c>
      <c r="D244" s="5"/>
      <c r="E244" s="3"/>
      <c r="F244" s="3"/>
      <c r="G244" s="4"/>
      <c r="H244" s="4"/>
      <c r="I244" s="7" t="s">
        <v>18</v>
      </c>
      <c r="J244" s="7" t="s">
        <v>18</v>
      </c>
      <c r="K244" s="7" t="s">
        <v>18</v>
      </c>
      <c r="L244" s="7" t="s">
        <v>18</v>
      </c>
      <c r="M244" s="7" t="s">
        <v>18</v>
      </c>
      <c r="N244" s="7" t="s">
        <v>18</v>
      </c>
    </row>
    <row r="245" spans="1:14" s="2" customFormat="1" x14ac:dyDescent="0.15">
      <c r="A245" s="3">
        <v>244</v>
      </c>
      <c r="B245" s="4" t="str">
        <f>IF(COUNTIF(用語集[キーワード],用語集[[#This Row],[キーワード]])&gt;1,"!","")</f>
        <v/>
      </c>
      <c r="C245" s="4" t="str">
        <f>IF(用語集[[#This Row],[キーワード]]="","",IF(OR(用語集[[#This Row],[説明]]="",NOT(ISERROR(FIND("★",用語集[[#This Row],[説明]])))),"★","☆"))</f>
        <v/>
      </c>
      <c r="D245" s="5"/>
      <c r="E245" s="3"/>
      <c r="F245" s="3"/>
      <c r="G245" s="4"/>
      <c r="H245" s="4"/>
      <c r="I245" s="7" t="s">
        <v>18</v>
      </c>
      <c r="J245" s="7" t="s">
        <v>18</v>
      </c>
      <c r="K245" s="7" t="s">
        <v>18</v>
      </c>
      <c r="L245" s="7" t="s">
        <v>18</v>
      </c>
      <c r="M245" s="7" t="s">
        <v>18</v>
      </c>
      <c r="N245" s="7" t="s">
        <v>18</v>
      </c>
    </row>
    <row r="246" spans="1:14" s="2" customFormat="1" x14ac:dyDescent="0.15">
      <c r="A246" s="3">
        <v>245</v>
      </c>
      <c r="B246" s="4" t="str">
        <f>IF(COUNTIF(用語集[キーワード],用語集[[#This Row],[キーワード]])&gt;1,"!","")</f>
        <v/>
      </c>
      <c r="C246" s="4" t="str">
        <f>IF(用語集[[#This Row],[キーワード]]="","",IF(OR(用語集[[#This Row],[説明]]="",NOT(ISERROR(FIND("★",用語集[[#This Row],[説明]])))),"★","☆"))</f>
        <v/>
      </c>
      <c r="D246" s="5"/>
      <c r="E246" s="3"/>
      <c r="F246" s="3"/>
      <c r="G246" s="4"/>
      <c r="H246" s="4"/>
      <c r="I246" s="7" t="s">
        <v>18</v>
      </c>
      <c r="J246" s="7" t="s">
        <v>18</v>
      </c>
      <c r="K246" s="7" t="s">
        <v>18</v>
      </c>
      <c r="L246" s="7" t="s">
        <v>18</v>
      </c>
      <c r="M246" s="7" t="s">
        <v>18</v>
      </c>
      <c r="N246" s="7" t="s">
        <v>18</v>
      </c>
    </row>
    <row r="247" spans="1:14" s="2" customFormat="1" x14ac:dyDescent="0.15">
      <c r="A247" s="3">
        <v>246</v>
      </c>
      <c r="B247" s="4" t="str">
        <f>IF(COUNTIF(用語集[キーワード],用語集[[#This Row],[キーワード]])&gt;1,"!","")</f>
        <v/>
      </c>
      <c r="C247" s="4" t="str">
        <f>IF(用語集[[#This Row],[キーワード]]="","",IF(OR(用語集[[#This Row],[説明]]="",NOT(ISERROR(FIND("★",用語集[[#This Row],[説明]])))),"★","☆"))</f>
        <v/>
      </c>
      <c r="D247" s="5"/>
      <c r="E247" s="3"/>
      <c r="F247" s="3"/>
      <c r="G247" s="4"/>
      <c r="H247" s="4"/>
      <c r="I247" s="7" t="s">
        <v>18</v>
      </c>
      <c r="J247" s="7" t="s">
        <v>18</v>
      </c>
      <c r="K247" s="7" t="s">
        <v>18</v>
      </c>
      <c r="L247" s="7" t="s">
        <v>18</v>
      </c>
      <c r="M247" s="7" t="s">
        <v>18</v>
      </c>
      <c r="N247" s="7" t="s">
        <v>18</v>
      </c>
    </row>
    <row r="248" spans="1:14" s="2" customFormat="1" x14ac:dyDescent="0.15">
      <c r="A248" s="3">
        <v>247</v>
      </c>
      <c r="B248" s="4" t="str">
        <f>IF(COUNTIF(用語集[キーワード],用語集[[#This Row],[キーワード]])&gt;1,"!","")</f>
        <v/>
      </c>
      <c r="C248" s="4" t="str">
        <f>IF(用語集[[#This Row],[キーワード]]="","",IF(OR(用語集[[#This Row],[説明]]="",NOT(ISERROR(FIND("★",用語集[[#This Row],[説明]])))),"★","☆"))</f>
        <v/>
      </c>
      <c r="D248" s="5"/>
      <c r="E248" s="3"/>
      <c r="F248" s="3"/>
      <c r="G248" s="4"/>
      <c r="H248" s="4"/>
      <c r="I248" s="7" t="s">
        <v>18</v>
      </c>
      <c r="J248" s="7" t="s">
        <v>18</v>
      </c>
      <c r="K248" s="7" t="s">
        <v>18</v>
      </c>
      <c r="L248" s="7" t="s">
        <v>18</v>
      </c>
      <c r="M248" s="7" t="s">
        <v>18</v>
      </c>
      <c r="N248" s="7" t="s">
        <v>18</v>
      </c>
    </row>
    <row r="249" spans="1:14" s="2" customFormat="1" x14ac:dyDescent="0.15">
      <c r="A249" s="3">
        <v>248</v>
      </c>
      <c r="B249" s="4" t="str">
        <f>IF(COUNTIF(用語集[キーワード],用語集[[#This Row],[キーワード]])&gt;1,"!","")</f>
        <v/>
      </c>
      <c r="C249" s="4" t="str">
        <f>IF(用語集[[#This Row],[キーワード]]="","",IF(OR(用語集[[#This Row],[説明]]="",NOT(ISERROR(FIND("★",用語集[[#This Row],[説明]])))),"★","☆"))</f>
        <v/>
      </c>
      <c r="D249" s="5"/>
      <c r="E249" s="3"/>
      <c r="F249" s="3"/>
      <c r="G249" s="4"/>
      <c r="H249" s="4"/>
      <c r="I249" s="7" t="s">
        <v>18</v>
      </c>
      <c r="J249" s="7" t="s">
        <v>18</v>
      </c>
      <c r="K249" s="7" t="s">
        <v>18</v>
      </c>
      <c r="L249" s="7" t="s">
        <v>18</v>
      </c>
      <c r="M249" s="7" t="s">
        <v>18</v>
      </c>
      <c r="N249" s="7" t="s">
        <v>18</v>
      </c>
    </row>
    <row r="250" spans="1:14" s="2" customFormat="1" x14ac:dyDescent="0.15">
      <c r="A250" s="3">
        <v>249</v>
      </c>
      <c r="B250" s="4" t="str">
        <f>IF(COUNTIF(用語集[キーワード],用語集[[#This Row],[キーワード]])&gt;1,"!","")</f>
        <v/>
      </c>
      <c r="C250" s="4" t="str">
        <f>IF(用語集[[#This Row],[キーワード]]="","",IF(OR(用語集[[#This Row],[説明]]="",NOT(ISERROR(FIND("★",用語集[[#This Row],[説明]])))),"★","☆"))</f>
        <v/>
      </c>
      <c r="D250" s="5"/>
      <c r="E250" s="3"/>
      <c r="F250" s="3"/>
      <c r="G250" s="4"/>
      <c r="H250" s="4"/>
      <c r="I250" s="7" t="s">
        <v>18</v>
      </c>
      <c r="J250" s="7" t="s">
        <v>18</v>
      </c>
      <c r="K250" s="7" t="s">
        <v>18</v>
      </c>
      <c r="L250" s="7" t="s">
        <v>18</v>
      </c>
      <c r="M250" s="7" t="s">
        <v>18</v>
      </c>
      <c r="N250" s="7" t="s">
        <v>18</v>
      </c>
    </row>
    <row r="251" spans="1:14" s="2" customFormat="1" x14ac:dyDescent="0.15">
      <c r="A251" s="3">
        <v>250</v>
      </c>
      <c r="B251" s="4" t="str">
        <f>IF(COUNTIF(用語集[キーワード],用語集[[#This Row],[キーワード]])&gt;1,"!","")</f>
        <v/>
      </c>
      <c r="C251" s="4" t="str">
        <f>IF(用語集[[#This Row],[キーワード]]="","",IF(OR(用語集[[#This Row],[説明]]="",NOT(ISERROR(FIND("★",用語集[[#This Row],[説明]])))),"★","☆"))</f>
        <v/>
      </c>
      <c r="D251" s="5"/>
      <c r="E251" s="3"/>
      <c r="F251" s="3"/>
      <c r="G251" s="4"/>
      <c r="H251" s="4"/>
      <c r="I251" s="7" t="s">
        <v>18</v>
      </c>
      <c r="J251" s="7" t="s">
        <v>18</v>
      </c>
      <c r="K251" s="7" t="s">
        <v>18</v>
      </c>
      <c r="L251" s="7" t="s">
        <v>18</v>
      </c>
      <c r="M251" s="7" t="s">
        <v>18</v>
      </c>
      <c r="N251" s="7" t="s">
        <v>18</v>
      </c>
    </row>
    <row r="252" spans="1:14" s="2" customFormat="1" x14ac:dyDescent="0.15">
      <c r="A252" s="3">
        <v>251</v>
      </c>
      <c r="B252" s="4" t="str">
        <f>IF(COUNTIF(用語集[キーワード],用語集[[#This Row],[キーワード]])&gt;1,"!","")</f>
        <v/>
      </c>
      <c r="C252" s="4" t="str">
        <f>IF(用語集[[#This Row],[キーワード]]="","",IF(OR(用語集[[#This Row],[説明]]="",NOT(ISERROR(FIND("★",用語集[[#This Row],[説明]])))),"★","☆"))</f>
        <v/>
      </c>
      <c r="D252" s="5"/>
      <c r="E252" s="3"/>
      <c r="F252" s="3"/>
      <c r="G252" s="4"/>
      <c r="H252" s="4"/>
      <c r="I252" s="7" t="s">
        <v>18</v>
      </c>
      <c r="J252" s="7" t="s">
        <v>18</v>
      </c>
      <c r="K252" s="7" t="s">
        <v>18</v>
      </c>
      <c r="L252" s="7" t="s">
        <v>18</v>
      </c>
      <c r="M252" s="7" t="s">
        <v>18</v>
      </c>
      <c r="N252" s="7" t="s">
        <v>18</v>
      </c>
    </row>
    <row r="253" spans="1:14" s="2" customFormat="1" x14ac:dyDescent="0.15">
      <c r="A253" s="3">
        <v>252</v>
      </c>
      <c r="B253" s="4" t="str">
        <f>IF(COUNTIF(用語集[キーワード],用語集[[#This Row],[キーワード]])&gt;1,"!","")</f>
        <v/>
      </c>
      <c r="C253" s="4" t="str">
        <f>IF(用語集[[#This Row],[キーワード]]="","",IF(OR(用語集[[#This Row],[説明]]="",NOT(ISERROR(FIND("★",用語集[[#This Row],[説明]])))),"★","☆"))</f>
        <v/>
      </c>
      <c r="D253" s="5"/>
      <c r="E253" s="3"/>
      <c r="F253" s="3"/>
      <c r="G253" s="4"/>
      <c r="H253" s="4"/>
      <c r="I253" s="7" t="s">
        <v>18</v>
      </c>
      <c r="J253" s="7" t="s">
        <v>18</v>
      </c>
      <c r="K253" s="7" t="s">
        <v>18</v>
      </c>
      <c r="L253" s="7" t="s">
        <v>18</v>
      </c>
      <c r="M253" s="7" t="s">
        <v>18</v>
      </c>
      <c r="N253" s="7" t="s">
        <v>18</v>
      </c>
    </row>
    <row r="254" spans="1:14" s="2" customFormat="1" x14ac:dyDescent="0.15">
      <c r="A254" s="3">
        <v>253</v>
      </c>
      <c r="B254" s="4" t="str">
        <f>IF(COUNTIF(用語集[キーワード],用語集[[#This Row],[キーワード]])&gt;1,"!","")</f>
        <v/>
      </c>
      <c r="C254" s="4" t="str">
        <f>IF(用語集[[#This Row],[キーワード]]="","",IF(OR(用語集[[#This Row],[説明]]="",NOT(ISERROR(FIND("★",用語集[[#This Row],[説明]])))),"★","☆"))</f>
        <v/>
      </c>
      <c r="D254" s="5"/>
      <c r="E254" s="3"/>
      <c r="F254" s="3"/>
      <c r="G254" s="4"/>
      <c r="H254" s="4"/>
      <c r="I254" s="7" t="s">
        <v>18</v>
      </c>
      <c r="J254" s="7" t="s">
        <v>18</v>
      </c>
      <c r="K254" s="7" t="s">
        <v>18</v>
      </c>
      <c r="L254" s="7" t="s">
        <v>18</v>
      </c>
      <c r="M254" s="7" t="s">
        <v>18</v>
      </c>
      <c r="N254" s="7" t="s">
        <v>18</v>
      </c>
    </row>
    <row r="255" spans="1:14" s="2" customFormat="1" x14ac:dyDescent="0.15">
      <c r="A255" s="3">
        <v>254</v>
      </c>
      <c r="B255" s="4" t="str">
        <f>IF(COUNTIF(用語集[キーワード],用語集[[#This Row],[キーワード]])&gt;1,"!","")</f>
        <v/>
      </c>
      <c r="C255" s="4" t="str">
        <f>IF(用語集[[#This Row],[キーワード]]="","",IF(OR(用語集[[#This Row],[説明]]="",NOT(ISERROR(FIND("★",用語集[[#This Row],[説明]])))),"★","☆"))</f>
        <v/>
      </c>
      <c r="D255" s="5"/>
      <c r="E255" s="3"/>
      <c r="F255" s="3"/>
      <c r="G255" s="4"/>
      <c r="H255" s="4"/>
      <c r="I255" s="7" t="s">
        <v>18</v>
      </c>
      <c r="J255" s="7" t="s">
        <v>18</v>
      </c>
      <c r="K255" s="7" t="s">
        <v>18</v>
      </c>
      <c r="L255" s="7" t="s">
        <v>18</v>
      </c>
      <c r="M255" s="7" t="s">
        <v>18</v>
      </c>
      <c r="N255" s="7" t="s">
        <v>18</v>
      </c>
    </row>
    <row r="256" spans="1:14" s="2" customFormat="1" x14ac:dyDescent="0.15">
      <c r="A256" s="3">
        <v>255</v>
      </c>
      <c r="B256" s="4" t="str">
        <f>IF(COUNTIF(用語集[キーワード],用語集[[#This Row],[キーワード]])&gt;1,"!","")</f>
        <v/>
      </c>
      <c r="C256" s="4" t="str">
        <f>IF(用語集[[#This Row],[キーワード]]="","",IF(OR(用語集[[#This Row],[説明]]="",NOT(ISERROR(FIND("★",用語集[[#This Row],[説明]])))),"★","☆"))</f>
        <v/>
      </c>
      <c r="D256" s="5"/>
      <c r="E256" s="3"/>
      <c r="F256" s="3"/>
      <c r="G256" s="4"/>
      <c r="H256" s="4"/>
      <c r="I256" s="7" t="s">
        <v>18</v>
      </c>
      <c r="J256" s="7" t="s">
        <v>18</v>
      </c>
      <c r="K256" s="7" t="s">
        <v>18</v>
      </c>
      <c r="L256" s="7" t="s">
        <v>18</v>
      </c>
      <c r="M256" s="7" t="s">
        <v>18</v>
      </c>
      <c r="N256" s="7" t="s">
        <v>18</v>
      </c>
    </row>
    <row r="257" spans="1:14" s="2" customFormat="1" x14ac:dyDescent="0.15">
      <c r="A257" s="3">
        <v>256</v>
      </c>
      <c r="B257" s="4" t="str">
        <f>IF(COUNTIF(用語集[キーワード],用語集[[#This Row],[キーワード]])&gt;1,"!","")</f>
        <v/>
      </c>
      <c r="C257" s="4" t="str">
        <f>IF(用語集[[#This Row],[キーワード]]="","",IF(OR(用語集[[#This Row],[説明]]="",NOT(ISERROR(FIND("★",用語集[[#This Row],[説明]])))),"★","☆"))</f>
        <v/>
      </c>
      <c r="D257" s="5"/>
      <c r="E257" s="3"/>
      <c r="F257" s="3"/>
      <c r="G257" s="4"/>
      <c r="H257" s="4"/>
      <c r="I257" s="7" t="s">
        <v>18</v>
      </c>
      <c r="J257" s="7" t="s">
        <v>18</v>
      </c>
      <c r="K257" s="7" t="s">
        <v>18</v>
      </c>
      <c r="L257" s="7" t="s">
        <v>18</v>
      </c>
      <c r="M257" s="7" t="s">
        <v>18</v>
      </c>
      <c r="N257" s="7" t="s">
        <v>18</v>
      </c>
    </row>
    <row r="258" spans="1:14" s="2" customFormat="1" x14ac:dyDescent="0.15">
      <c r="A258" s="3">
        <v>257</v>
      </c>
      <c r="B258" s="4" t="str">
        <f>IF(COUNTIF(用語集[キーワード],用語集[[#This Row],[キーワード]])&gt;1,"!","")</f>
        <v/>
      </c>
      <c r="C258" s="4" t="str">
        <f>IF(用語集[[#This Row],[キーワード]]="","",IF(OR(用語集[[#This Row],[説明]]="",NOT(ISERROR(FIND("★",用語集[[#This Row],[説明]])))),"★","☆"))</f>
        <v/>
      </c>
      <c r="D258" s="5"/>
      <c r="E258" s="3"/>
      <c r="F258" s="3"/>
      <c r="G258" s="4"/>
      <c r="H258" s="4"/>
      <c r="I258" s="7" t="s">
        <v>18</v>
      </c>
      <c r="J258" s="7" t="s">
        <v>18</v>
      </c>
      <c r="K258" s="7" t="s">
        <v>18</v>
      </c>
      <c r="L258" s="7" t="s">
        <v>18</v>
      </c>
      <c r="M258" s="7" t="s">
        <v>18</v>
      </c>
      <c r="N258" s="7" t="s">
        <v>18</v>
      </c>
    </row>
    <row r="259" spans="1:14" s="2" customFormat="1" x14ac:dyDescent="0.15">
      <c r="A259" s="3">
        <v>258</v>
      </c>
      <c r="B259" s="4" t="str">
        <f>IF(COUNTIF(用語集[キーワード],用語集[[#This Row],[キーワード]])&gt;1,"!","")</f>
        <v/>
      </c>
      <c r="C259" s="4" t="str">
        <f>IF(用語集[[#This Row],[キーワード]]="","",IF(OR(用語集[[#This Row],[説明]]="",NOT(ISERROR(FIND("★",用語集[[#This Row],[説明]])))),"★","☆"))</f>
        <v/>
      </c>
      <c r="D259" s="5"/>
      <c r="E259" s="3"/>
      <c r="F259" s="3"/>
      <c r="G259" s="4"/>
      <c r="H259" s="4"/>
      <c r="I259" s="7" t="s">
        <v>18</v>
      </c>
      <c r="J259" s="7" t="s">
        <v>18</v>
      </c>
      <c r="K259" s="7" t="s">
        <v>18</v>
      </c>
      <c r="L259" s="7" t="s">
        <v>18</v>
      </c>
      <c r="M259" s="7" t="s">
        <v>18</v>
      </c>
      <c r="N259" s="7" t="s">
        <v>18</v>
      </c>
    </row>
    <row r="260" spans="1:14" s="2" customFormat="1" x14ac:dyDescent="0.15">
      <c r="A260" s="3">
        <v>259</v>
      </c>
      <c r="B260" s="4" t="str">
        <f>IF(COUNTIF(用語集[キーワード],用語集[[#This Row],[キーワード]])&gt;1,"!","")</f>
        <v/>
      </c>
      <c r="C260" s="4" t="str">
        <f>IF(用語集[[#This Row],[キーワード]]="","",IF(OR(用語集[[#This Row],[説明]]="",NOT(ISERROR(FIND("★",用語集[[#This Row],[説明]])))),"★","☆"))</f>
        <v/>
      </c>
      <c r="D260" s="5"/>
      <c r="E260" s="3"/>
      <c r="F260" s="3"/>
      <c r="G260" s="4"/>
      <c r="H260" s="4"/>
      <c r="I260" s="7" t="s">
        <v>18</v>
      </c>
      <c r="J260" s="7" t="s">
        <v>18</v>
      </c>
      <c r="K260" s="7" t="s">
        <v>18</v>
      </c>
      <c r="L260" s="7" t="s">
        <v>18</v>
      </c>
      <c r="M260" s="7" t="s">
        <v>18</v>
      </c>
      <c r="N260" s="7" t="s">
        <v>18</v>
      </c>
    </row>
    <row r="261" spans="1:14" s="2" customFormat="1" x14ac:dyDescent="0.15">
      <c r="A261" s="3">
        <v>260</v>
      </c>
      <c r="B261" s="4" t="str">
        <f>IF(COUNTIF(用語集[キーワード],用語集[[#This Row],[キーワード]])&gt;1,"!","")</f>
        <v/>
      </c>
      <c r="C261" s="4" t="str">
        <f>IF(用語集[[#This Row],[キーワード]]="","",IF(OR(用語集[[#This Row],[説明]]="",NOT(ISERROR(FIND("★",用語集[[#This Row],[説明]])))),"★","☆"))</f>
        <v/>
      </c>
      <c r="D261" s="5"/>
      <c r="E261" s="3"/>
      <c r="F261" s="3"/>
      <c r="G261" s="4"/>
      <c r="H261" s="4"/>
      <c r="I261" s="7" t="s">
        <v>18</v>
      </c>
      <c r="J261" s="7" t="s">
        <v>18</v>
      </c>
      <c r="K261" s="7" t="s">
        <v>18</v>
      </c>
      <c r="L261" s="7" t="s">
        <v>18</v>
      </c>
      <c r="M261" s="7" t="s">
        <v>18</v>
      </c>
      <c r="N261" s="7" t="s">
        <v>18</v>
      </c>
    </row>
    <row r="262" spans="1:14" s="2" customFormat="1" x14ac:dyDescent="0.15">
      <c r="A262" s="3">
        <v>261</v>
      </c>
      <c r="B262" s="4" t="str">
        <f>IF(COUNTIF(用語集[キーワード],用語集[[#This Row],[キーワード]])&gt;1,"!","")</f>
        <v/>
      </c>
      <c r="C262" s="4" t="str">
        <f>IF(用語集[[#This Row],[キーワード]]="","",IF(OR(用語集[[#This Row],[説明]]="",NOT(ISERROR(FIND("★",用語集[[#This Row],[説明]])))),"★","☆"))</f>
        <v/>
      </c>
      <c r="D262" s="5"/>
      <c r="E262" s="3"/>
      <c r="F262" s="3"/>
      <c r="G262" s="4"/>
      <c r="H262" s="4"/>
      <c r="I262" s="7" t="s">
        <v>18</v>
      </c>
      <c r="J262" s="7" t="s">
        <v>18</v>
      </c>
      <c r="K262" s="7" t="s">
        <v>18</v>
      </c>
      <c r="L262" s="7" t="s">
        <v>18</v>
      </c>
      <c r="M262" s="7" t="s">
        <v>18</v>
      </c>
      <c r="N262" s="7" t="s">
        <v>18</v>
      </c>
    </row>
    <row r="263" spans="1:14" s="2" customFormat="1" x14ac:dyDescent="0.15">
      <c r="A263" s="3">
        <v>262</v>
      </c>
      <c r="B263" s="4" t="str">
        <f>IF(COUNTIF(用語集[キーワード],用語集[[#This Row],[キーワード]])&gt;1,"!","")</f>
        <v/>
      </c>
      <c r="C263" s="4" t="str">
        <f>IF(用語集[[#This Row],[キーワード]]="","",IF(OR(用語集[[#This Row],[説明]]="",NOT(ISERROR(FIND("★",用語集[[#This Row],[説明]])))),"★","☆"))</f>
        <v/>
      </c>
      <c r="D263" s="5"/>
      <c r="E263" s="3"/>
      <c r="F263" s="3"/>
      <c r="G263" s="4"/>
      <c r="H263" s="4"/>
      <c r="I263" s="7" t="s">
        <v>18</v>
      </c>
      <c r="J263" s="7" t="s">
        <v>18</v>
      </c>
      <c r="K263" s="7" t="s">
        <v>18</v>
      </c>
      <c r="L263" s="7" t="s">
        <v>18</v>
      </c>
      <c r="M263" s="7" t="s">
        <v>18</v>
      </c>
      <c r="N263" s="7" t="s">
        <v>18</v>
      </c>
    </row>
    <row r="264" spans="1:14" s="2" customFormat="1" x14ac:dyDescent="0.15">
      <c r="A264" s="3">
        <v>263</v>
      </c>
      <c r="B264" s="4" t="str">
        <f>IF(COUNTIF(用語集[キーワード],用語集[[#This Row],[キーワード]])&gt;1,"!","")</f>
        <v/>
      </c>
      <c r="C264" s="4" t="str">
        <f>IF(用語集[[#This Row],[キーワード]]="","",IF(OR(用語集[[#This Row],[説明]]="",NOT(ISERROR(FIND("★",用語集[[#This Row],[説明]])))),"★","☆"))</f>
        <v/>
      </c>
      <c r="D264" s="5"/>
      <c r="E264" s="3"/>
      <c r="F264" s="3"/>
      <c r="G264" s="4"/>
      <c r="H264" s="4"/>
      <c r="I264" s="7" t="s">
        <v>18</v>
      </c>
      <c r="J264" s="7" t="s">
        <v>18</v>
      </c>
      <c r="K264" s="7" t="s">
        <v>18</v>
      </c>
      <c r="L264" s="7" t="s">
        <v>18</v>
      </c>
      <c r="M264" s="7" t="s">
        <v>18</v>
      </c>
      <c r="N264" s="7" t="s">
        <v>18</v>
      </c>
    </row>
    <row r="265" spans="1:14" s="2" customFormat="1" x14ac:dyDescent="0.15">
      <c r="A265" s="3">
        <v>264</v>
      </c>
      <c r="B265" s="4" t="str">
        <f>IF(COUNTIF(用語集[キーワード],用語集[[#This Row],[キーワード]])&gt;1,"!","")</f>
        <v/>
      </c>
      <c r="C265" s="4" t="str">
        <f>IF(用語集[[#This Row],[キーワード]]="","",IF(OR(用語集[[#This Row],[説明]]="",NOT(ISERROR(FIND("★",用語集[[#This Row],[説明]])))),"★","☆"))</f>
        <v/>
      </c>
      <c r="D265" s="5"/>
      <c r="E265" s="3"/>
      <c r="F265" s="3"/>
      <c r="G265" s="4"/>
      <c r="H265" s="4"/>
      <c r="I265" s="7" t="s">
        <v>18</v>
      </c>
      <c r="J265" s="7" t="s">
        <v>18</v>
      </c>
      <c r="K265" s="7" t="s">
        <v>18</v>
      </c>
      <c r="L265" s="7" t="s">
        <v>18</v>
      </c>
      <c r="M265" s="7" t="s">
        <v>18</v>
      </c>
      <c r="N265" s="7" t="s">
        <v>18</v>
      </c>
    </row>
    <row r="266" spans="1:14" s="2" customFormat="1" x14ac:dyDescent="0.15">
      <c r="A266" s="3">
        <v>265</v>
      </c>
      <c r="B266" s="4" t="str">
        <f>IF(COUNTIF(用語集[キーワード],用語集[[#This Row],[キーワード]])&gt;1,"!","")</f>
        <v/>
      </c>
      <c r="C266" s="4" t="str">
        <f>IF(用語集[[#This Row],[キーワード]]="","",IF(OR(用語集[[#This Row],[説明]]="",NOT(ISERROR(FIND("★",用語集[[#This Row],[説明]])))),"★","☆"))</f>
        <v/>
      </c>
      <c r="D266" s="5"/>
      <c r="E266" s="3"/>
      <c r="F266" s="3"/>
      <c r="G266" s="4"/>
      <c r="H266" s="4"/>
      <c r="I266" s="7" t="s">
        <v>18</v>
      </c>
      <c r="J266" s="7" t="s">
        <v>18</v>
      </c>
      <c r="K266" s="7" t="s">
        <v>18</v>
      </c>
      <c r="L266" s="7" t="s">
        <v>18</v>
      </c>
      <c r="M266" s="7" t="s">
        <v>18</v>
      </c>
      <c r="N266" s="7" t="s">
        <v>18</v>
      </c>
    </row>
    <row r="267" spans="1:14" s="2" customFormat="1" x14ac:dyDescent="0.15">
      <c r="A267" s="3">
        <v>266</v>
      </c>
      <c r="B267" s="4" t="str">
        <f>IF(COUNTIF(用語集[キーワード],用語集[[#This Row],[キーワード]])&gt;1,"!","")</f>
        <v/>
      </c>
      <c r="C267" s="4" t="str">
        <f>IF(用語集[[#This Row],[キーワード]]="","",IF(OR(用語集[[#This Row],[説明]]="",NOT(ISERROR(FIND("★",用語集[[#This Row],[説明]])))),"★","☆"))</f>
        <v/>
      </c>
      <c r="D267" s="5"/>
      <c r="E267" s="3"/>
      <c r="F267" s="3"/>
      <c r="G267" s="4"/>
      <c r="H267" s="4"/>
      <c r="I267" s="7" t="s">
        <v>18</v>
      </c>
      <c r="J267" s="7" t="s">
        <v>18</v>
      </c>
      <c r="K267" s="7" t="s">
        <v>18</v>
      </c>
      <c r="L267" s="7" t="s">
        <v>18</v>
      </c>
      <c r="M267" s="7" t="s">
        <v>18</v>
      </c>
      <c r="N267" s="7" t="s">
        <v>18</v>
      </c>
    </row>
    <row r="268" spans="1:14" s="2" customFormat="1" x14ac:dyDescent="0.15">
      <c r="A268" s="3">
        <v>267</v>
      </c>
      <c r="B268" s="4" t="str">
        <f>IF(COUNTIF(用語集[キーワード],用語集[[#This Row],[キーワード]])&gt;1,"!","")</f>
        <v/>
      </c>
      <c r="C268" s="4" t="str">
        <f>IF(用語集[[#This Row],[キーワード]]="","",IF(OR(用語集[[#This Row],[説明]]="",NOT(ISERROR(FIND("★",用語集[[#This Row],[説明]])))),"★","☆"))</f>
        <v/>
      </c>
      <c r="D268" s="5"/>
      <c r="E268" s="3"/>
      <c r="F268" s="3"/>
      <c r="G268" s="4"/>
      <c r="H268" s="4"/>
      <c r="I268" s="7" t="s">
        <v>18</v>
      </c>
      <c r="J268" s="7" t="s">
        <v>18</v>
      </c>
      <c r="K268" s="7" t="s">
        <v>18</v>
      </c>
      <c r="L268" s="7" t="s">
        <v>18</v>
      </c>
      <c r="M268" s="7" t="s">
        <v>18</v>
      </c>
      <c r="N268" s="7" t="s">
        <v>18</v>
      </c>
    </row>
    <row r="269" spans="1:14" s="2" customFormat="1" x14ac:dyDescent="0.15">
      <c r="A269" s="3">
        <v>268</v>
      </c>
      <c r="B269" s="4" t="str">
        <f>IF(COUNTIF(用語集[キーワード],用語集[[#This Row],[キーワード]])&gt;1,"!","")</f>
        <v/>
      </c>
      <c r="C269" s="4" t="str">
        <f>IF(用語集[[#This Row],[キーワード]]="","",IF(OR(用語集[[#This Row],[説明]]="",NOT(ISERROR(FIND("★",用語集[[#This Row],[説明]])))),"★","☆"))</f>
        <v/>
      </c>
      <c r="D269" s="5"/>
      <c r="E269" s="3"/>
      <c r="F269" s="3"/>
      <c r="G269" s="4"/>
      <c r="H269" s="4"/>
      <c r="I269" s="7" t="s">
        <v>18</v>
      </c>
      <c r="J269" s="7" t="s">
        <v>18</v>
      </c>
      <c r="K269" s="7" t="s">
        <v>18</v>
      </c>
      <c r="L269" s="7" t="s">
        <v>18</v>
      </c>
      <c r="M269" s="7" t="s">
        <v>18</v>
      </c>
      <c r="N269" s="7" t="s">
        <v>18</v>
      </c>
    </row>
    <row r="270" spans="1:14" s="2" customFormat="1" x14ac:dyDescent="0.15">
      <c r="A270" s="3">
        <v>269</v>
      </c>
      <c r="B270" s="4" t="str">
        <f>IF(COUNTIF(用語集[キーワード],用語集[[#This Row],[キーワード]])&gt;1,"!","")</f>
        <v/>
      </c>
      <c r="C270" s="4" t="str">
        <f>IF(用語集[[#This Row],[キーワード]]="","",IF(OR(用語集[[#This Row],[説明]]="",NOT(ISERROR(FIND("★",用語集[[#This Row],[説明]])))),"★","☆"))</f>
        <v/>
      </c>
      <c r="D270" s="5"/>
      <c r="E270" s="3"/>
      <c r="F270" s="3"/>
      <c r="G270" s="4"/>
      <c r="H270" s="4"/>
      <c r="I270" s="7" t="s">
        <v>18</v>
      </c>
      <c r="J270" s="7" t="s">
        <v>18</v>
      </c>
      <c r="K270" s="7" t="s">
        <v>18</v>
      </c>
      <c r="L270" s="7" t="s">
        <v>18</v>
      </c>
      <c r="M270" s="7" t="s">
        <v>18</v>
      </c>
      <c r="N270" s="7" t="s">
        <v>18</v>
      </c>
    </row>
    <row r="271" spans="1:14" s="2" customFormat="1" x14ac:dyDescent="0.15">
      <c r="A271" s="3">
        <v>270</v>
      </c>
      <c r="B271" s="4" t="str">
        <f>IF(COUNTIF(用語集[キーワード],用語集[[#This Row],[キーワード]])&gt;1,"!","")</f>
        <v/>
      </c>
      <c r="C271" s="4" t="str">
        <f>IF(用語集[[#This Row],[キーワード]]="","",IF(OR(用語集[[#This Row],[説明]]="",NOT(ISERROR(FIND("★",用語集[[#This Row],[説明]])))),"★","☆"))</f>
        <v/>
      </c>
      <c r="D271" s="5"/>
      <c r="E271" s="3"/>
      <c r="F271" s="3"/>
      <c r="G271" s="4"/>
      <c r="H271" s="4"/>
      <c r="I271" s="7" t="s">
        <v>18</v>
      </c>
      <c r="J271" s="7" t="s">
        <v>18</v>
      </c>
      <c r="K271" s="7" t="s">
        <v>18</v>
      </c>
      <c r="L271" s="7" t="s">
        <v>18</v>
      </c>
      <c r="M271" s="7" t="s">
        <v>18</v>
      </c>
      <c r="N271" s="7" t="s">
        <v>18</v>
      </c>
    </row>
    <row r="272" spans="1:14" s="2" customFormat="1" x14ac:dyDescent="0.15">
      <c r="A272" s="3">
        <v>271</v>
      </c>
      <c r="B272" s="4" t="str">
        <f>IF(COUNTIF(用語集[キーワード],用語集[[#This Row],[キーワード]])&gt;1,"!","")</f>
        <v/>
      </c>
      <c r="C272" s="4" t="str">
        <f>IF(用語集[[#This Row],[キーワード]]="","",IF(OR(用語集[[#This Row],[説明]]="",NOT(ISERROR(FIND("★",用語集[[#This Row],[説明]])))),"★","☆"))</f>
        <v/>
      </c>
      <c r="D272" s="5"/>
      <c r="E272" s="3"/>
      <c r="F272" s="3"/>
      <c r="G272" s="4"/>
      <c r="H272" s="4"/>
      <c r="I272" s="7" t="s">
        <v>18</v>
      </c>
      <c r="J272" s="7" t="s">
        <v>18</v>
      </c>
      <c r="K272" s="7" t="s">
        <v>18</v>
      </c>
      <c r="L272" s="7" t="s">
        <v>18</v>
      </c>
      <c r="M272" s="7" t="s">
        <v>18</v>
      </c>
      <c r="N272" s="7" t="s">
        <v>18</v>
      </c>
    </row>
    <row r="273" spans="1:14" s="2" customFormat="1" x14ac:dyDescent="0.15">
      <c r="A273" s="3">
        <v>272</v>
      </c>
      <c r="B273" s="4" t="str">
        <f>IF(COUNTIF(用語集[キーワード],用語集[[#This Row],[キーワード]])&gt;1,"!","")</f>
        <v/>
      </c>
      <c r="C273" s="4" t="str">
        <f>IF(用語集[[#This Row],[キーワード]]="","",IF(OR(用語集[[#This Row],[説明]]="",NOT(ISERROR(FIND("★",用語集[[#This Row],[説明]])))),"★","☆"))</f>
        <v/>
      </c>
      <c r="D273" s="5"/>
      <c r="E273" s="3"/>
      <c r="F273" s="3"/>
      <c r="G273" s="4"/>
      <c r="H273" s="4"/>
      <c r="I273" s="7" t="s">
        <v>18</v>
      </c>
      <c r="J273" s="7" t="s">
        <v>18</v>
      </c>
      <c r="K273" s="7" t="s">
        <v>18</v>
      </c>
      <c r="L273" s="7" t="s">
        <v>18</v>
      </c>
      <c r="M273" s="7" t="s">
        <v>18</v>
      </c>
      <c r="N273" s="7" t="s">
        <v>18</v>
      </c>
    </row>
    <row r="274" spans="1:14" s="2" customFormat="1" x14ac:dyDescent="0.15">
      <c r="A274" s="3">
        <v>273</v>
      </c>
      <c r="B274" s="4" t="str">
        <f>IF(COUNTIF(用語集[キーワード],用語集[[#This Row],[キーワード]])&gt;1,"!","")</f>
        <v/>
      </c>
      <c r="C274" s="4" t="str">
        <f>IF(用語集[[#This Row],[キーワード]]="","",IF(OR(用語集[[#This Row],[説明]]="",NOT(ISERROR(FIND("★",用語集[[#This Row],[説明]])))),"★","☆"))</f>
        <v/>
      </c>
      <c r="D274" s="5"/>
      <c r="E274" s="3"/>
      <c r="F274" s="3"/>
      <c r="G274" s="4"/>
      <c r="H274" s="4"/>
      <c r="I274" s="7" t="s">
        <v>18</v>
      </c>
      <c r="J274" s="7" t="s">
        <v>18</v>
      </c>
      <c r="K274" s="7" t="s">
        <v>18</v>
      </c>
      <c r="L274" s="7" t="s">
        <v>18</v>
      </c>
      <c r="M274" s="7" t="s">
        <v>18</v>
      </c>
      <c r="N274" s="7" t="s">
        <v>18</v>
      </c>
    </row>
    <row r="275" spans="1:14" s="2" customFormat="1" x14ac:dyDescent="0.15">
      <c r="A275" s="3">
        <v>274</v>
      </c>
      <c r="B275" s="4" t="str">
        <f>IF(COUNTIF(用語集[キーワード],用語集[[#This Row],[キーワード]])&gt;1,"!","")</f>
        <v/>
      </c>
      <c r="C275" s="4" t="str">
        <f>IF(用語集[[#This Row],[キーワード]]="","",IF(OR(用語集[[#This Row],[説明]]="",NOT(ISERROR(FIND("★",用語集[[#This Row],[説明]])))),"★","☆"))</f>
        <v/>
      </c>
      <c r="D275" s="5"/>
      <c r="E275" s="3"/>
      <c r="F275" s="3"/>
      <c r="G275" s="4"/>
      <c r="H275" s="4"/>
      <c r="I275" s="7" t="s">
        <v>18</v>
      </c>
      <c r="J275" s="7" t="s">
        <v>18</v>
      </c>
      <c r="K275" s="7" t="s">
        <v>18</v>
      </c>
      <c r="L275" s="7" t="s">
        <v>18</v>
      </c>
      <c r="M275" s="7" t="s">
        <v>18</v>
      </c>
      <c r="N275" s="7" t="s">
        <v>18</v>
      </c>
    </row>
    <row r="276" spans="1:14" s="2" customFormat="1" x14ac:dyDescent="0.15">
      <c r="A276" s="3">
        <v>275</v>
      </c>
      <c r="B276" s="4" t="str">
        <f>IF(COUNTIF(用語集[キーワード],用語集[[#This Row],[キーワード]])&gt;1,"!","")</f>
        <v/>
      </c>
      <c r="C276" s="4" t="str">
        <f>IF(用語集[[#This Row],[キーワード]]="","",IF(OR(用語集[[#This Row],[説明]]="",NOT(ISERROR(FIND("★",用語集[[#This Row],[説明]])))),"★","☆"))</f>
        <v/>
      </c>
      <c r="D276" s="5"/>
      <c r="E276" s="3"/>
      <c r="F276" s="3"/>
      <c r="G276" s="4"/>
      <c r="H276" s="4"/>
      <c r="I276" s="7" t="s">
        <v>18</v>
      </c>
      <c r="J276" s="7" t="s">
        <v>18</v>
      </c>
      <c r="K276" s="7" t="s">
        <v>18</v>
      </c>
      <c r="L276" s="7" t="s">
        <v>18</v>
      </c>
      <c r="M276" s="7" t="s">
        <v>18</v>
      </c>
      <c r="N276" s="7" t="s">
        <v>18</v>
      </c>
    </row>
    <row r="277" spans="1:14" s="2" customFormat="1" x14ac:dyDescent="0.15">
      <c r="A277" s="3">
        <v>276</v>
      </c>
      <c r="B277" s="4" t="str">
        <f>IF(COUNTIF(用語集[キーワード],用語集[[#This Row],[キーワード]])&gt;1,"!","")</f>
        <v/>
      </c>
      <c r="C277" s="4" t="str">
        <f>IF(用語集[[#This Row],[キーワード]]="","",IF(OR(用語集[[#This Row],[説明]]="",NOT(ISERROR(FIND("★",用語集[[#This Row],[説明]])))),"★","☆"))</f>
        <v/>
      </c>
      <c r="D277" s="5"/>
      <c r="E277" s="3"/>
      <c r="F277" s="3"/>
      <c r="G277" s="4"/>
      <c r="H277" s="4"/>
      <c r="I277" s="7" t="s">
        <v>18</v>
      </c>
      <c r="J277" s="7" t="s">
        <v>18</v>
      </c>
      <c r="K277" s="7" t="s">
        <v>18</v>
      </c>
      <c r="L277" s="7" t="s">
        <v>18</v>
      </c>
      <c r="M277" s="7" t="s">
        <v>18</v>
      </c>
      <c r="N277" s="7" t="s">
        <v>18</v>
      </c>
    </row>
    <row r="278" spans="1:14" s="2" customFormat="1" x14ac:dyDescent="0.15">
      <c r="A278" s="3">
        <v>277</v>
      </c>
      <c r="B278" s="4" t="str">
        <f>IF(COUNTIF(用語集[キーワード],用語集[[#This Row],[キーワード]])&gt;1,"!","")</f>
        <v/>
      </c>
      <c r="C278" s="4" t="str">
        <f>IF(用語集[[#This Row],[キーワード]]="","",IF(OR(用語集[[#This Row],[説明]]="",NOT(ISERROR(FIND("★",用語集[[#This Row],[説明]])))),"★","☆"))</f>
        <v/>
      </c>
      <c r="D278" s="5"/>
      <c r="E278" s="3"/>
      <c r="F278" s="3"/>
      <c r="G278" s="4"/>
      <c r="H278" s="4"/>
      <c r="I278" s="7" t="s">
        <v>18</v>
      </c>
      <c r="J278" s="7" t="s">
        <v>18</v>
      </c>
      <c r="K278" s="7" t="s">
        <v>18</v>
      </c>
      <c r="L278" s="7" t="s">
        <v>18</v>
      </c>
      <c r="M278" s="7" t="s">
        <v>18</v>
      </c>
      <c r="N278" s="7" t="s">
        <v>18</v>
      </c>
    </row>
    <row r="279" spans="1:14" s="2" customFormat="1" x14ac:dyDescent="0.15">
      <c r="A279" s="3">
        <v>278</v>
      </c>
      <c r="B279" s="4" t="str">
        <f>IF(COUNTIF(用語集[キーワード],用語集[[#This Row],[キーワード]])&gt;1,"!","")</f>
        <v/>
      </c>
      <c r="C279" s="4" t="str">
        <f>IF(用語集[[#This Row],[キーワード]]="","",IF(OR(用語集[[#This Row],[説明]]="",NOT(ISERROR(FIND("★",用語集[[#This Row],[説明]])))),"★","☆"))</f>
        <v/>
      </c>
      <c r="D279" s="5"/>
      <c r="E279" s="3"/>
      <c r="F279" s="3"/>
      <c r="G279" s="4"/>
      <c r="H279" s="4"/>
      <c r="I279" s="7" t="s">
        <v>18</v>
      </c>
      <c r="J279" s="7" t="s">
        <v>18</v>
      </c>
      <c r="K279" s="7" t="s">
        <v>18</v>
      </c>
      <c r="L279" s="7" t="s">
        <v>18</v>
      </c>
      <c r="M279" s="7" t="s">
        <v>18</v>
      </c>
      <c r="N279" s="7" t="s">
        <v>18</v>
      </c>
    </row>
    <row r="280" spans="1:14" s="2" customFormat="1" x14ac:dyDescent="0.15">
      <c r="A280" s="3">
        <v>279</v>
      </c>
      <c r="B280" s="4" t="str">
        <f>IF(COUNTIF(用語集[キーワード],用語集[[#This Row],[キーワード]])&gt;1,"!","")</f>
        <v/>
      </c>
      <c r="C280" s="4" t="str">
        <f>IF(用語集[[#This Row],[キーワード]]="","",IF(OR(用語集[[#This Row],[説明]]="",NOT(ISERROR(FIND("★",用語集[[#This Row],[説明]])))),"★","☆"))</f>
        <v/>
      </c>
      <c r="D280" s="5"/>
      <c r="E280" s="3"/>
      <c r="F280" s="3"/>
      <c r="G280" s="4"/>
      <c r="H280" s="4"/>
      <c r="I280" s="7" t="s">
        <v>18</v>
      </c>
      <c r="J280" s="7" t="s">
        <v>18</v>
      </c>
      <c r="K280" s="7" t="s">
        <v>18</v>
      </c>
      <c r="L280" s="7" t="s">
        <v>18</v>
      </c>
      <c r="M280" s="7" t="s">
        <v>18</v>
      </c>
      <c r="N280" s="7" t="s">
        <v>18</v>
      </c>
    </row>
    <row r="281" spans="1:14" s="2" customFormat="1" x14ac:dyDescent="0.15">
      <c r="A281" s="3">
        <v>280</v>
      </c>
      <c r="B281" s="4" t="str">
        <f>IF(COUNTIF(用語集[キーワード],用語集[[#This Row],[キーワード]])&gt;1,"!","")</f>
        <v/>
      </c>
      <c r="C281" s="4" t="str">
        <f>IF(用語集[[#This Row],[キーワード]]="","",IF(OR(用語集[[#This Row],[説明]]="",NOT(ISERROR(FIND("★",用語集[[#This Row],[説明]])))),"★","☆"))</f>
        <v/>
      </c>
      <c r="D281" s="5"/>
      <c r="E281" s="3"/>
      <c r="F281" s="3"/>
      <c r="G281" s="4"/>
      <c r="H281" s="4"/>
      <c r="I281" s="7" t="s">
        <v>18</v>
      </c>
      <c r="J281" s="7" t="s">
        <v>18</v>
      </c>
      <c r="K281" s="7" t="s">
        <v>18</v>
      </c>
      <c r="L281" s="7" t="s">
        <v>18</v>
      </c>
      <c r="M281" s="7" t="s">
        <v>18</v>
      </c>
      <c r="N281" s="7" t="s">
        <v>18</v>
      </c>
    </row>
    <row r="282" spans="1:14" s="2" customFormat="1" x14ac:dyDescent="0.15">
      <c r="A282" s="3">
        <v>281</v>
      </c>
      <c r="B282" s="4" t="str">
        <f>IF(COUNTIF(用語集[キーワード],用語集[[#This Row],[キーワード]])&gt;1,"!","")</f>
        <v/>
      </c>
      <c r="C282" s="4" t="str">
        <f>IF(用語集[[#This Row],[キーワード]]="","",IF(OR(用語集[[#This Row],[説明]]="",NOT(ISERROR(FIND("★",用語集[[#This Row],[説明]])))),"★","☆"))</f>
        <v/>
      </c>
      <c r="D282" s="5"/>
      <c r="E282" s="3"/>
      <c r="F282" s="3"/>
      <c r="G282" s="4"/>
      <c r="H282" s="4"/>
      <c r="I282" s="7" t="s">
        <v>18</v>
      </c>
      <c r="J282" s="7" t="s">
        <v>18</v>
      </c>
      <c r="K282" s="7" t="s">
        <v>18</v>
      </c>
      <c r="L282" s="7" t="s">
        <v>18</v>
      </c>
      <c r="M282" s="7" t="s">
        <v>18</v>
      </c>
      <c r="N282" s="7" t="s">
        <v>18</v>
      </c>
    </row>
    <row r="283" spans="1:14" s="2" customFormat="1" x14ac:dyDescent="0.15">
      <c r="A283" s="3">
        <v>282</v>
      </c>
      <c r="B283" s="4" t="str">
        <f>IF(COUNTIF(用語集[キーワード],用語集[[#This Row],[キーワード]])&gt;1,"!","")</f>
        <v/>
      </c>
      <c r="C283" s="4" t="str">
        <f>IF(用語集[[#This Row],[キーワード]]="","",IF(OR(用語集[[#This Row],[説明]]="",NOT(ISERROR(FIND("★",用語集[[#This Row],[説明]])))),"★","☆"))</f>
        <v/>
      </c>
      <c r="D283" s="5"/>
      <c r="E283" s="3"/>
      <c r="F283" s="3"/>
      <c r="G283" s="4"/>
      <c r="H283" s="4"/>
      <c r="I283" s="7" t="s">
        <v>18</v>
      </c>
      <c r="J283" s="7" t="s">
        <v>18</v>
      </c>
      <c r="K283" s="7" t="s">
        <v>18</v>
      </c>
      <c r="L283" s="7" t="s">
        <v>18</v>
      </c>
      <c r="M283" s="7" t="s">
        <v>18</v>
      </c>
      <c r="N283" s="7" t="s">
        <v>18</v>
      </c>
    </row>
    <row r="284" spans="1:14" s="2" customFormat="1" x14ac:dyDescent="0.15">
      <c r="A284" s="3">
        <v>283</v>
      </c>
      <c r="B284" s="4" t="str">
        <f>IF(COUNTIF(用語集[キーワード],用語集[[#This Row],[キーワード]])&gt;1,"!","")</f>
        <v/>
      </c>
      <c r="C284" s="4" t="str">
        <f>IF(用語集[[#This Row],[キーワード]]="","",IF(OR(用語集[[#This Row],[説明]]="",NOT(ISERROR(FIND("★",用語集[[#This Row],[説明]])))),"★","☆"))</f>
        <v/>
      </c>
      <c r="D284" s="5"/>
      <c r="E284" s="3"/>
      <c r="F284" s="3"/>
      <c r="G284" s="4"/>
      <c r="H284" s="4"/>
      <c r="I284" s="7" t="s">
        <v>18</v>
      </c>
      <c r="J284" s="7" t="s">
        <v>18</v>
      </c>
      <c r="K284" s="7" t="s">
        <v>18</v>
      </c>
      <c r="L284" s="7" t="s">
        <v>18</v>
      </c>
      <c r="M284" s="7" t="s">
        <v>18</v>
      </c>
      <c r="N284" s="7" t="s">
        <v>18</v>
      </c>
    </row>
    <row r="285" spans="1:14" s="2" customFormat="1" x14ac:dyDescent="0.15">
      <c r="A285" s="3">
        <v>284</v>
      </c>
      <c r="B285" s="4" t="str">
        <f>IF(COUNTIF(用語集[キーワード],用語集[[#This Row],[キーワード]])&gt;1,"!","")</f>
        <v/>
      </c>
      <c r="C285" s="4" t="str">
        <f>IF(用語集[[#This Row],[キーワード]]="","",IF(OR(用語集[[#This Row],[説明]]="",NOT(ISERROR(FIND("★",用語集[[#This Row],[説明]])))),"★","☆"))</f>
        <v/>
      </c>
      <c r="D285" s="5"/>
      <c r="E285" s="3"/>
      <c r="F285" s="3"/>
      <c r="G285" s="4"/>
      <c r="H285" s="4"/>
      <c r="I285" s="7" t="s">
        <v>18</v>
      </c>
      <c r="J285" s="7" t="s">
        <v>18</v>
      </c>
      <c r="K285" s="7" t="s">
        <v>18</v>
      </c>
      <c r="L285" s="7" t="s">
        <v>18</v>
      </c>
      <c r="M285" s="7" t="s">
        <v>18</v>
      </c>
      <c r="N285" s="7" t="s">
        <v>18</v>
      </c>
    </row>
    <row r="286" spans="1:14" s="2" customFormat="1" x14ac:dyDescent="0.15">
      <c r="A286" s="3">
        <v>285</v>
      </c>
      <c r="B286" s="4" t="str">
        <f>IF(COUNTIF(用語集[キーワード],用語集[[#This Row],[キーワード]])&gt;1,"!","")</f>
        <v/>
      </c>
      <c r="C286" s="4" t="str">
        <f>IF(用語集[[#This Row],[キーワード]]="","",IF(OR(用語集[[#This Row],[説明]]="",NOT(ISERROR(FIND("★",用語集[[#This Row],[説明]])))),"★","☆"))</f>
        <v/>
      </c>
      <c r="D286" s="5"/>
      <c r="E286" s="3"/>
      <c r="F286" s="3"/>
      <c r="G286" s="4"/>
      <c r="H286" s="4"/>
      <c r="I286" s="7" t="s">
        <v>18</v>
      </c>
      <c r="J286" s="7" t="s">
        <v>18</v>
      </c>
      <c r="K286" s="7" t="s">
        <v>18</v>
      </c>
      <c r="L286" s="7" t="s">
        <v>18</v>
      </c>
      <c r="M286" s="7" t="s">
        <v>18</v>
      </c>
      <c r="N286" s="7" t="s">
        <v>18</v>
      </c>
    </row>
    <row r="287" spans="1:14" s="2" customFormat="1" x14ac:dyDescent="0.15">
      <c r="A287" s="3">
        <v>286</v>
      </c>
      <c r="B287" s="4" t="str">
        <f>IF(COUNTIF(用語集[キーワード],用語集[[#This Row],[キーワード]])&gt;1,"!","")</f>
        <v/>
      </c>
      <c r="C287" s="4" t="str">
        <f>IF(用語集[[#This Row],[キーワード]]="","",IF(OR(用語集[[#This Row],[説明]]="",NOT(ISERROR(FIND("★",用語集[[#This Row],[説明]])))),"★","☆"))</f>
        <v/>
      </c>
      <c r="D287" s="5"/>
      <c r="E287" s="3"/>
      <c r="F287" s="3"/>
      <c r="G287" s="4"/>
      <c r="H287" s="4"/>
      <c r="I287" s="7" t="s">
        <v>18</v>
      </c>
      <c r="J287" s="7" t="s">
        <v>18</v>
      </c>
      <c r="K287" s="7" t="s">
        <v>18</v>
      </c>
      <c r="L287" s="7" t="s">
        <v>18</v>
      </c>
      <c r="M287" s="7" t="s">
        <v>18</v>
      </c>
      <c r="N287" s="7" t="s">
        <v>18</v>
      </c>
    </row>
    <row r="288" spans="1:14" s="2" customFormat="1" x14ac:dyDescent="0.15">
      <c r="A288" s="3">
        <v>287</v>
      </c>
      <c r="B288" s="4" t="str">
        <f>IF(COUNTIF(用語集[キーワード],用語集[[#This Row],[キーワード]])&gt;1,"!","")</f>
        <v/>
      </c>
      <c r="C288" s="4" t="str">
        <f>IF(用語集[[#This Row],[キーワード]]="","",IF(OR(用語集[[#This Row],[説明]]="",NOT(ISERROR(FIND("★",用語集[[#This Row],[説明]])))),"★","☆"))</f>
        <v/>
      </c>
      <c r="D288" s="5"/>
      <c r="E288" s="3"/>
      <c r="F288" s="3"/>
      <c r="G288" s="4"/>
      <c r="H288" s="4"/>
      <c r="I288" s="7" t="s">
        <v>18</v>
      </c>
      <c r="J288" s="7" t="s">
        <v>18</v>
      </c>
      <c r="K288" s="7" t="s">
        <v>18</v>
      </c>
      <c r="L288" s="7" t="s">
        <v>18</v>
      </c>
      <c r="M288" s="7" t="s">
        <v>18</v>
      </c>
      <c r="N288" s="7" t="s">
        <v>18</v>
      </c>
    </row>
    <row r="289" spans="1:14" s="2" customFormat="1" x14ac:dyDescent="0.15">
      <c r="A289" s="3">
        <v>288</v>
      </c>
      <c r="B289" s="4" t="str">
        <f>IF(COUNTIF(用語集[キーワード],用語集[[#This Row],[キーワード]])&gt;1,"!","")</f>
        <v/>
      </c>
      <c r="C289" s="4" t="str">
        <f>IF(用語集[[#This Row],[キーワード]]="","",IF(OR(用語集[[#This Row],[説明]]="",NOT(ISERROR(FIND("★",用語集[[#This Row],[説明]])))),"★","☆"))</f>
        <v/>
      </c>
      <c r="D289" s="5"/>
      <c r="E289" s="3"/>
      <c r="F289" s="3"/>
      <c r="G289" s="4"/>
      <c r="H289" s="4"/>
      <c r="I289" s="7" t="s">
        <v>18</v>
      </c>
      <c r="J289" s="7" t="s">
        <v>18</v>
      </c>
      <c r="K289" s="7" t="s">
        <v>18</v>
      </c>
      <c r="L289" s="7" t="s">
        <v>18</v>
      </c>
      <c r="M289" s="7" t="s">
        <v>18</v>
      </c>
      <c r="N289" s="7" t="s">
        <v>18</v>
      </c>
    </row>
    <row r="290" spans="1:14" s="2" customFormat="1" x14ac:dyDescent="0.15">
      <c r="A290" s="3">
        <v>289</v>
      </c>
      <c r="B290" s="4" t="str">
        <f>IF(COUNTIF(用語集[キーワード],用語集[[#This Row],[キーワード]])&gt;1,"!","")</f>
        <v/>
      </c>
      <c r="C290" s="4" t="str">
        <f>IF(用語集[[#This Row],[キーワード]]="","",IF(OR(用語集[[#This Row],[説明]]="",NOT(ISERROR(FIND("★",用語集[[#This Row],[説明]])))),"★","☆"))</f>
        <v/>
      </c>
      <c r="D290" s="5"/>
      <c r="E290" s="3"/>
      <c r="F290" s="3"/>
      <c r="G290" s="4"/>
      <c r="H290" s="4"/>
      <c r="I290" s="7" t="s">
        <v>18</v>
      </c>
      <c r="J290" s="7" t="s">
        <v>18</v>
      </c>
      <c r="K290" s="7" t="s">
        <v>18</v>
      </c>
      <c r="L290" s="7" t="s">
        <v>18</v>
      </c>
      <c r="M290" s="7" t="s">
        <v>18</v>
      </c>
      <c r="N290" s="7" t="s">
        <v>18</v>
      </c>
    </row>
    <row r="291" spans="1:14" s="2" customFormat="1" x14ac:dyDescent="0.15">
      <c r="A291" s="3">
        <v>290</v>
      </c>
      <c r="B291" s="4" t="str">
        <f>IF(COUNTIF(用語集[キーワード],用語集[[#This Row],[キーワード]])&gt;1,"!","")</f>
        <v/>
      </c>
      <c r="C291" s="4" t="str">
        <f>IF(用語集[[#This Row],[キーワード]]="","",IF(OR(用語集[[#This Row],[説明]]="",NOT(ISERROR(FIND("★",用語集[[#This Row],[説明]])))),"★","☆"))</f>
        <v/>
      </c>
      <c r="D291" s="5"/>
      <c r="E291" s="3"/>
      <c r="F291" s="3"/>
      <c r="G291" s="4"/>
      <c r="H291" s="4"/>
      <c r="I291" s="7" t="s">
        <v>18</v>
      </c>
      <c r="J291" s="7" t="s">
        <v>18</v>
      </c>
      <c r="K291" s="7" t="s">
        <v>18</v>
      </c>
      <c r="L291" s="7" t="s">
        <v>18</v>
      </c>
      <c r="M291" s="7" t="s">
        <v>18</v>
      </c>
      <c r="N291" s="7" t="s">
        <v>18</v>
      </c>
    </row>
    <row r="292" spans="1:14" s="2" customFormat="1" x14ac:dyDescent="0.15">
      <c r="A292" s="3">
        <v>291</v>
      </c>
      <c r="B292" s="4" t="str">
        <f>IF(COUNTIF(用語集[キーワード],用語集[[#This Row],[キーワード]])&gt;1,"!","")</f>
        <v/>
      </c>
      <c r="C292" s="4" t="str">
        <f>IF(用語集[[#This Row],[キーワード]]="","",IF(OR(用語集[[#This Row],[説明]]="",NOT(ISERROR(FIND("★",用語集[[#This Row],[説明]])))),"★","☆"))</f>
        <v/>
      </c>
      <c r="D292" s="5"/>
      <c r="E292" s="3"/>
      <c r="F292" s="3"/>
      <c r="G292" s="4"/>
      <c r="H292" s="4"/>
      <c r="I292" s="7" t="s">
        <v>18</v>
      </c>
      <c r="J292" s="7" t="s">
        <v>18</v>
      </c>
      <c r="K292" s="7" t="s">
        <v>18</v>
      </c>
      <c r="L292" s="7" t="s">
        <v>18</v>
      </c>
      <c r="M292" s="7" t="s">
        <v>18</v>
      </c>
      <c r="N292" s="7" t="s">
        <v>18</v>
      </c>
    </row>
    <row r="293" spans="1:14" s="2" customFormat="1" x14ac:dyDescent="0.15">
      <c r="A293" s="3">
        <v>292</v>
      </c>
      <c r="B293" s="4" t="str">
        <f>IF(COUNTIF(用語集[キーワード],用語集[[#This Row],[キーワード]])&gt;1,"!","")</f>
        <v/>
      </c>
      <c r="C293" s="4" t="str">
        <f>IF(用語集[[#This Row],[キーワード]]="","",IF(OR(用語集[[#This Row],[説明]]="",NOT(ISERROR(FIND("★",用語集[[#This Row],[説明]])))),"★","☆"))</f>
        <v/>
      </c>
      <c r="D293" s="5"/>
      <c r="E293" s="3"/>
      <c r="F293" s="3"/>
      <c r="G293" s="4"/>
      <c r="H293" s="4"/>
      <c r="I293" s="7" t="s">
        <v>18</v>
      </c>
      <c r="J293" s="7" t="s">
        <v>18</v>
      </c>
      <c r="K293" s="7" t="s">
        <v>18</v>
      </c>
      <c r="L293" s="7" t="s">
        <v>18</v>
      </c>
      <c r="M293" s="7" t="s">
        <v>18</v>
      </c>
      <c r="N293" s="7" t="s">
        <v>18</v>
      </c>
    </row>
    <row r="294" spans="1:14" s="2" customFormat="1" x14ac:dyDescent="0.15">
      <c r="A294" s="3">
        <v>293</v>
      </c>
      <c r="B294" s="4" t="str">
        <f>IF(COUNTIF(用語集[キーワード],用語集[[#This Row],[キーワード]])&gt;1,"!","")</f>
        <v/>
      </c>
      <c r="C294" s="4" t="str">
        <f>IF(用語集[[#This Row],[キーワード]]="","",IF(OR(用語集[[#This Row],[説明]]="",NOT(ISERROR(FIND("★",用語集[[#This Row],[説明]])))),"★","☆"))</f>
        <v/>
      </c>
      <c r="D294" s="5"/>
      <c r="E294" s="3"/>
      <c r="F294" s="3"/>
      <c r="G294" s="4"/>
      <c r="H294" s="4"/>
      <c r="I294" s="7" t="s">
        <v>18</v>
      </c>
      <c r="J294" s="7" t="s">
        <v>18</v>
      </c>
      <c r="K294" s="7" t="s">
        <v>18</v>
      </c>
      <c r="L294" s="7" t="s">
        <v>18</v>
      </c>
      <c r="M294" s="7" t="s">
        <v>18</v>
      </c>
      <c r="N294" s="7" t="s">
        <v>18</v>
      </c>
    </row>
    <row r="295" spans="1:14" s="2" customFormat="1" x14ac:dyDescent="0.15">
      <c r="A295" s="3">
        <v>294</v>
      </c>
      <c r="B295" s="4" t="str">
        <f>IF(COUNTIF(用語集[キーワード],用語集[[#This Row],[キーワード]])&gt;1,"!","")</f>
        <v/>
      </c>
      <c r="C295" s="4" t="str">
        <f>IF(用語集[[#This Row],[キーワード]]="","",IF(OR(用語集[[#This Row],[説明]]="",NOT(ISERROR(FIND("★",用語集[[#This Row],[説明]])))),"★","☆"))</f>
        <v/>
      </c>
      <c r="D295" s="5"/>
      <c r="E295" s="3"/>
      <c r="F295" s="3"/>
      <c r="G295" s="4"/>
      <c r="H295" s="4"/>
      <c r="I295" s="7" t="s">
        <v>18</v>
      </c>
      <c r="J295" s="7" t="s">
        <v>18</v>
      </c>
      <c r="K295" s="7" t="s">
        <v>18</v>
      </c>
      <c r="L295" s="7" t="s">
        <v>18</v>
      </c>
      <c r="M295" s="7" t="s">
        <v>18</v>
      </c>
      <c r="N295" s="7" t="s">
        <v>18</v>
      </c>
    </row>
    <row r="296" spans="1:14" s="2" customFormat="1" x14ac:dyDescent="0.15">
      <c r="A296" s="3">
        <v>295</v>
      </c>
      <c r="B296" s="4" t="str">
        <f>IF(COUNTIF(用語集[キーワード],用語集[[#This Row],[キーワード]])&gt;1,"!","")</f>
        <v/>
      </c>
      <c r="C296" s="4" t="str">
        <f>IF(用語集[[#This Row],[キーワード]]="","",IF(OR(用語集[[#This Row],[説明]]="",NOT(ISERROR(FIND("★",用語集[[#This Row],[説明]])))),"★","☆"))</f>
        <v/>
      </c>
      <c r="D296" s="5"/>
      <c r="E296" s="3"/>
      <c r="F296" s="3"/>
      <c r="G296" s="4"/>
      <c r="H296" s="4"/>
      <c r="I296" s="7" t="s">
        <v>18</v>
      </c>
      <c r="J296" s="7" t="s">
        <v>18</v>
      </c>
      <c r="K296" s="7" t="s">
        <v>18</v>
      </c>
      <c r="L296" s="7" t="s">
        <v>18</v>
      </c>
      <c r="M296" s="7" t="s">
        <v>18</v>
      </c>
      <c r="N296" s="7" t="s">
        <v>18</v>
      </c>
    </row>
    <row r="297" spans="1:14" s="2" customFormat="1" x14ac:dyDescent="0.15">
      <c r="A297" s="3">
        <v>296</v>
      </c>
      <c r="B297" s="4" t="str">
        <f>IF(COUNTIF(用語集[キーワード],用語集[[#This Row],[キーワード]])&gt;1,"!","")</f>
        <v/>
      </c>
      <c r="C297" s="4" t="str">
        <f>IF(用語集[[#This Row],[キーワード]]="","",IF(OR(用語集[[#This Row],[説明]]="",NOT(ISERROR(FIND("★",用語集[[#This Row],[説明]])))),"★","☆"))</f>
        <v/>
      </c>
      <c r="D297" s="5"/>
      <c r="E297" s="3"/>
      <c r="F297" s="3"/>
      <c r="G297" s="4"/>
      <c r="H297" s="4"/>
      <c r="I297" s="7" t="s">
        <v>18</v>
      </c>
      <c r="J297" s="7" t="s">
        <v>18</v>
      </c>
      <c r="K297" s="7" t="s">
        <v>18</v>
      </c>
      <c r="L297" s="7" t="s">
        <v>18</v>
      </c>
      <c r="M297" s="7" t="s">
        <v>18</v>
      </c>
      <c r="N297" s="7" t="s">
        <v>18</v>
      </c>
    </row>
    <row r="298" spans="1:14" s="2" customFormat="1" x14ac:dyDescent="0.15">
      <c r="A298" s="3">
        <v>297</v>
      </c>
      <c r="B298" s="4" t="str">
        <f>IF(COUNTIF(用語集[キーワード],用語集[[#This Row],[キーワード]])&gt;1,"!","")</f>
        <v/>
      </c>
      <c r="C298" s="4" t="str">
        <f>IF(用語集[[#This Row],[キーワード]]="","",IF(OR(用語集[[#This Row],[説明]]="",NOT(ISERROR(FIND("★",用語集[[#This Row],[説明]])))),"★","☆"))</f>
        <v/>
      </c>
      <c r="D298" s="5"/>
      <c r="E298" s="3"/>
      <c r="F298" s="3"/>
      <c r="G298" s="4"/>
      <c r="H298" s="4"/>
      <c r="I298" s="7" t="s">
        <v>18</v>
      </c>
      <c r="J298" s="7" t="s">
        <v>18</v>
      </c>
      <c r="K298" s="7" t="s">
        <v>18</v>
      </c>
      <c r="L298" s="7" t="s">
        <v>18</v>
      </c>
      <c r="M298" s="7" t="s">
        <v>18</v>
      </c>
      <c r="N298" s="7" t="s">
        <v>18</v>
      </c>
    </row>
    <row r="299" spans="1:14" s="2" customFormat="1" x14ac:dyDescent="0.15">
      <c r="A299" s="3">
        <v>298</v>
      </c>
      <c r="B299" s="4" t="str">
        <f>IF(COUNTIF(用語集[キーワード],用語集[[#This Row],[キーワード]])&gt;1,"!","")</f>
        <v/>
      </c>
      <c r="C299" s="4" t="str">
        <f>IF(用語集[[#This Row],[キーワード]]="","",IF(OR(用語集[[#This Row],[説明]]="",NOT(ISERROR(FIND("★",用語集[[#This Row],[説明]])))),"★","☆"))</f>
        <v/>
      </c>
      <c r="D299" s="5"/>
      <c r="E299" s="3"/>
      <c r="F299" s="3"/>
      <c r="G299" s="4"/>
      <c r="H299" s="4"/>
      <c r="I299" s="7" t="s">
        <v>18</v>
      </c>
      <c r="J299" s="7" t="s">
        <v>18</v>
      </c>
      <c r="K299" s="7" t="s">
        <v>18</v>
      </c>
      <c r="L299" s="7" t="s">
        <v>18</v>
      </c>
      <c r="M299" s="7" t="s">
        <v>18</v>
      </c>
      <c r="N299" s="7" t="s">
        <v>18</v>
      </c>
    </row>
    <row r="300" spans="1:14" s="2" customFormat="1" x14ac:dyDescent="0.15">
      <c r="A300" s="3">
        <v>299</v>
      </c>
      <c r="B300" s="4" t="str">
        <f>IF(COUNTIF(用語集[キーワード],用語集[[#This Row],[キーワード]])&gt;1,"!","")</f>
        <v/>
      </c>
      <c r="C300" s="4" t="str">
        <f>IF(用語集[[#This Row],[キーワード]]="","",IF(OR(用語集[[#This Row],[説明]]="",NOT(ISERROR(FIND("★",用語集[[#This Row],[説明]])))),"★","☆"))</f>
        <v/>
      </c>
      <c r="D300" s="5"/>
      <c r="E300" s="3"/>
      <c r="F300" s="3"/>
      <c r="G300" s="4"/>
      <c r="H300" s="4"/>
      <c r="I300" s="7" t="s">
        <v>18</v>
      </c>
      <c r="J300" s="7" t="s">
        <v>18</v>
      </c>
      <c r="K300" s="7" t="s">
        <v>18</v>
      </c>
      <c r="L300" s="7" t="s">
        <v>18</v>
      </c>
      <c r="M300" s="7" t="s">
        <v>18</v>
      </c>
      <c r="N300" s="7" t="s">
        <v>18</v>
      </c>
    </row>
    <row r="301" spans="1:14" s="2" customFormat="1" x14ac:dyDescent="0.15">
      <c r="A301" s="3">
        <v>300</v>
      </c>
      <c r="B301" s="4" t="str">
        <f>IF(COUNTIF(用語集[キーワード],用語集[[#This Row],[キーワード]])&gt;1,"!","")</f>
        <v/>
      </c>
      <c r="C301" s="4" t="str">
        <f>IF(用語集[[#This Row],[キーワード]]="","",IF(OR(用語集[[#This Row],[説明]]="",NOT(ISERROR(FIND("★",用語集[[#This Row],[説明]])))),"★","☆"))</f>
        <v/>
      </c>
      <c r="D301" s="5"/>
      <c r="E301" s="3"/>
      <c r="F301" s="3"/>
      <c r="G301" s="4"/>
      <c r="H301" s="4"/>
      <c r="I301" s="7" t="s">
        <v>18</v>
      </c>
      <c r="J301" s="7" t="s">
        <v>18</v>
      </c>
      <c r="K301" s="7" t="s">
        <v>18</v>
      </c>
      <c r="L301" s="7" t="s">
        <v>18</v>
      </c>
      <c r="M301" s="7" t="s">
        <v>18</v>
      </c>
      <c r="N301" s="7" t="s">
        <v>18</v>
      </c>
    </row>
    <row r="302" spans="1:14" s="2" customFormat="1" x14ac:dyDescent="0.15">
      <c r="A302" s="3">
        <v>301</v>
      </c>
      <c r="B302" s="4" t="str">
        <f>IF(COUNTIF(用語集[キーワード],用語集[[#This Row],[キーワード]])&gt;1,"!","")</f>
        <v/>
      </c>
      <c r="C302" s="4" t="str">
        <f>IF(用語集[[#This Row],[キーワード]]="","",IF(OR(用語集[[#This Row],[説明]]="",NOT(ISERROR(FIND("★",用語集[[#This Row],[説明]])))),"★","☆"))</f>
        <v/>
      </c>
      <c r="D302" s="5"/>
      <c r="E302" s="3"/>
      <c r="F302" s="3"/>
      <c r="G302" s="4"/>
      <c r="H302" s="4"/>
      <c r="I302" s="7" t="s">
        <v>18</v>
      </c>
      <c r="J302" s="7" t="s">
        <v>18</v>
      </c>
      <c r="K302" s="7" t="s">
        <v>18</v>
      </c>
      <c r="L302" s="7" t="s">
        <v>18</v>
      </c>
      <c r="M302" s="7" t="s">
        <v>18</v>
      </c>
      <c r="N302" s="7" t="s">
        <v>18</v>
      </c>
    </row>
    <row r="303" spans="1:14" s="2" customFormat="1" x14ac:dyDescent="0.15">
      <c r="A303" s="3">
        <v>302</v>
      </c>
      <c r="B303" s="4" t="str">
        <f>IF(COUNTIF(用語集[キーワード],用語集[[#This Row],[キーワード]])&gt;1,"!","")</f>
        <v/>
      </c>
      <c r="C303" s="4" t="str">
        <f>IF(用語集[[#This Row],[キーワード]]="","",IF(OR(用語集[[#This Row],[説明]]="",NOT(ISERROR(FIND("★",用語集[[#This Row],[説明]])))),"★","☆"))</f>
        <v/>
      </c>
      <c r="D303" s="5"/>
      <c r="E303" s="3"/>
      <c r="F303" s="3"/>
      <c r="G303" s="4"/>
      <c r="H303" s="4"/>
      <c r="I303" s="7" t="s">
        <v>18</v>
      </c>
      <c r="J303" s="7" t="s">
        <v>18</v>
      </c>
      <c r="K303" s="7" t="s">
        <v>18</v>
      </c>
      <c r="L303" s="7" t="s">
        <v>18</v>
      </c>
      <c r="M303" s="7" t="s">
        <v>18</v>
      </c>
      <c r="N303" s="7" t="s">
        <v>18</v>
      </c>
    </row>
    <row r="304" spans="1:14" s="2" customFormat="1" x14ac:dyDescent="0.15">
      <c r="A304" s="3">
        <v>303</v>
      </c>
      <c r="B304" s="4" t="str">
        <f>IF(COUNTIF(用語集[キーワード],用語集[[#This Row],[キーワード]])&gt;1,"!","")</f>
        <v/>
      </c>
      <c r="C304" s="4" t="str">
        <f>IF(用語集[[#This Row],[キーワード]]="","",IF(OR(用語集[[#This Row],[説明]]="",NOT(ISERROR(FIND("★",用語集[[#This Row],[説明]])))),"★","☆"))</f>
        <v/>
      </c>
      <c r="D304" s="5"/>
      <c r="E304" s="3"/>
      <c r="F304" s="3"/>
      <c r="G304" s="4"/>
      <c r="H304" s="4"/>
      <c r="I304" s="7" t="s">
        <v>18</v>
      </c>
      <c r="J304" s="7" t="s">
        <v>18</v>
      </c>
      <c r="K304" s="7" t="s">
        <v>18</v>
      </c>
      <c r="L304" s="7" t="s">
        <v>18</v>
      </c>
      <c r="M304" s="7" t="s">
        <v>18</v>
      </c>
      <c r="N304" s="7" t="s">
        <v>18</v>
      </c>
    </row>
    <row r="305" spans="1:14" s="2" customFormat="1" x14ac:dyDescent="0.15">
      <c r="A305" s="3">
        <v>304</v>
      </c>
      <c r="B305" s="4" t="str">
        <f>IF(COUNTIF(用語集[キーワード],用語集[[#This Row],[キーワード]])&gt;1,"!","")</f>
        <v/>
      </c>
      <c r="C305" s="4" t="str">
        <f>IF(用語集[[#This Row],[キーワード]]="","",IF(OR(用語集[[#This Row],[説明]]="",NOT(ISERROR(FIND("★",用語集[[#This Row],[説明]])))),"★","☆"))</f>
        <v/>
      </c>
      <c r="D305" s="5"/>
      <c r="E305" s="3"/>
      <c r="F305" s="3"/>
      <c r="G305" s="4"/>
      <c r="H305" s="4"/>
      <c r="I305" s="7" t="s">
        <v>18</v>
      </c>
      <c r="J305" s="7" t="s">
        <v>18</v>
      </c>
      <c r="K305" s="7" t="s">
        <v>18</v>
      </c>
      <c r="L305" s="7" t="s">
        <v>18</v>
      </c>
      <c r="M305" s="7" t="s">
        <v>18</v>
      </c>
      <c r="N305" s="7" t="s">
        <v>18</v>
      </c>
    </row>
    <row r="306" spans="1:14" s="2" customFormat="1" x14ac:dyDescent="0.15">
      <c r="A306" s="3">
        <v>305</v>
      </c>
      <c r="B306" s="4" t="str">
        <f>IF(COUNTIF(用語集[キーワード],用語集[[#This Row],[キーワード]])&gt;1,"!","")</f>
        <v/>
      </c>
      <c r="C306" s="4" t="str">
        <f>IF(用語集[[#This Row],[キーワード]]="","",IF(OR(用語集[[#This Row],[説明]]="",NOT(ISERROR(FIND("★",用語集[[#This Row],[説明]])))),"★","☆"))</f>
        <v/>
      </c>
      <c r="D306" s="5"/>
      <c r="E306" s="3"/>
      <c r="F306" s="3"/>
      <c r="G306" s="4"/>
      <c r="H306" s="4"/>
      <c r="I306" s="7" t="s">
        <v>18</v>
      </c>
      <c r="J306" s="7" t="s">
        <v>18</v>
      </c>
      <c r="K306" s="7" t="s">
        <v>18</v>
      </c>
      <c r="L306" s="7" t="s">
        <v>18</v>
      </c>
      <c r="M306" s="7" t="s">
        <v>18</v>
      </c>
      <c r="N306" s="7" t="s">
        <v>18</v>
      </c>
    </row>
    <row r="307" spans="1:14" s="2" customFormat="1" x14ac:dyDescent="0.15">
      <c r="A307" s="3">
        <v>306</v>
      </c>
      <c r="B307" s="4" t="str">
        <f>IF(COUNTIF(用語集[キーワード],用語集[[#This Row],[キーワード]])&gt;1,"!","")</f>
        <v/>
      </c>
      <c r="C307" s="4" t="str">
        <f>IF(用語集[[#This Row],[キーワード]]="","",IF(OR(用語集[[#This Row],[説明]]="",NOT(ISERROR(FIND("★",用語集[[#This Row],[説明]])))),"★","☆"))</f>
        <v/>
      </c>
      <c r="D307" s="5"/>
      <c r="E307" s="3"/>
      <c r="F307" s="3"/>
      <c r="G307" s="4"/>
      <c r="H307" s="4"/>
      <c r="I307" s="7" t="s">
        <v>18</v>
      </c>
      <c r="J307" s="7" t="s">
        <v>18</v>
      </c>
      <c r="K307" s="7" t="s">
        <v>18</v>
      </c>
      <c r="L307" s="7" t="s">
        <v>18</v>
      </c>
      <c r="M307" s="7" t="s">
        <v>18</v>
      </c>
      <c r="N307" s="7" t="s">
        <v>18</v>
      </c>
    </row>
    <row r="308" spans="1:14" s="2" customFormat="1" x14ac:dyDescent="0.15">
      <c r="A308" s="3">
        <v>307</v>
      </c>
      <c r="B308" s="4" t="str">
        <f>IF(COUNTIF(用語集[キーワード],用語集[[#This Row],[キーワード]])&gt;1,"!","")</f>
        <v/>
      </c>
      <c r="C308" s="4" t="str">
        <f>IF(用語集[[#This Row],[キーワード]]="","",IF(OR(用語集[[#This Row],[説明]]="",NOT(ISERROR(FIND("★",用語集[[#This Row],[説明]])))),"★","☆"))</f>
        <v/>
      </c>
      <c r="D308" s="5"/>
      <c r="E308" s="3"/>
      <c r="F308" s="3"/>
      <c r="G308" s="4"/>
      <c r="H308" s="4"/>
      <c r="I308" s="7" t="s">
        <v>18</v>
      </c>
      <c r="J308" s="7" t="s">
        <v>18</v>
      </c>
      <c r="K308" s="7" t="s">
        <v>18</v>
      </c>
      <c r="L308" s="7" t="s">
        <v>18</v>
      </c>
      <c r="M308" s="7" t="s">
        <v>18</v>
      </c>
      <c r="N308" s="7" t="s">
        <v>18</v>
      </c>
    </row>
    <row r="309" spans="1:14" s="2" customFormat="1" x14ac:dyDescent="0.15">
      <c r="A309" s="3">
        <v>308</v>
      </c>
      <c r="B309" s="4" t="str">
        <f>IF(COUNTIF(用語集[キーワード],用語集[[#This Row],[キーワード]])&gt;1,"!","")</f>
        <v/>
      </c>
      <c r="C309" s="4" t="str">
        <f>IF(用語集[[#This Row],[キーワード]]="","",IF(OR(用語集[[#This Row],[説明]]="",NOT(ISERROR(FIND("★",用語集[[#This Row],[説明]])))),"★","☆"))</f>
        <v/>
      </c>
      <c r="D309" s="5"/>
      <c r="E309" s="3"/>
      <c r="F309" s="3"/>
      <c r="G309" s="4"/>
      <c r="H309" s="4"/>
      <c r="I309" s="7" t="s">
        <v>18</v>
      </c>
      <c r="J309" s="7" t="s">
        <v>18</v>
      </c>
      <c r="K309" s="7" t="s">
        <v>18</v>
      </c>
      <c r="L309" s="7" t="s">
        <v>18</v>
      </c>
      <c r="M309" s="7" t="s">
        <v>18</v>
      </c>
      <c r="N309" s="7" t="s">
        <v>18</v>
      </c>
    </row>
    <row r="310" spans="1:14" s="2" customFormat="1" x14ac:dyDescent="0.15">
      <c r="A310" s="3">
        <v>309</v>
      </c>
      <c r="B310" s="4" t="str">
        <f>IF(COUNTIF(用語集[キーワード],用語集[[#This Row],[キーワード]])&gt;1,"!","")</f>
        <v/>
      </c>
      <c r="C310" s="4" t="str">
        <f>IF(用語集[[#This Row],[キーワード]]="","",IF(OR(用語集[[#This Row],[説明]]="",NOT(ISERROR(FIND("★",用語集[[#This Row],[説明]])))),"★","☆"))</f>
        <v/>
      </c>
      <c r="D310" s="5"/>
      <c r="E310" s="3"/>
      <c r="F310" s="3"/>
      <c r="G310" s="4"/>
      <c r="H310" s="4"/>
      <c r="I310" s="7" t="s">
        <v>18</v>
      </c>
      <c r="J310" s="7" t="s">
        <v>18</v>
      </c>
      <c r="K310" s="7" t="s">
        <v>18</v>
      </c>
      <c r="L310" s="7" t="s">
        <v>18</v>
      </c>
      <c r="M310" s="7" t="s">
        <v>18</v>
      </c>
      <c r="N310" s="7" t="s">
        <v>18</v>
      </c>
    </row>
    <row r="311" spans="1:14" s="2" customFormat="1" x14ac:dyDescent="0.15">
      <c r="A311" s="3">
        <v>310</v>
      </c>
      <c r="B311" s="4" t="str">
        <f>IF(COUNTIF(用語集[キーワード],用語集[[#This Row],[キーワード]])&gt;1,"!","")</f>
        <v/>
      </c>
      <c r="C311" s="4" t="str">
        <f>IF(用語集[[#This Row],[キーワード]]="","",IF(OR(用語集[[#This Row],[説明]]="",NOT(ISERROR(FIND("★",用語集[[#This Row],[説明]])))),"★","☆"))</f>
        <v/>
      </c>
      <c r="D311" s="5"/>
      <c r="E311" s="3"/>
      <c r="F311" s="3"/>
      <c r="G311" s="4"/>
      <c r="H311" s="4"/>
      <c r="I311" s="7" t="s">
        <v>18</v>
      </c>
      <c r="J311" s="7" t="s">
        <v>18</v>
      </c>
      <c r="K311" s="7" t="s">
        <v>18</v>
      </c>
      <c r="L311" s="7" t="s">
        <v>18</v>
      </c>
      <c r="M311" s="7" t="s">
        <v>18</v>
      </c>
      <c r="N311" s="7" t="s">
        <v>18</v>
      </c>
    </row>
    <row r="312" spans="1:14" s="2" customFormat="1" x14ac:dyDescent="0.15">
      <c r="A312" s="3">
        <v>311</v>
      </c>
      <c r="B312" s="4" t="str">
        <f>IF(COUNTIF(用語集[キーワード],用語集[[#This Row],[キーワード]])&gt;1,"!","")</f>
        <v/>
      </c>
      <c r="C312" s="4" t="str">
        <f>IF(用語集[[#This Row],[キーワード]]="","",IF(OR(用語集[[#This Row],[説明]]="",NOT(ISERROR(FIND("★",用語集[[#This Row],[説明]])))),"★","☆"))</f>
        <v/>
      </c>
      <c r="D312" s="5"/>
      <c r="E312" s="3"/>
      <c r="F312" s="3"/>
      <c r="G312" s="4"/>
      <c r="H312" s="4"/>
      <c r="I312" s="7" t="s">
        <v>18</v>
      </c>
      <c r="J312" s="7" t="s">
        <v>18</v>
      </c>
      <c r="K312" s="7" t="s">
        <v>18</v>
      </c>
      <c r="L312" s="7" t="s">
        <v>18</v>
      </c>
      <c r="M312" s="7" t="s">
        <v>18</v>
      </c>
      <c r="N312" s="7" t="s">
        <v>18</v>
      </c>
    </row>
    <row r="313" spans="1:14" s="2" customFormat="1" x14ac:dyDescent="0.15">
      <c r="A313" s="3">
        <v>312</v>
      </c>
      <c r="B313" s="4" t="str">
        <f>IF(COUNTIF(用語集[キーワード],用語集[[#This Row],[キーワード]])&gt;1,"!","")</f>
        <v/>
      </c>
      <c r="C313" s="4" t="str">
        <f>IF(用語集[[#This Row],[キーワード]]="","",IF(OR(用語集[[#This Row],[説明]]="",NOT(ISERROR(FIND("★",用語集[[#This Row],[説明]])))),"★","☆"))</f>
        <v/>
      </c>
      <c r="D313" s="5"/>
      <c r="E313" s="3"/>
      <c r="F313" s="3"/>
      <c r="G313" s="4"/>
      <c r="H313" s="4"/>
      <c r="I313" s="7" t="s">
        <v>18</v>
      </c>
      <c r="J313" s="7" t="s">
        <v>18</v>
      </c>
      <c r="K313" s="7" t="s">
        <v>18</v>
      </c>
      <c r="L313" s="7" t="s">
        <v>18</v>
      </c>
      <c r="M313" s="7" t="s">
        <v>18</v>
      </c>
      <c r="N313" s="7" t="s">
        <v>18</v>
      </c>
    </row>
    <row r="314" spans="1:14" s="2" customFormat="1" x14ac:dyDescent="0.15">
      <c r="A314" s="3">
        <v>313</v>
      </c>
      <c r="B314" s="4" t="str">
        <f>IF(COUNTIF(用語集[キーワード],用語集[[#This Row],[キーワード]])&gt;1,"!","")</f>
        <v/>
      </c>
      <c r="C314" s="4" t="str">
        <f>IF(用語集[[#This Row],[キーワード]]="","",IF(OR(用語集[[#This Row],[説明]]="",NOT(ISERROR(FIND("★",用語集[[#This Row],[説明]])))),"★","☆"))</f>
        <v/>
      </c>
      <c r="D314" s="5"/>
      <c r="E314" s="3"/>
      <c r="F314" s="3"/>
      <c r="G314" s="4"/>
      <c r="H314" s="4"/>
      <c r="I314" s="7" t="s">
        <v>18</v>
      </c>
      <c r="J314" s="7" t="s">
        <v>18</v>
      </c>
      <c r="K314" s="7" t="s">
        <v>18</v>
      </c>
      <c r="L314" s="7" t="s">
        <v>18</v>
      </c>
      <c r="M314" s="7" t="s">
        <v>18</v>
      </c>
      <c r="N314" s="7" t="s">
        <v>18</v>
      </c>
    </row>
    <row r="315" spans="1:14" s="2" customFormat="1" x14ac:dyDescent="0.15">
      <c r="A315" s="3">
        <v>314</v>
      </c>
      <c r="B315" s="4" t="str">
        <f>IF(COUNTIF(用語集[キーワード],用語集[[#This Row],[キーワード]])&gt;1,"!","")</f>
        <v/>
      </c>
      <c r="C315" s="4" t="str">
        <f>IF(用語集[[#This Row],[キーワード]]="","",IF(OR(用語集[[#This Row],[説明]]="",NOT(ISERROR(FIND("★",用語集[[#This Row],[説明]])))),"★","☆"))</f>
        <v/>
      </c>
      <c r="D315" s="5"/>
      <c r="E315" s="3"/>
      <c r="F315" s="3"/>
      <c r="G315" s="4"/>
      <c r="H315" s="4"/>
      <c r="I315" s="7" t="s">
        <v>18</v>
      </c>
      <c r="J315" s="7" t="s">
        <v>18</v>
      </c>
      <c r="K315" s="7" t="s">
        <v>18</v>
      </c>
      <c r="L315" s="7" t="s">
        <v>18</v>
      </c>
      <c r="M315" s="7" t="s">
        <v>18</v>
      </c>
      <c r="N315" s="7" t="s">
        <v>18</v>
      </c>
    </row>
    <row r="316" spans="1:14" s="2" customFormat="1" x14ac:dyDescent="0.15">
      <c r="A316" s="3">
        <v>315</v>
      </c>
      <c r="B316" s="4" t="str">
        <f>IF(COUNTIF(用語集[キーワード],用語集[[#This Row],[キーワード]])&gt;1,"!","")</f>
        <v/>
      </c>
      <c r="C316" s="4" t="str">
        <f>IF(用語集[[#This Row],[キーワード]]="","",IF(OR(用語集[[#This Row],[説明]]="",NOT(ISERROR(FIND("★",用語集[[#This Row],[説明]])))),"★","☆"))</f>
        <v/>
      </c>
      <c r="D316" s="5"/>
      <c r="E316" s="3"/>
      <c r="F316" s="3"/>
      <c r="G316" s="4"/>
      <c r="H316" s="4"/>
      <c r="I316" s="7" t="s">
        <v>18</v>
      </c>
      <c r="J316" s="7" t="s">
        <v>18</v>
      </c>
      <c r="K316" s="7" t="s">
        <v>18</v>
      </c>
      <c r="L316" s="7" t="s">
        <v>18</v>
      </c>
      <c r="M316" s="7" t="s">
        <v>18</v>
      </c>
      <c r="N316" s="7" t="s">
        <v>18</v>
      </c>
    </row>
    <row r="317" spans="1:14" s="2" customFormat="1" x14ac:dyDescent="0.15">
      <c r="A317" s="3">
        <v>316</v>
      </c>
      <c r="B317" s="4" t="str">
        <f>IF(COUNTIF(用語集[キーワード],用語集[[#This Row],[キーワード]])&gt;1,"!","")</f>
        <v/>
      </c>
      <c r="C317" s="4" t="str">
        <f>IF(用語集[[#This Row],[キーワード]]="","",IF(OR(用語集[[#This Row],[説明]]="",NOT(ISERROR(FIND("★",用語集[[#This Row],[説明]])))),"★","☆"))</f>
        <v/>
      </c>
      <c r="D317" s="5"/>
      <c r="E317" s="3"/>
      <c r="F317" s="3"/>
      <c r="G317" s="4"/>
      <c r="H317" s="4"/>
      <c r="I317" s="7" t="s">
        <v>18</v>
      </c>
      <c r="J317" s="7" t="s">
        <v>18</v>
      </c>
      <c r="K317" s="7" t="s">
        <v>18</v>
      </c>
      <c r="L317" s="7" t="s">
        <v>18</v>
      </c>
      <c r="M317" s="7" t="s">
        <v>18</v>
      </c>
      <c r="N317" s="7" t="s">
        <v>18</v>
      </c>
    </row>
    <row r="318" spans="1:14" s="2" customFormat="1" x14ac:dyDescent="0.15">
      <c r="A318" s="3">
        <v>317</v>
      </c>
      <c r="B318" s="4" t="str">
        <f>IF(COUNTIF(用語集[キーワード],用語集[[#This Row],[キーワード]])&gt;1,"!","")</f>
        <v/>
      </c>
      <c r="C318" s="4" t="str">
        <f>IF(用語集[[#This Row],[キーワード]]="","",IF(OR(用語集[[#This Row],[説明]]="",NOT(ISERROR(FIND("★",用語集[[#This Row],[説明]])))),"★","☆"))</f>
        <v/>
      </c>
      <c r="D318" s="5"/>
      <c r="E318" s="3"/>
      <c r="F318" s="3"/>
      <c r="G318" s="4"/>
      <c r="H318" s="4"/>
      <c r="I318" s="7" t="s">
        <v>18</v>
      </c>
      <c r="J318" s="7" t="s">
        <v>18</v>
      </c>
      <c r="K318" s="7" t="s">
        <v>18</v>
      </c>
      <c r="L318" s="7" t="s">
        <v>18</v>
      </c>
      <c r="M318" s="7" t="s">
        <v>18</v>
      </c>
      <c r="N318" s="7" t="s">
        <v>18</v>
      </c>
    </row>
    <row r="319" spans="1:14" s="2" customFormat="1" x14ac:dyDescent="0.15">
      <c r="A319" s="3">
        <v>318</v>
      </c>
      <c r="B319" s="4" t="str">
        <f>IF(COUNTIF(用語集[キーワード],用語集[[#This Row],[キーワード]])&gt;1,"!","")</f>
        <v/>
      </c>
      <c r="C319" s="4" t="str">
        <f>IF(用語集[[#This Row],[キーワード]]="","",IF(OR(用語集[[#This Row],[説明]]="",NOT(ISERROR(FIND("★",用語集[[#This Row],[説明]])))),"★","☆"))</f>
        <v/>
      </c>
      <c r="D319" s="5"/>
      <c r="E319" s="3"/>
      <c r="F319" s="3"/>
      <c r="G319" s="4"/>
      <c r="H319" s="4"/>
      <c r="I319" s="7" t="s">
        <v>18</v>
      </c>
      <c r="J319" s="7" t="s">
        <v>18</v>
      </c>
      <c r="K319" s="7" t="s">
        <v>18</v>
      </c>
      <c r="L319" s="7" t="s">
        <v>18</v>
      </c>
      <c r="M319" s="7" t="s">
        <v>18</v>
      </c>
      <c r="N319" s="7" t="s">
        <v>18</v>
      </c>
    </row>
    <row r="320" spans="1:14" s="2" customFormat="1" x14ac:dyDescent="0.15">
      <c r="A320" s="3">
        <v>319</v>
      </c>
      <c r="B320" s="4" t="str">
        <f>IF(COUNTIF(用語集[キーワード],用語集[[#This Row],[キーワード]])&gt;1,"!","")</f>
        <v/>
      </c>
      <c r="C320" s="4" t="str">
        <f>IF(用語集[[#This Row],[キーワード]]="","",IF(OR(用語集[[#This Row],[説明]]="",NOT(ISERROR(FIND("★",用語集[[#This Row],[説明]])))),"★","☆"))</f>
        <v/>
      </c>
      <c r="D320" s="5"/>
      <c r="E320" s="3"/>
      <c r="F320" s="3"/>
      <c r="G320" s="4"/>
      <c r="H320" s="4"/>
      <c r="I320" s="7" t="s">
        <v>18</v>
      </c>
      <c r="J320" s="7" t="s">
        <v>18</v>
      </c>
      <c r="K320" s="7" t="s">
        <v>18</v>
      </c>
      <c r="L320" s="7" t="s">
        <v>18</v>
      </c>
      <c r="M320" s="7" t="s">
        <v>18</v>
      </c>
      <c r="N320" s="7" t="s">
        <v>18</v>
      </c>
    </row>
    <row r="321" spans="1:14" s="2" customFormat="1" x14ac:dyDescent="0.15">
      <c r="A321" s="3">
        <v>320</v>
      </c>
      <c r="B321" s="4" t="str">
        <f>IF(COUNTIF(用語集[キーワード],用語集[[#This Row],[キーワード]])&gt;1,"!","")</f>
        <v/>
      </c>
      <c r="C321" s="4" t="str">
        <f>IF(用語集[[#This Row],[キーワード]]="","",IF(OR(用語集[[#This Row],[説明]]="",NOT(ISERROR(FIND("★",用語集[[#This Row],[説明]])))),"★","☆"))</f>
        <v/>
      </c>
      <c r="D321" s="5"/>
      <c r="E321" s="3"/>
      <c r="F321" s="3"/>
      <c r="G321" s="4"/>
      <c r="H321" s="4"/>
      <c r="I321" s="7" t="s">
        <v>18</v>
      </c>
      <c r="J321" s="7" t="s">
        <v>18</v>
      </c>
      <c r="K321" s="7" t="s">
        <v>18</v>
      </c>
      <c r="L321" s="7" t="s">
        <v>18</v>
      </c>
      <c r="M321" s="7" t="s">
        <v>18</v>
      </c>
      <c r="N321" s="7" t="s">
        <v>18</v>
      </c>
    </row>
    <row r="322" spans="1:14" s="2" customFormat="1" x14ac:dyDescent="0.15">
      <c r="A322" s="3">
        <v>321</v>
      </c>
      <c r="B322" s="4" t="str">
        <f>IF(COUNTIF(用語集[キーワード],用語集[[#This Row],[キーワード]])&gt;1,"!","")</f>
        <v/>
      </c>
      <c r="C322" s="4" t="str">
        <f>IF(用語集[[#This Row],[キーワード]]="","",IF(OR(用語集[[#This Row],[説明]]="",NOT(ISERROR(FIND("★",用語集[[#This Row],[説明]])))),"★","☆"))</f>
        <v/>
      </c>
      <c r="D322" s="5"/>
      <c r="E322" s="3"/>
      <c r="F322" s="3"/>
      <c r="G322" s="4"/>
      <c r="H322" s="4"/>
      <c r="I322" s="7" t="s">
        <v>18</v>
      </c>
      <c r="J322" s="7" t="s">
        <v>18</v>
      </c>
      <c r="K322" s="7" t="s">
        <v>18</v>
      </c>
      <c r="L322" s="7" t="s">
        <v>18</v>
      </c>
      <c r="M322" s="7" t="s">
        <v>18</v>
      </c>
      <c r="N322" s="7" t="s">
        <v>18</v>
      </c>
    </row>
    <row r="323" spans="1:14" s="2" customFormat="1" x14ac:dyDescent="0.15">
      <c r="A323" s="3">
        <v>322</v>
      </c>
      <c r="B323" s="4" t="str">
        <f>IF(COUNTIF(用語集[キーワード],用語集[[#This Row],[キーワード]])&gt;1,"!","")</f>
        <v/>
      </c>
      <c r="C323" s="4" t="str">
        <f>IF(用語集[[#This Row],[キーワード]]="","",IF(OR(用語集[[#This Row],[説明]]="",NOT(ISERROR(FIND("★",用語集[[#This Row],[説明]])))),"★","☆"))</f>
        <v/>
      </c>
      <c r="D323" s="5"/>
      <c r="E323" s="3"/>
      <c r="F323" s="3"/>
      <c r="G323" s="4"/>
      <c r="H323" s="4"/>
      <c r="I323" s="7" t="s">
        <v>18</v>
      </c>
      <c r="J323" s="7" t="s">
        <v>18</v>
      </c>
      <c r="K323" s="7" t="s">
        <v>18</v>
      </c>
      <c r="L323" s="7" t="s">
        <v>18</v>
      </c>
      <c r="M323" s="7" t="s">
        <v>18</v>
      </c>
      <c r="N323" s="7" t="s">
        <v>18</v>
      </c>
    </row>
    <row r="324" spans="1:14" s="2" customFormat="1" x14ac:dyDescent="0.15">
      <c r="A324" s="3">
        <v>323</v>
      </c>
      <c r="B324" s="4" t="str">
        <f>IF(COUNTIF(用語集[キーワード],用語集[[#This Row],[キーワード]])&gt;1,"!","")</f>
        <v/>
      </c>
      <c r="C324" s="4" t="str">
        <f>IF(用語集[[#This Row],[キーワード]]="","",IF(OR(用語集[[#This Row],[説明]]="",NOT(ISERROR(FIND("★",用語集[[#This Row],[説明]])))),"★","☆"))</f>
        <v/>
      </c>
      <c r="D324" s="5"/>
      <c r="E324" s="3"/>
      <c r="F324" s="3"/>
      <c r="G324" s="4"/>
      <c r="H324" s="4"/>
      <c r="I324" s="7" t="s">
        <v>18</v>
      </c>
      <c r="J324" s="7" t="s">
        <v>18</v>
      </c>
      <c r="K324" s="7" t="s">
        <v>18</v>
      </c>
      <c r="L324" s="7" t="s">
        <v>18</v>
      </c>
      <c r="M324" s="7" t="s">
        <v>18</v>
      </c>
      <c r="N324" s="7" t="s">
        <v>18</v>
      </c>
    </row>
    <row r="325" spans="1:14" s="2" customFormat="1" x14ac:dyDescent="0.15">
      <c r="A325" s="3">
        <v>324</v>
      </c>
      <c r="B325" s="4" t="str">
        <f>IF(COUNTIF(用語集[キーワード],用語集[[#This Row],[キーワード]])&gt;1,"!","")</f>
        <v/>
      </c>
      <c r="C325" s="4" t="str">
        <f>IF(用語集[[#This Row],[キーワード]]="","",IF(OR(用語集[[#This Row],[説明]]="",NOT(ISERROR(FIND("★",用語集[[#This Row],[説明]])))),"★","☆"))</f>
        <v/>
      </c>
      <c r="D325" s="5"/>
      <c r="E325" s="3"/>
      <c r="F325" s="3"/>
      <c r="G325" s="4"/>
      <c r="H325" s="4"/>
      <c r="I325" s="7" t="s">
        <v>18</v>
      </c>
      <c r="J325" s="7" t="s">
        <v>18</v>
      </c>
      <c r="K325" s="7" t="s">
        <v>18</v>
      </c>
      <c r="L325" s="7" t="s">
        <v>18</v>
      </c>
      <c r="M325" s="7" t="s">
        <v>18</v>
      </c>
      <c r="N325" s="7" t="s">
        <v>18</v>
      </c>
    </row>
    <row r="326" spans="1:14" s="2" customFormat="1" x14ac:dyDescent="0.15">
      <c r="A326" s="3">
        <v>325</v>
      </c>
      <c r="B326" s="4" t="str">
        <f>IF(COUNTIF(用語集[キーワード],用語集[[#This Row],[キーワード]])&gt;1,"!","")</f>
        <v/>
      </c>
      <c r="C326" s="4" t="str">
        <f>IF(用語集[[#This Row],[キーワード]]="","",IF(OR(用語集[[#This Row],[説明]]="",NOT(ISERROR(FIND("★",用語集[[#This Row],[説明]])))),"★","☆"))</f>
        <v/>
      </c>
      <c r="D326" s="5"/>
      <c r="E326" s="3"/>
      <c r="F326" s="3"/>
      <c r="G326" s="4"/>
      <c r="H326" s="4"/>
      <c r="I326" s="7" t="s">
        <v>18</v>
      </c>
      <c r="J326" s="7" t="s">
        <v>18</v>
      </c>
      <c r="K326" s="7" t="s">
        <v>18</v>
      </c>
      <c r="L326" s="7" t="s">
        <v>18</v>
      </c>
      <c r="M326" s="7" t="s">
        <v>18</v>
      </c>
      <c r="N326" s="7" t="s">
        <v>18</v>
      </c>
    </row>
    <row r="327" spans="1:14" s="2" customFormat="1" x14ac:dyDescent="0.15">
      <c r="A327" s="3">
        <v>326</v>
      </c>
      <c r="B327" s="4" t="str">
        <f>IF(COUNTIF(用語集[キーワード],用語集[[#This Row],[キーワード]])&gt;1,"!","")</f>
        <v/>
      </c>
      <c r="C327" s="4" t="str">
        <f>IF(用語集[[#This Row],[キーワード]]="","",IF(OR(用語集[[#This Row],[説明]]="",NOT(ISERROR(FIND("★",用語集[[#This Row],[説明]])))),"★","☆"))</f>
        <v/>
      </c>
      <c r="D327" s="5"/>
      <c r="E327" s="3"/>
      <c r="F327" s="3"/>
      <c r="G327" s="4"/>
      <c r="H327" s="4"/>
      <c r="I327" s="7" t="s">
        <v>18</v>
      </c>
      <c r="J327" s="7" t="s">
        <v>18</v>
      </c>
      <c r="K327" s="7" t="s">
        <v>18</v>
      </c>
      <c r="L327" s="7" t="s">
        <v>18</v>
      </c>
      <c r="M327" s="7" t="s">
        <v>18</v>
      </c>
      <c r="N327" s="7" t="s">
        <v>18</v>
      </c>
    </row>
    <row r="328" spans="1:14" s="2" customFormat="1" x14ac:dyDescent="0.15">
      <c r="A328" s="3">
        <v>327</v>
      </c>
      <c r="B328" s="4" t="str">
        <f>IF(COUNTIF(用語集[キーワード],用語集[[#This Row],[キーワード]])&gt;1,"!","")</f>
        <v/>
      </c>
      <c r="C328" s="4" t="str">
        <f>IF(用語集[[#This Row],[キーワード]]="","",IF(OR(用語集[[#This Row],[説明]]="",NOT(ISERROR(FIND("★",用語集[[#This Row],[説明]])))),"★","☆"))</f>
        <v/>
      </c>
      <c r="D328" s="5"/>
      <c r="E328" s="3"/>
      <c r="F328" s="3"/>
      <c r="G328" s="4"/>
      <c r="H328" s="4"/>
      <c r="I328" s="7" t="s">
        <v>18</v>
      </c>
      <c r="J328" s="7" t="s">
        <v>18</v>
      </c>
      <c r="K328" s="7" t="s">
        <v>18</v>
      </c>
      <c r="L328" s="7" t="s">
        <v>18</v>
      </c>
      <c r="M328" s="7" t="s">
        <v>18</v>
      </c>
      <c r="N328" s="7" t="s">
        <v>18</v>
      </c>
    </row>
    <row r="329" spans="1:14" s="2" customFormat="1" x14ac:dyDescent="0.15">
      <c r="A329" s="3">
        <v>328</v>
      </c>
      <c r="B329" s="4" t="str">
        <f>IF(COUNTIF(用語集[キーワード],用語集[[#This Row],[キーワード]])&gt;1,"!","")</f>
        <v/>
      </c>
      <c r="C329" s="4" t="str">
        <f>IF(用語集[[#This Row],[キーワード]]="","",IF(OR(用語集[[#This Row],[説明]]="",NOT(ISERROR(FIND("★",用語集[[#This Row],[説明]])))),"★","☆"))</f>
        <v/>
      </c>
      <c r="D329" s="5"/>
      <c r="E329" s="3"/>
      <c r="F329" s="3"/>
      <c r="G329" s="4"/>
      <c r="H329" s="4"/>
      <c r="I329" s="7" t="s">
        <v>18</v>
      </c>
      <c r="J329" s="7" t="s">
        <v>18</v>
      </c>
      <c r="K329" s="7" t="s">
        <v>18</v>
      </c>
      <c r="L329" s="7" t="s">
        <v>18</v>
      </c>
      <c r="M329" s="7" t="s">
        <v>18</v>
      </c>
      <c r="N329" s="7" t="s">
        <v>18</v>
      </c>
    </row>
    <row r="330" spans="1:14" s="2" customFormat="1" x14ac:dyDescent="0.15">
      <c r="A330" s="3">
        <v>329</v>
      </c>
      <c r="B330" s="4" t="str">
        <f>IF(COUNTIF(用語集[キーワード],用語集[[#This Row],[キーワード]])&gt;1,"!","")</f>
        <v/>
      </c>
      <c r="C330" s="4" t="str">
        <f>IF(用語集[[#This Row],[キーワード]]="","",IF(OR(用語集[[#This Row],[説明]]="",NOT(ISERROR(FIND("★",用語集[[#This Row],[説明]])))),"★","☆"))</f>
        <v/>
      </c>
      <c r="D330" s="5"/>
      <c r="E330" s="3"/>
      <c r="F330" s="3"/>
      <c r="G330" s="4"/>
      <c r="H330" s="4"/>
      <c r="I330" s="7" t="s">
        <v>18</v>
      </c>
      <c r="J330" s="7" t="s">
        <v>18</v>
      </c>
      <c r="K330" s="7" t="s">
        <v>18</v>
      </c>
      <c r="L330" s="7" t="s">
        <v>18</v>
      </c>
      <c r="M330" s="7" t="s">
        <v>18</v>
      </c>
      <c r="N330" s="7" t="s">
        <v>18</v>
      </c>
    </row>
    <row r="331" spans="1:14" s="2" customFormat="1" x14ac:dyDescent="0.15">
      <c r="A331" s="3">
        <v>330</v>
      </c>
      <c r="B331" s="4" t="str">
        <f>IF(COUNTIF(用語集[キーワード],用語集[[#This Row],[キーワード]])&gt;1,"!","")</f>
        <v/>
      </c>
      <c r="C331" s="4" t="str">
        <f>IF(用語集[[#This Row],[キーワード]]="","",IF(OR(用語集[[#This Row],[説明]]="",NOT(ISERROR(FIND("★",用語集[[#This Row],[説明]])))),"★","☆"))</f>
        <v/>
      </c>
      <c r="D331" s="5"/>
      <c r="E331" s="3"/>
      <c r="F331" s="3"/>
      <c r="G331" s="4"/>
      <c r="H331" s="4"/>
      <c r="I331" s="7" t="s">
        <v>18</v>
      </c>
      <c r="J331" s="7" t="s">
        <v>18</v>
      </c>
      <c r="K331" s="7" t="s">
        <v>18</v>
      </c>
      <c r="L331" s="7" t="s">
        <v>18</v>
      </c>
      <c r="M331" s="7" t="s">
        <v>18</v>
      </c>
      <c r="N331" s="7" t="s">
        <v>18</v>
      </c>
    </row>
    <row r="332" spans="1:14" s="2" customFormat="1" x14ac:dyDescent="0.15">
      <c r="A332" s="3">
        <v>331</v>
      </c>
      <c r="B332" s="4" t="str">
        <f>IF(COUNTIF(用語集[キーワード],用語集[[#This Row],[キーワード]])&gt;1,"!","")</f>
        <v/>
      </c>
      <c r="C332" s="4" t="str">
        <f>IF(用語集[[#This Row],[キーワード]]="","",IF(OR(用語集[[#This Row],[説明]]="",NOT(ISERROR(FIND("★",用語集[[#This Row],[説明]])))),"★","☆"))</f>
        <v/>
      </c>
      <c r="D332" s="5"/>
      <c r="E332" s="3"/>
      <c r="F332" s="3"/>
      <c r="G332" s="4"/>
      <c r="H332" s="4"/>
      <c r="I332" s="7" t="s">
        <v>18</v>
      </c>
      <c r="J332" s="7" t="s">
        <v>18</v>
      </c>
      <c r="K332" s="7" t="s">
        <v>18</v>
      </c>
      <c r="L332" s="7" t="s">
        <v>18</v>
      </c>
      <c r="M332" s="7" t="s">
        <v>18</v>
      </c>
      <c r="N332" s="7" t="s">
        <v>18</v>
      </c>
    </row>
    <row r="333" spans="1:14" s="2" customFormat="1" x14ac:dyDescent="0.15">
      <c r="A333" s="3">
        <v>332</v>
      </c>
      <c r="B333" s="4" t="str">
        <f>IF(COUNTIF(用語集[キーワード],用語集[[#This Row],[キーワード]])&gt;1,"!","")</f>
        <v/>
      </c>
      <c r="C333" s="4" t="str">
        <f>IF(用語集[[#This Row],[キーワード]]="","",IF(OR(用語集[[#This Row],[説明]]="",NOT(ISERROR(FIND("★",用語集[[#This Row],[説明]])))),"★","☆"))</f>
        <v/>
      </c>
      <c r="D333" s="5"/>
      <c r="E333" s="3"/>
      <c r="F333" s="3"/>
      <c r="G333" s="4"/>
      <c r="H333" s="4"/>
      <c r="I333" s="7" t="s">
        <v>18</v>
      </c>
      <c r="J333" s="7" t="s">
        <v>18</v>
      </c>
      <c r="K333" s="7" t="s">
        <v>18</v>
      </c>
      <c r="L333" s="7" t="s">
        <v>18</v>
      </c>
      <c r="M333" s="7" t="s">
        <v>18</v>
      </c>
      <c r="N333" s="7" t="s">
        <v>18</v>
      </c>
    </row>
    <row r="334" spans="1:14" s="2" customFormat="1" x14ac:dyDescent="0.15">
      <c r="A334" s="3">
        <v>333</v>
      </c>
      <c r="B334" s="4" t="str">
        <f>IF(COUNTIF(用語集[キーワード],用語集[[#This Row],[キーワード]])&gt;1,"!","")</f>
        <v/>
      </c>
      <c r="C334" s="4" t="str">
        <f>IF(用語集[[#This Row],[キーワード]]="","",IF(OR(用語集[[#This Row],[説明]]="",NOT(ISERROR(FIND("★",用語集[[#This Row],[説明]])))),"★","☆"))</f>
        <v/>
      </c>
      <c r="D334" s="5"/>
      <c r="E334" s="3"/>
      <c r="F334" s="3"/>
      <c r="G334" s="4"/>
      <c r="H334" s="4"/>
      <c r="I334" s="7" t="s">
        <v>18</v>
      </c>
      <c r="J334" s="7" t="s">
        <v>18</v>
      </c>
      <c r="K334" s="7" t="s">
        <v>18</v>
      </c>
      <c r="L334" s="7" t="s">
        <v>18</v>
      </c>
      <c r="M334" s="7" t="s">
        <v>18</v>
      </c>
      <c r="N334" s="7" t="s">
        <v>18</v>
      </c>
    </row>
    <row r="335" spans="1:14" s="2" customFormat="1" x14ac:dyDescent="0.15">
      <c r="A335" s="3">
        <v>334</v>
      </c>
      <c r="B335" s="4" t="str">
        <f>IF(COUNTIF(用語集[キーワード],用語集[[#This Row],[キーワード]])&gt;1,"!","")</f>
        <v/>
      </c>
      <c r="C335" s="4" t="str">
        <f>IF(用語集[[#This Row],[キーワード]]="","",IF(OR(用語集[[#This Row],[説明]]="",NOT(ISERROR(FIND("★",用語集[[#This Row],[説明]])))),"★","☆"))</f>
        <v/>
      </c>
      <c r="D335" s="5"/>
      <c r="E335" s="3"/>
      <c r="F335" s="3"/>
      <c r="G335" s="4"/>
      <c r="H335" s="4"/>
      <c r="I335" s="7" t="s">
        <v>18</v>
      </c>
      <c r="J335" s="7" t="s">
        <v>18</v>
      </c>
      <c r="K335" s="7" t="s">
        <v>18</v>
      </c>
      <c r="L335" s="7" t="s">
        <v>18</v>
      </c>
      <c r="M335" s="7" t="s">
        <v>18</v>
      </c>
      <c r="N335" s="7" t="s">
        <v>18</v>
      </c>
    </row>
    <row r="336" spans="1:14" s="2" customFormat="1" x14ac:dyDescent="0.15">
      <c r="A336" s="3">
        <v>335</v>
      </c>
      <c r="B336" s="4" t="str">
        <f>IF(COUNTIF(用語集[キーワード],用語集[[#This Row],[キーワード]])&gt;1,"!","")</f>
        <v/>
      </c>
      <c r="C336" s="4" t="str">
        <f>IF(用語集[[#This Row],[キーワード]]="","",IF(OR(用語集[[#This Row],[説明]]="",NOT(ISERROR(FIND("★",用語集[[#This Row],[説明]])))),"★","☆"))</f>
        <v/>
      </c>
      <c r="D336" s="5"/>
      <c r="E336" s="3"/>
      <c r="F336" s="3"/>
      <c r="G336" s="4"/>
      <c r="H336" s="4"/>
      <c r="I336" s="7" t="s">
        <v>18</v>
      </c>
      <c r="J336" s="7" t="s">
        <v>18</v>
      </c>
      <c r="K336" s="7" t="s">
        <v>18</v>
      </c>
      <c r="L336" s="7" t="s">
        <v>18</v>
      </c>
      <c r="M336" s="7" t="s">
        <v>18</v>
      </c>
      <c r="N336" s="7" t="s">
        <v>18</v>
      </c>
    </row>
    <row r="337" spans="1:14" s="2" customFormat="1" x14ac:dyDescent="0.15">
      <c r="A337" s="3">
        <v>336</v>
      </c>
      <c r="B337" s="4" t="str">
        <f>IF(COUNTIF(用語集[キーワード],用語集[[#This Row],[キーワード]])&gt;1,"!","")</f>
        <v/>
      </c>
      <c r="C337" s="4" t="str">
        <f>IF(用語集[[#This Row],[キーワード]]="","",IF(OR(用語集[[#This Row],[説明]]="",NOT(ISERROR(FIND("★",用語集[[#This Row],[説明]])))),"★","☆"))</f>
        <v/>
      </c>
      <c r="D337" s="5"/>
      <c r="E337" s="3"/>
      <c r="F337" s="3"/>
      <c r="G337" s="4"/>
      <c r="H337" s="4"/>
      <c r="I337" s="7" t="s">
        <v>18</v>
      </c>
      <c r="J337" s="7" t="s">
        <v>18</v>
      </c>
      <c r="K337" s="7" t="s">
        <v>18</v>
      </c>
      <c r="L337" s="7" t="s">
        <v>18</v>
      </c>
      <c r="M337" s="7" t="s">
        <v>18</v>
      </c>
      <c r="N337" s="7" t="s">
        <v>18</v>
      </c>
    </row>
    <row r="338" spans="1:14" s="2" customFormat="1" x14ac:dyDescent="0.15">
      <c r="A338" s="3">
        <v>337</v>
      </c>
      <c r="B338" s="4" t="str">
        <f>IF(COUNTIF(用語集[キーワード],用語集[[#This Row],[キーワード]])&gt;1,"!","")</f>
        <v/>
      </c>
      <c r="C338" s="4" t="str">
        <f>IF(用語集[[#This Row],[キーワード]]="","",IF(OR(用語集[[#This Row],[説明]]="",NOT(ISERROR(FIND("★",用語集[[#This Row],[説明]])))),"★","☆"))</f>
        <v/>
      </c>
      <c r="D338" s="5"/>
      <c r="E338" s="3"/>
      <c r="F338" s="3"/>
      <c r="G338" s="4"/>
      <c r="H338" s="4"/>
      <c r="I338" s="7" t="s">
        <v>18</v>
      </c>
      <c r="J338" s="7" t="s">
        <v>18</v>
      </c>
      <c r="K338" s="7" t="s">
        <v>18</v>
      </c>
      <c r="L338" s="7" t="s">
        <v>18</v>
      </c>
      <c r="M338" s="7" t="s">
        <v>18</v>
      </c>
      <c r="N338" s="7" t="s">
        <v>18</v>
      </c>
    </row>
    <row r="339" spans="1:14" s="2" customFormat="1" x14ac:dyDescent="0.15">
      <c r="A339" s="3">
        <v>338</v>
      </c>
      <c r="B339" s="4" t="str">
        <f>IF(COUNTIF(用語集[キーワード],用語集[[#This Row],[キーワード]])&gt;1,"!","")</f>
        <v/>
      </c>
      <c r="C339" s="4" t="str">
        <f>IF(用語集[[#This Row],[キーワード]]="","",IF(OR(用語集[[#This Row],[説明]]="",NOT(ISERROR(FIND("★",用語集[[#This Row],[説明]])))),"★","☆"))</f>
        <v/>
      </c>
      <c r="D339" s="5"/>
      <c r="E339" s="3"/>
      <c r="F339" s="3"/>
      <c r="G339" s="4"/>
      <c r="H339" s="4"/>
      <c r="I339" s="7" t="s">
        <v>18</v>
      </c>
      <c r="J339" s="7" t="s">
        <v>18</v>
      </c>
      <c r="K339" s="7" t="s">
        <v>18</v>
      </c>
      <c r="L339" s="7" t="s">
        <v>18</v>
      </c>
      <c r="M339" s="7" t="s">
        <v>18</v>
      </c>
      <c r="N339" s="7" t="s">
        <v>18</v>
      </c>
    </row>
    <row r="340" spans="1:14" s="2" customFormat="1" x14ac:dyDescent="0.15">
      <c r="A340" s="3">
        <v>339</v>
      </c>
      <c r="B340" s="4" t="str">
        <f>IF(COUNTIF(用語集[キーワード],用語集[[#This Row],[キーワード]])&gt;1,"!","")</f>
        <v/>
      </c>
      <c r="C340" s="4" t="str">
        <f>IF(用語集[[#This Row],[キーワード]]="","",IF(OR(用語集[[#This Row],[説明]]="",NOT(ISERROR(FIND("★",用語集[[#This Row],[説明]])))),"★","☆"))</f>
        <v/>
      </c>
      <c r="D340" s="5"/>
      <c r="E340" s="3"/>
      <c r="F340" s="3"/>
      <c r="G340" s="4"/>
      <c r="H340" s="4"/>
      <c r="I340" s="7" t="s">
        <v>18</v>
      </c>
      <c r="J340" s="7" t="s">
        <v>18</v>
      </c>
      <c r="K340" s="7" t="s">
        <v>18</v>
      </c>
      <c r="L340" s="7" t="s">
        <v>18</v>
      </c>
      <c r="M340" s="7" t="s">
        <v>18</v>
      </c>
      <c r="N340" s="7" t="s">
        <v>18</v>
      </c>
    </row>
    <row r="341" spans="1:14" s="2" customFormat="1" x14ac:dyDescent="0.15">
      <c r="A341" s="3">
        <v>340</v>
      </c>
      <c r="B341" s="4" t="str">
        <f>IF(COUNTIF(用語集[キーワード],用語集[[#This Row],[キーワード]])&gt;1,"!","")</f>
        <v/>
      </c>
      <c r="C341" s="4" t="str">
        <f>IF(用語集[[#This Row],[キーワード]]="","",IF(OR(用語集[[#This Row],[説明]]="",NOT(ISERROR(FIND("★",用語集[[#This Row],[説明]])))),"★","☆"))</f>
        <v/>
      </c>
      <c r="D341" s="5"/>
      <c r="E341" s="3"/>
      <c r="F341" s="3"/>
      <c r="G341" s="4"/>
      <c r="H341" s="4"/>
      <c r="I341" s="7" t="s">
        <v>18</v>
      </c>
      <c r="J341" s="7" t="s">
        <v>18</v>
      </c>
      <c r="K341" s="7" t="s">
        <v>18</v>
      </c>
      <c r="L341" s="7" t="s">
        <v>18</v>
      </c>
      <c r="M341" s="7" t="s">
        <v>18</v>
      </c>
      <c r="N341" s="7" t="s">
        <v>18</v>
      </c>
    </row>
    <row r="342" spans="1:14" s="2" customFormat="1" x14ac:dyDescent="0.15">
      <c r="A342" s="3">
        <v>341</v>
      </c>
      <c r="B342" s="4" t="str">
        <f>IF(COUNTIF(用語集[キーワード],用語集[[#This Row],[キーワード]])&gt;1,"!","")</f>
        <v/>
      </c>
      <c r="C342" s="4" t="str">
        <f>IF(用語集[[#This Row],[キーワード]]="","",IF(OR(用語集[[#This Row],[説明]]="",NOT(ISERROR(FIND("★",用語集[[#This Row],[説明]])))),"★","☆"))</f>
        <v/>
      </c>
      <c r="D342" s="5"/>
      <c r="E342" s="3"/>
      <c r="F342" s="3"/>
      <c r="G342" s="4"/>
      <c r="H342" s="4"/>
      <c r="I342" s="7" t="s">
        <v>18</v>
      </c>
      <c r="J342" s="7" t="s">
        <v>18</v>
      </c>
      <c r="K342" s="7" t="s">
        <v>18</v>
      </c>
      <c r="L342" s="7" t="s">
        <v>18</v>
      </c>
      <c r="M342" s="7" t="s">
        <v>18</v>
      </c>
      <c r="N342" s="7" t="s">
        <v>18</v>
      </c>
    </row>
    <row r="343" spans="1:14" s="2" customFormat="1" x14ac:dyDescent="0.15">
      <c r="A343" s="3">
        <v>342</v>
      </c>
      <c r="B343" s="4" t="str">
        <f>IF(COUNTIF(用語集[キーワード],用語集[[#This Row],[キーワード]])&gt;1,"!","")</f>
        <v/>
      </c>
      <c r="C343" s="4" t="str">
        <f>IF(用語集[[#This Row],[キーワード]]="","",IF(OR(用語集[[#This Row],[説明]]="",NOT(ISERROR(FIND("★",用語集[[#This Row],[説明]])))),"★","☆"))</f>
        <v/>
      </c>
      <c r="D343" s="5"/>
      <c r="E343" s="3"/>
      <c r="F343" s="3"/>
      <c r="G343" s="4"/>
      <c r="H343" s="4"/>
      <c r="I343" s="7" t="s">
        <v>18</v>
      </c>
      <c r="J343" s="7" t="s">
        <v>18</v>
      </c>
      <c r="K343" s="7" t="s">
        <v>18</v>
      </c>
      <c r="L343" s="7" t="s">
        <v>18</v>
      </c>
      <c r="M343" s="7" t="s">
        <v>18</v>
      </c>
      <c r="N343" s="7" t="s">
        <v>18</v>
      </c>
    </row>
    <row r="344" spans="1:14" s="2" customFormat="1" x14ac:dyDescent="0.15">
      <c r="A344" s="3">
        <v>343</v>
      </c>
      <c r="B344" s="4" t="str">
        <f>IF(COUNTIF(用語集[キーワード],用語集[[#This Row],[キーワード]])&gt;1,"!","")</f>
        <v/>
      </c>
      <c r="C344" s="4" t="str">
        <f>IF(用語集[[#This Row],[キーワード]]="","",IF(OR(用語集[[#This Row],[説明]]="",NOT(ISERROR(FIND("★",用語集[[#This Row],[説明]])))),"★","☆"))</f>
        <v/>
      </c>
      <c r="D344" s="5"/>
      <c r="E344" s="3"/>
      <c r="F344" s="3"/>
      <c r="G344" s="4"/>
      <c r="H344" s="4"/>
      <c r="I344" s="7" t="s">
        <v>18</v>
      </c>
      <c r="J344" s="7" t="s">
        <v>18</v>
      </c>
      <c r="K344" s="7" t="s">
        <v>18</v>
      </c>
      <c r="L344" s="7" t="s">
        <v>18</v>
      </c>
      <c r="M344" s="7" t="s">
        <v>18</v>
      </c>
      <c r="N344" s="7" t="s">
        <v>18</v>
      </c>
    </row>
    <row r="345" spans="1:14" s="2" customFormat="1" x14ac:dyDescent="0.15">
      <c r="A345" s="3">
        <v>344</v>
      </c>
      <c r="B345" s="4" t="str">
        <f>IF(COUNTIF(用語集[キーワード],用語集[[#This Row],[キーワード]])&gt;1,"!","")</f>
        <v/>
      </c>
      <c r="C345" s="4" t="str">
        <f>IF(用語集[[#This Row],[キーワード]]="","",IF(OR(用語集[[#This Row],[説明]]="",NOT(ISERROR(FIND("★",用語集[[#This Row],[説明]])))),"★","☆"))</f>
        <v/>
      </c>
      <c r="D345" s="5"/>
      <c r="E345" s="3"/>
      <c r="F345" s="3"/>
      <c r="G345" s="4"/>
      <c r="H345" s="4"/>
      <c r="I345" s="7" t="s">
        <v>18</v>
      </c>
      <c r="J345" s="7" t="s">
        <v>18</v>
      </c>
      <c r="K345" s="7" t="s">
        <v>18</v>
      </c>
      <c r="L345" s="7" t="s">
        <v>18</v>
      </c>
      <c r="M345" s="7" t="s">
        <v>18</v>
      </c>
      <c r="N345" s="7" t="s">
        <v>18</v>
      </c>
    </row>
    <row r="346" spans="1:14" s="2" customFormat="1" x14ac:dyDescent="0.15">
      <c r="A346" s="3">
        <v>345</v>
      </c>
      <c r="B346" s="4" t="str">
        <f>IF(COUNTIF(用語集[キーワード],用語集[[#This Row],[キーワード]])&gt;1,"!","")</f>
        <v/>
      </c>
      <c r="C346" s="4" t="str">
        <f>IF(用語集[[#This Row],[キーワード]]="","",IF(OR(用語集[[#This Row],[説明]]="",NOT(ISERROR(FIND("★",用語集[[#This Row],[説明]])))),"★","☆"))</f>
        <v/>
      </c>
      <c r="D346" s="5"/>
      <c r="E346" s="3"/>
      <c r="F346" s="3"/>
      <c r="G346" s="4"/>
      <c r="H346" s="4"/>
      <c r="I346" s="7" t="s">
        <v>18</v>
      </c>
      <c r="J346" s="7" t="s">
        <v>18</v>
      </c>
      <c r="K346" s="7" t="s">
        <v>18</v>
      </c>
      <c r="L346" s="7" t="s">
        <v>18</v>
      </c>
      <c r="M346" s="7" t="s">
        <v>18</v>
      </c>
      <c r="N346" s="7" t="s">
        <v>18</v>
      </c>
    </row>
    <row r="347" spans="1:14" s="2" customFormat="1" x14ac:dyDescent="0.15">
      <c r="A347" s="3">
        <v>346</v>
      </c>
      <c r="B347" s="4" t="str">
        <f>IF(COUNTIF(用語集[キーワード],用語集[[#This Row],[キーワード]])&gt;1,"!","")</f>
        <v/>
      </c>
      <c r="C347" s="4" t="str">
        <f>IF(用語集[[#This Row],[キーワード]]="","",IF(OR(用語集[[#This Row],[説明]]="",NOT(ISERROR(FIND("★",用語集[[#This Row],[説明]])))),"★","☆"))</f>
        <v/>
      </c>
      <c r="D347" s="5"/>
      <c r="E347" s="3"/>
      <c r="F347" s="3"/>
      <c r="G347" s="4"/>
      <c r="H347" s="4"/>
      <c r="I347" s="7" t="s">
        <v>18</v>
      </c>
      <c r="J347" s="7" t="s">
        <v>18</v>
      </c>
      <c r="K347" s="7" t="s">
        <v>18</v>
      </c>
      <c r="L347" s="7" t="s">
        <v>18</v>
      </c>
      <c r="M347" s="7" t="s">
        <v>18</v>
      </c>
      <c r="N347" s="7" t="s">
        <v>18</v>
      </c>
    </row>
    <row r="348" spans="1:14" s="2" customFormat="1" x14ac:dyDescent="0.15">
      <c r="A348" s="3">
        <v>347</v>
      </c>
      <c r="B348" s="4" t="str">
        <f>IF(COUNTIF(用語集[キーワード],用語集[[#This Row],[キーワード]])&gt;1,"!","")</f>
        <v/>
      </c>
      <c r="C348" s="4" t="str">
        <f>IF(用語集[[#This Row],[キーワード]]="","",IF(OR(用語集[[#This Row],[説明]]="",NOT(ISERROR(FIND("★",用語集[[#This Row],[説明]])))),"★","☆"))</f>
        <v/>
      </c>
      <c r="D348" s="5"/>
      <c r="E348" s="3"/>
      <c r="F348" s="3"/>
      <c r="G348" s="4"/>
      <c r="H348" s="4"/>
      <c r="I348" s="7" t="s">
        <v>18</v>
      </c>
      <c r="J348" s="7" t="s">
        <v>18</v>
      </c>
      <c r="K348" s="7" t="s">
        <v>18</v>
      </c>
      <c r="L348" s="7" t="s">
        <v>18</v>
      </c>
      <c r="M348" s="7" t="s">
        <v>18</v>
      </c>
      <c r="N348" s="7" t="s">
        <v>18</v>
      </c>
    </row>
    <row r="349" spans="1:14" s="2" customFormat="1" x14ac:dyDescent="0.15">
      <c r="A349" s="3">
        <v>348</v>
      </c>
      <c r="B349" s="4" t="str">
        <f>IF(COUNTIF(用語集[キーワード],用語集[[#This Row],[キーワード]])&gt;1,"!","")</f>
        <v/>
      </c>
      <c r="C349" s="4" t="str">
        <f>IF(用語集[[#This Row],[キーワード]]="","",IF(OR(用語集[[#This Row],[説明]]="",NOT(ISERROR(FIND("★",用語集[[#This Row],[説明]])))),"★","☆"))</f>
        <v/>
      </c>
      <c r="D349" s="5"/>
      <c r="E349" s="3"/>
      <c r="F349" s="3"/>
      <c r="G349" s="4"/>
      <c r="H349" s="4"/>
      <c r="I349" s="7" t="s">
        <v>18</v>
      </c>
      <c r="J349" s="7" t="s">
        <v>18</v>
      </c>
      <c r="K349" s="7" t="s">
        <v>18</v>
      </c>
      <c r="L349" s="7" t="s">
        <v>18</v>
      </c>
      <c r="M349" s="7" t="s">
        <v>18</v>
      </c>
      <c r="N349" s="7" t="s">
        <v>18</v>
      </c>
    </row>
    <row r="350" spans="1:14" s="2" customFormat="1" x14ac:dyDescent="0.15">
      <c r="A350" s="3">
        <v>349</v>
      </c>
      <c r="B350" s="4" t="str">
        <f>IF(COUNTIF(用語集[キーワード],用語集[[#This Row],[キーワード]])&gt;1,"!","")</f>
        <v/>
      </c>
      <c r="C350" s="4" t="str">
        <f>IF(用語集[[#This Row],[キーワード]]="","",IF(OR(用語集[[#This Row],[説明]]="",NOT(ISERROR(FIND("★",用語集[[#This Row],[説明]])))),"★","☆"))</f>
        <v/>
      </c>
      <c r="D350" s="5"/>
      <c r="E350" s="3"/>
      <c r="F350" s="3"/>
      <c r="G350" s="4"/>
      <c r="H350" s="4"/>
      <c r="I350" s="7" t="s">
        <v>18</v>
      </c>
      <c r="J350" s="7" t="s">
        <v>18</v>
      </c>
      <c r="K350" s="7" t="s">
        <v>18</v>
      </c>
      <c r="L350" s="7" t="s">
        <v>18</v>
      </c>
      <c r="M350" s="7" t="s">
        <v>18</v>
      </c>
      <c r="N350" s="7" t="s">
        <v>18</v>
      </c>
    </row>
    <row r="351" spans="1:14" s="2" customFormat="1" x14ac:dyDescent="0.15">
      <c r="A351" s="3">
        <v>350</v>
      </c>
      <c r="B351" s="4" t="str">
        <f>IF(COUNTIF(用語集[キーワード],用語集[[#This Row],[キーワード]])&gt;1,"!","")</f>
        <v/>
      </c>
      <c r="C351" s="4" t="str">
        <f>IF(用語集[[#This Row],[キーワード]]="","",IF(OR(用語集[[#This Row],[説明]]="",NOT(ISERROR(FIND("★",用語集[[#This Row],[説明]])))),"★","☆"))</f>
        <v/>
      </c>
      <c r="D351" s="5"/>
      <c r="E351" s="3"/>
      <c r="F351" s="3"/>
      <c r="G351" s="4"/>
      <c r="H351" s="4"/>
      <c r="I351" s="7" t="s">
        <v>18</v>
      </c>
      <c r="J351" s="7" t="s">
        <v>18</v>
      </c>
      <c r="K351" s="7" t="s">
        <v>18</v>
      </c>
      <c r="L351" s="7" t="s">
        <v>18</v>
      </c>
      <c r="M351" s="7" t="s">
        <v>18</v>
      </c>
      <c r="N351" s="7" t="s">
        <v>18</v>
      </c>
    </row>
    <row r="352" spans="1:14" s="2" customFormat="1" x14ac:dyDescent="0.15">
      <c r="A352" s="3">
        <v>351</v>
      </c>
      <c r="B352" s="4" t="str">
        <f>IF(COUNTIF(用語集[キーワード],用語集[[#This Row],[キーワード]])&gt;1,"!","")</f>
        <v/>
      </c>
      <c r="C352" s="4" t="str">
        <f>IF(用語集[[#This Row],[キーワード]]="","",IF(OR(用語集[[#This Row],[説明]]="",NOT(ISERROR(FIND("★",用語集[[#This Row],[説明]])))),"★","☆"))</f>
        <v/>
      </c>
      <c r="D352" s="5"/>
      <c r="E352" s="3"/>
      <c r="F352" s="3"/>
      <c r="G352" s="4"/>
      <c r="H352" s="4"/>
      <c r="I352" s="7" t="s">
        <v>18</v>
      </c>
      <c r="J352" s="7" t="s">
        <v>18</v>
      </c>
      <c r="K352" s="7" t="s">
        <v>18</v>
      </c>
      <c r="L352" s="7" t="s">
        <v>18</v>
      </c>
      <c r="M352" s="7" t="s">
        <v>18</v>
      </c>
      <c r="N352" s="7" t="s">
        <v>18</v>
      </c>
    </row>
    <row r="353" spans="1:14" s="2" customFormat="1" x14ac:dyDescent="0.15">
      <c r="A353" s="3">
        <v>352</v>
      </c>
      <c r="B353" s="4" t="str">
        <f>IF(COUNTIF(用語集[キーワード],用語集[[#This Row],[キーワード]])&gt;1,"!","")</f>
        <v/>
      </c>
      <c r="C353" s="4" t="str">
        <f>IF(用語集[[#This Row],[キーワード]]="","",IF(OR(用語集[[#This Row],[説明]]="",NOT(ISERROR(FIND("★",用語集[[#This Row],[説明]])))),"★","☆"))</f>
        <v/>
      </c>
      <c r="D353" s="5"/>
      <c r="E353" s="3"/>
      <c r="F353" s="3"/>
      <c r="G353" s="4"/>
      <c r="H353" s="4"/>
      <c r="I353" s="7" t="s">
        <v>18</v>
      </c>
      <c r="J353" s="7" t="s">
        <v>18</v>
      </c>
      <c r="K353" s="7" t="s">
        <v>18</v>
      </c>
      <c r="L353" s="7" t="s">
        <v>18</v>
      </c>
      <c r="M353" s="7" t="s">
        <v>18</v>
      </c>
      <c r="N353" s="7" t="s">
        <v>18</v>
      </c>
    </row>
    <row r="354" spans="1:14" s="2" customFormat="1" x14ac:dyDescent="0.15">
      <c r="A354" s="3">
        <v>353</v>
      </c>
      <c r="B354" s="4" t="str">
        <f>IF(COUNTIF(用語集[キーワード],用語集[[#This Row],[キーワード]])&gt;1,"!","")</f>
        <v/>
      </c>
      <c r="C354" s="4" t="str">
        <f>IF(用語集[[#This Row],[キーワード]]="","",IF(OR(用語集[[#This Row],[説明]]="",NOT(ISERROR(FIND("★",用語集[[#This Row],[説明]])))),"★","☆"))</f>
        <v/>
      </c>
      <c r="D354" s="5"/>
      <c r="E354" s="3"/>
      <c r="F354" s="3"/>
      <c r="G354" s="4"/>
      <c r="H354" s="4"/>
      <c r="I354" s="7" t="s">
        <v>18</v>
      </c>
      <c r="J354" s="7" t="s">
        <v>18</v>
      </c>
      <c r="K354" s="7" t="s">
        <v>18</v>
      </c>
      <c r="L354" s="7" t="s">
        <v>18</v>
      </c>
      <c r="M354" s="7" t="s">
        <v>18</v>
      </c>
      <c r="N354" s="7" t="s">
        <v>18</v>
      </c>
    </row>
    <row r="355" spans="1:14" s="2" customFormat="1" x14ac:dyDescent="0.15">
      <c r="A355" s="3">
        <v>354</v>
      </c>
      <c r="B355" s="4" t="str">
        <f>IF(COUNTIF(用語集[キーワード],用語集[[#This Row],[キーワード]])&gt;1,"!","")</f>
        <v/>
      </c>
      <c r="C355" s="4" t="str">
        <f>IF(用語集[[#This Row],[キーワード]]="","",IF(OR(用語集[[#This Row],[説明]]="",NOT(ISERROR(FIND("★",用語集[[#This Row],[説明]])))),"★","☆"))</f>
        <v/>
      </c>
      <c r="D355" s="5"/>
      <c r="E355" s="3"/>
      <c r="F355" s="3"/>
      <c r="G355" s="4"/>
      <c r="H355" s="4"/>
      <c r="I355" s="7" t="s">
        <v>18</v>
      </c>
      <c r="J355" s="7" t="s">
        <v>18</v>
      </c>
      <c r="K355" s="7" t="s">
        <v>18</v>
      </c>
      <c r="L355" s="7" t="s">
        <v>18</v>
      </c>
      <c r="M355" s="7" t="s">
        <v>18</v>
      </c>
      <c r="N355" s="7" t="s">
        <v>18</v>
      </c>
    </row>
    <row r="356" spans="1:14" s="2" customFormat="1" x14ac:dyDescent="0.15">
      <c r="A356" s="3">
        <v>355</v>
      </c>
      <c r="B356" s="4" t="str">
        <f>IF(COUNTIF(用語集[キーワード],用語集[[#This Row],[キーワード]])&gt;1,"!","")</f>
        <v/>
      </c>
      <c r="C356" s="4" t="str">
        <f>IF(用語集[[#This Row],[キーワード]]="","",IF(OR(用語集[[#This Row],[説明]]="",NOT(ISERROR(FIND("★",用語集[[#This Row],[説明]])))),"★","☆"))</f>
        <v/>
      </c>
      <c r="D356" s="5"/>
      <c r="E356" s="3"/>
      <c r="F356" s="3"/>
      <c r="G356" s="4"/>
      <c r="H356" s="4"/>
      <c r="I356" s="7" t="s">
        <v>18</v>
      </c>
      <c r="J356" s="7" t="s">
        <v>18</v>
      </c>
      <c r="K356" s="7" t="s">
        <v>18</v>
      </c>
      <c r="L356" s="7" t="s">
        <v>18</v>
      </c>
      <c r="M356" s="7" t="s">
        <v>18</v>
      </c>
      <c r="N356" s="7" t="s">
        <v>18</v>
      </c>
    </row>
    <row r="357" spans="1:14" s="2" customFormat="1" x14ac:dyDescent="0.15">
      <c r="A357" s="3">
        <v>356</v>
      </c>
      <c r="B357" s="4" t="str">
        <f>IF(COUNTIF(用語集[キーワード],用語集[[#This Row],[キーワード]])&gt;1,"!","")</f>
        <v/>
      </c>
      <c r="C357" s="4" t="str">
        <f>IF(用語集[[#This Row],[キーワード]]="","",IF(OR(用語集[[#This Row],[説明]]="",NOT(ISERROR(FIND("★",用語集[[#This Row],[説明]])))),"★","☆"))</f>
        <v/>
      </c>
      <c r="D357" s="5"/>
      <c r="E357" s="3"/>
      <c r="F357" s="3"/>
      <c r="G357" s="4"/>
      <c r="H357" s="4"/>
      <c r="I357" s="7" t="s">
        <v>18</v>
      </c>
      <c r="J357" s="7" t="s">
        <v>18</v>
      </c>
      <c r="K357" s="7" t="s">
        <v>18</v>
      </c>
      <c r="L357" s="7" t="s">
        <v>18</v>
      </c>
      <c r="M357" s="7" t="s">
        <v>18</v>
      </c>
      <c r="N357" s="7" t="s">
        <v>18</v>
      </c>
    </row>
    <row r="358" spans="1:14" s="2" customFormat="1" x14ac:dyDescent="0.15">
      <c r="A358" s="3">
        <v>357</v>
      </c>
      <c r="B358" s="4" t="str">
        <f>IF(COUNTIF(用語集[キーワード],用語集[[#This Row],[キーワード]])&gt;1,"!","")</f>
        <v/>
      </c>
      <c r="C358" s="4" t="str">
        <f>IF(用語集[[#This Row],[キーワード]]="","",IF(OR(用語集[[#This Row],[説明]]="",NOT(ISERROR(FIND("★",用語集[[#This Row],[説明]])))),"★","☆"))</f>
        <v/>
      </c>
      <c r="D358" s="5"/>
      <c r="E358" s="3"/>
      <c r="F358" s="3"/>
      <c r="G358" s="4"/>
      <c r="H358" s="4"/>
      <c r="I358" s="7" t="s">
        <v>18</v>
      </c>
      <c r="J358" s="7" t="s">
        <v>18</v>
      </c>
      <c r="K358" s="7" t="s">
        <v>18</v>
      </c>
      <c r="L358" s="7" t="s">
        <v>18</v>
      </c>
      <c r="M358" s="7" t="s">
        <v>18</v>
      </c>
      <c r="N358" s="7" t="s">
        <v>18</v>
      </c>
    </row>
    <row r="359" spans="1:14" s="2" customFormat="1" x14ac:dyDescent="0.15">
      <c r="A359" s="3">
        <v>358</v>
      </c>
      <c r="B359" s="4" t="str">
        <f>IF(COUNTIF(用語集[キーワード],用語集[[#This Row],[キーワード]])&gt;1,"!","")</f>
        <v/>
      </c>
      <c r="C359" s="4" t="str">
        <f>IF(用語集[[#This Row],[キーワード]]="","",IF(OR(用語集[[#This Row],[説明]]="",NOT(ISERROR(FIND("★",用語集[[#This Row],[説明]])))),"★","☆"))</f>
        <v/>
      </c>
      <c r="D359" s="5"/>
      <c r="E359" s="3"/>
      <c r="F359" s="3"/>
      <c r="G359" s="4"/>
      <c r="H359" s="4"/>
      <c r="I359" s="7" t="s">
        <v>18</v>
      </c>
      <c r="J359" s="7" t="s">
        <v>18</v>
      </c>
      <c r="K359" s="7" t="s">
        <v>18</v>
      </c>
      <c r="L359" s="7" t="s">
        <v>18</v>
      </c>
      <c r="M359" s="7" t="s">
        <v>18</v>
      </c>
      <c r="N359" s="7" t="s">
        <v>18</v>
      </c>
    </row>
    <row r="360" spans="1:14" s="2" customFormat="1" x14ac:dyDescent="0.15">
      <c r="A360" s="3">
        <v>359</v>
      </c>
      <c r="B360" s="4" t="str">
        <f>IF(COUNTIF(用語集[キーワード],用語集[[#This Row],[キーワード]])&gt;1,"!","")</f>
        <v/>
      </c>
      <c r="C360" s="4" t="str">
        <f>IF(用語集[[#This Row],[キーワード]]="","",IF(OR(用語集[[#This Row],[説明]]="",NOT(ISERROR(FIND("★",用語集[[#This Row],[説明]])))),"★","☆"))</f>
        <v/>
      </c>
      <c r="D360" s="5"/>
      <c r="E360" s="3"/>
      <c r="F360" s="3"/>
      <c r="G360" s="4"/>
      <c r="H360" s="4"/>
      <c r="I360" s="7" t="s">
        <v>18</v>
      </c>
      <c r="J360" s="7" t="s">
        <v>18</v>
      </c>
      <c r="K360" s="7" t="s">
        <v>18</v>
      </c>
      <c r="L360" s="7" t="s">
        <v>18</v>
      </c>
      <c r="M360" s="7" t="s">
        <v>18</v>
      </c>
      <c r="N360" s="7" t="s">
        <v>18</v>
      </c>
    </row>
    <row r="361" spans="1:14" s="2" customFormat="1" x14ac:dyDescent="0.15">
      <c r="A361" s="3">
        <v>360</v>
      </c>
      <c r="B361" s="4" t="str">
        <f>IF(COUNTIF(用語集[キーワード],用語集[[#This Row],[キーワード]])&gt;1,"!","")</f>
        <v/>
      </c>
      <c r="C361" s="4" t="str">
        <f>IF(用語集[[#This Row],[キーワード]]="","",IF(OR(用語集[[#This Row],[説明]]="",NOT(ISERROR(FIND("★",用語集[[#This Row],[説明]])))),"★","☆"))</f>
        <v/>
      </c>
      <c r="D361" s="5"/>
      <c r="E361" s="3"/>
      <c r="F361" s="3"/>
      <c r="G361" s="4"/>
      <c r="H361" s="4"/>
      <c r="I361" s="7" t="s">
        <v>18</v>
      </c>
      <c r="J361" s="7" t="s">
        <v>18</v>
      </c>
      <c r="K361" s="7" t="s">
        <v>18</v>
      </c>
      <c r="L361" s="7" t="s">
        <v>18</v>
      </c>
      <c r="M361" s="7" t="s">
        <v>18</v>
      </c>
      <c r="N361" s="7" t="s">
        <v>18</v>
      </c>
    </row>
    <row r="362" spans="1:14" s="2" customFormat="1" x14ac:dyDescent="0.15">
      <c r="A362" s="3">
        <v>361</v>
      </c>
      <c r="B362" s="4" t="str">
        <f>IF(COUNTIF(用語集[キーワード],用語集[[#This Row],[キーワード]])&gt;1,"!","")</f>
        <v/>
      </c>
      <c r="C362" s="4" t="str">
        <f>IF(用語集[[#This Row],[キーワード]]="","",IF(OR(用語集[[#This Row],[説明]]="",NOT(ISERROR(FIND("★",用語集[[#This Row],[説明]])))),"★","☆"))</f>
        <v/>
      </c>
      <c r="D362" s="5"/>
      <c r="E362" s="3"/>
      <c r="F362" s="3"/>
      <c r="G362" s="4"/>
      <c r="H362" s="4"/>
      <c r="I362" s="7" t="s">
        <v>18</v>
      </c>
      <c r="J362" s="7" t="s">
        <v>18</v>
      </c>
      <c r="K362" s="7" t="s">
        <v>18</v>
      </c>
      <c r="L362" s="7" t="s">
        <v>18</v>
      </c>
      <c r="M362" s="7" t="s">
        <v>18</v>
      </c>
      <c r="N362" s="7" t="s">
        <v>18</v>
      </c>
    </row>
    <row r="363" spans="1:14" s="2" customFormat="1" x14ac:dyDescent="0.15">
      <c r="A363" s="3">
        <v>362</v>
      </c>
      <c r="B363" s="4" t="str">
        <f>IF(COUNTIF(用語集[キーワード],用語集[[#This Row],[キーワード]])&gt;1,"!","")</f>
        <v/>
      </c>
      <c r="C363" s="4" t="str">
        <f>IF(用語集[[#This Row],[キーワード]]="","",IF(OR(用語集[[#This Row],[説明]]="",NOT(ISERROR(FIND("★",用語集[[#This Row],[説明]])))),"★","☆"))</f>
        <v/>
      </c>
      <c r="D363" s="5"/>
      <c r="E363" s="3"/>
      <c r="F363" s="3"/>
      <c r="G363" s="4"/>
      <c r="H363" s="4"/>
      <c r="I363" s="7" t="s">
        <v>18</v>
      </c>
      <c r="J363" s="7" t="s">
        <v>18</v>
      </c>
      <c r="K363" s="7" t="s">
        <v>18</v>
      </c>
      <c r="L363" s="7" t="s">
        <v>18</v>
      </c>
      <c r="M363" s="7" t="s">
        <v>18</v>
      </c>
      <c r="N363" s="7" t="s">
        <v>18</v>
      </c>
    </row>
    <row r="364" spans="1:14" s="2" customFormat="1" x14ac:dyDescent="0.15">
      <c r="A364" s="3">
        <v>363</v>
      </c>
      <c r="B364" s="4" t="str">
        <f>IF(COUNTIF(用語集[キーワード],用語集[[#This Row],[キーワード]])&gt;1,"!","")</f>
        <v/>
      </c>
      <c r="C364" s="4" t="str">
        <f>IF(用語集[[#This Row],[キーワード]]="","",IF(OR(用語集[[#This Row],[説明]]="",NOT(ISERROR(FIND("★",用語集[[#This Row],[説明]])))),"★","☆"))</f>
        <v/>
      </c>
      <c r="D364" s="5"/>
      <c r="E364" s="3"/>
      <c r="F364" s="3"/>
      <c r="G364" s="4"/>
      <c r="H364" s="4"/>
      <c r="I364" s="7" t="s">
        <v>18</v>
      </c>
      <c r="J364" s="7" t="s">
        <v>18</v>
      </c>
      <c r="K364" s="7" t="s">
        <v>18</v>
      </c>
      <c r="L364" s="7" t="s">
        <v>18</v>
      </c>
      <c r="M364" s="7" t="s">
        <v>18</v>
      </c>
      <c r="N364" s="7" t="s">
        <v>18</v>
      </c>
    </row>
    <row r="365" spans="1:14" s="2" customFormat="1" x14ac:dyDescent="0.15">
      <c r="A365" s="3">
        <v>364</v>
      </c>
      <c r="B365" s="4" t="str">
        <f>IF(COUNTIF(用語集[キーワード],用語集[[#This Row],[キーワード]])&gt;1,"!","")</f>
        <v/>
      </c>
      <c r="C365" s="4" t="str">
        <f>IF(用語集[[#This Row],[キーワード]]="","",IF(OR(用語集[[#This Row],[説明]]="",NOT(ISERROR(FIND("★",用語集[[#This Row],[説明]])))),"★","☆"))</f>
        <v/>
      </c>
      <c r="D365" s="5"/>
      <c r="E365" s="3"/>
      <c r="F365" s="3"/>
      <c r="G365" s="4"/>
      <c r="H365" s="4"/>
      <c r="I365" s="7" t="s">
        <v>18</v>
      </c>
      <c r="J365" s="7" t="s">
        <v>18</v>
      </c>
      <c r="K365" s="7" t="s">
        <v>18</v>
      </c>
      <c r="L365" s="7" t="s">
        <v>18</v>
      </c>
      <c r="M365" s="7" t="s">
        <v>18</v>
      </c>
      <c r="N365" s="7" t="s">
        <v>18</v>
      </c>
    </row>
    <row r="366" spans="1:14" s="2" customFormat="1" x14ac:dyDescent="0.15">
      <c r="A366" s="3">
        <v>365</v>
      </c>
      <c r="B366" s="4" t="str">
        <f>IF(COUNTIF(用語集[キーワード],用語集[[#This Row],[キーワード]])&gt;1,"!","")</f>
        <v/>
      </c>
      <c r="C366" s="4" t="str">
        <f>IF(用語集[[#This Row],[キーワード]]="","",IF(OR(用語集[[#This Row],[説明]]="",NOT(ISERROR(FIND("★",用語集[[#This Row],[説明]])))),"★","☆"))</f>
        <v/>
      </c>
      <c r="D366" s="5"/>
      <c r="E366" s="3"/>
      <c r="F366" s="3"/>
      <c r="G366" s="4"/>
      <c r="H366" s="4"/>
      <c r="I366" s="7" t="s">
        <v>18</v>
      </c>
      <c r="J366" s="7" t="s">
        <v>18</v>
      </c>
      <c r="K366" s="7" t="s">
        <v>18</v>
      </c>
      <c r="L366" s="7" t="s">
        <v>18</v>
      </c>
      <c r="M366" s="7" t="s">
        <v>18</v>
      </c>
      <c r="N366" s="7" t="s">
        <v>18</v>
      </c>
    </row>
    <row r="367" spans="1:14" s="2" customFormat="1" x14ac:dyDescent="0.15">
      <c r="A367" s="3">
        <v>366</v>
      </c>
      <c r="B367" s="4" t="str">
        <f>IF(COUNTIF(用語集[キーワード],用語集[[#This Row],[キーワード]])&gt;1,"!","")</f>
        <v/>
      </c>
      <c r="C367" s="4" t="str">
        <f>IF(用語集[[#This Row],[キーワード]]="","",IF(OR(用語集[[#This Row],[説明]]="",NOT(ISERROR(FIND("★",用語集[[#This Row],[説明]])))),"★","☆"))</f>
        <v/>
      </c>
      <c r="D367" s="5"/>
      <c r="E367" s="3"/>
      <c r="F367" s="3"/>
      <c r="G367" s="4"/>
      <c r="H367" s="4"/>
      <c r="I367" s="7" t="s">
        <v>18</v>
      </c>
      <c r="J367" s="7" t="s">
        <v>18</v>
      </c>
      <c r="K367" s="7" t="s">
        <v>18</v>
      </c>
      <c r="L367" s="7" t="s">
        <v>18</v>
      </c>
      <c r="M367" s="7" t="s">
        <v>18</v>
      </c>
      <c r="N367" s="7" t="s">
        <v>18</v>
      </c>
    </row>
    <row r="368" spans="1:14" s="2" customFormat="1" x14ac:dyDescent="0.15">
      <c r="A368" s="3">
        <v>367</v>
      </c>
      <c r="B368" s="4" t="str">
        <f>IF(COUNTIF(用語集[キーワード],用語集[[#This Row],[キーワード]])&gt;1,"!","")</f>
        <v/>
      </c>
      <c r="C368" s="4" t="str">
        <f>IF(用語集[[#This Row],[キーワード]]="","",IF(OR(用語集[[#This Row],[説明]]="",NOT(ISERROR(FIND("★",用語集[[#This Row],[説明]])))),"★","☆"))</f>
        <v/>
      </c>
      <c r="D368" s="5"/>
      <c r="E368" s="3"/>
      <c r="F368" s="3"/>
      <c r="G368" s="4"/>
      <c r="H368" s="4"/>
      <c r="I368" s="7" t="s">
        <v>18</v>
      </c>
      <c r="J368" s="7" t="s">
        <v>18</v>
      </c>
      <c r="K368" s="7" t="s">
        <v>18</v>
      </c>
      <c r="L368" s="7" t="s">
        <v>18</v>
      </c>
      <c r="M368" s="7" t="s">
        <v>18</v>
      </c>
      <c r="N368" s="7" t="s">
        <v>18</v>
      </c>
    </row>
    <row r="369" spans="1:14" s="2" customFormat="1" x14ac:dyDescent="0.15">
      <c r="A369" s="3">
        <v>368</v>
      </c>
      <c r="B369" s="4" t="str">
        <f>IF(COUNTIF(用語集[キーワード],用語集[[#This Row],[キーワード]])&gt;1,"!","")</f>
        <v/>
      </c>
      <c r="C369" s="4" t="str">
        <f>IF(用語集[[#This Row],[キーワード]]="","",IF(OR(用語集[[#This Row],[説明]]="",NOT(ISERROR(FIND("★",用語集[[#This Row],[説明]])))),"★","☆"))</f>
        <v/>
      </c>
      <c r="D369" s="5"/>
      <c r="E369" s="3"/>
      <c r="F369" s="3"/>
      <c r="G369" s="4"/>
      <c r="H369" s="4"/>
      <c r="I369" s="7" t="s">
        <v>18</v>
      </c>
      <c r="J369" s="7" t="s">
        <v>18</v>
      </c>
      <c r="K369" s="7" t="s">
        <v>18</v>
      </c>
      <c r="L369" s="7" t="s">
        <v>18</v>
      </c>
      <c r="M369" s="7" t="s">
        <v>18</v>
      </c>
      <c r="N369" s="7" t="s">
        <v>18</v>
      </c>
    </row>
    <row r="370" spans="1:14" s="2" customFormat="1" x14ac:dyDescent="0.15">
      <c r="A370" s="3">
        <v>369</v>
      </c>
      <c r="B370" s="4" t="str">
        <f>IF(COUNTIF(用語集[キーワード],用語集[[#This Row],[キーワード]])&gt;1,"!","")</f>
        <v/>
      </c>
      <c r="C370" s="4" t="str">
        <f>IF(用語集[[#This Row],[キーワード]]="","",IF(OR(用語集[[#This Row],[説明]]="",NOT(ISERROR(FIND("★",用語集[[#This Row],[説明]])))),"★","☆"))</f>
        <v/>
      </c>
      <c r="D370" s="5"/>
      <c r="E370" s="3"/>
      <c r="F370" s="3"/>
      <c r="G370" s="4"/>
      <c r="H370" s="4"/>
      <c r="I370" s="7" t="s">
        <v>18</v>
      </c>
      <c r="J370" s="7" t="s">
        <v>18</v>
      </c>
      <c r="K370" s="7" t="s">
        <v>18</v>
      </c>
      <c r="L370" s="7" t="s">
        <v>18</v>
      </c>
      <c r="M370" s="7" t="s">
        <v>18</v>
      </c>
      <c r="N370" s="7" t="s">
        <v>18</v>
      </c>
    </row>
    <row r="371" spans="1:14" s="2" customFormat="1" x14ac:dyDescent="0.15">
      <c r="A371" s="3">
        <v>370</v>
      </c>
      <c r="B371" s="4" t="str">
        <f>IF(COUNTIF(用語集[キーワード],用語集[[#This Row],[キーワード]])&gt;1,"!","")</f>
        <v/>
      </c>
      <c r="C371" s="4" t="str">
        <f>IF(用語集[[#This Row],[キーワード]]="","",IF(OR(用語集[[#This Row],[説明]]="",NOT(ISERROR(FIND("★",用語集[[#This Row],[説明]])))),"★","☆"))</f>
        <v/>
      </c>
      <c r="D371" s="5"/>
      <c r="E371" s="3"/>
      <c r="F371" s="3"/>
      <c r="G371" s="4"/>
      <c r="H371" s="4"/>
      <c r="I371" s="7" t="s">
        <v>18</v>
      </c>
      <c r="J371" s="7" t="s">
        <v>18</v>
      </c>
      <c r="K371" s="7" t="s">
        <v>18</v>
      </c>
      <c r="L371" s="7" t="s">
        <v>18</v>
      </c>
      <c r="M371" s="7" t="s">
        <v>18</v>
      </c>
      <c r="N371" s="7" t="s">
        <v>18</v>
      </c>
    </row>
    <row r="372" spans="1:14" s="2" customFormat="1" x14ac:dyDescent="0.15">
      <c r="A372" s="3">
        <v>371</v>
      </c>
      <c r="B372" s="4" t="str">
        <f>IF(COUNTIF(用語集[キーワード],用語集[[#This Row],[キーワード]])&gt;1,"!","")</f>
        <v/>
      </c>
      <c r="C372" s="4" t="str">
        <f>IF(用語集[[#This Row],[キーワード]]="","",IF(OR(用語集[[#This Row],[説明]]="",NOT(ISERROR(FIND("★",用語集[[#This Row],[説明]])))),"★","☆"))</f>
        <v/>
      </c>
      <c r="D372" s="5"/>
      <c r="E372" s="3"/>
      <c r="F372" s="3"/>
      <c r="G372" s="4"/>
      <c r="H372" s="4"/>
      <c r="I372" s="7" t="s">
        <v>18</v>
      </c>
      <c r="J372" s="7" t="s">
        <v>18</v>
      </c>
      <c r="K372" s="7" t="s">
        <v>18</v>
      </c>
      <c r="L372" s="7" t="s">
        <v>18</v>
      </c>
      <c r="M372" s="7" t="s">
        <v>18</v>
      </c>
      <c r="N372" s="7" t="s">
        <v>18</v>
      </c>
    </row>
    <row r="373" spans="1:14" s="2" customFormat="1" x14ac:dyDescent="0.15">
      <c r="A373" s="3">
        <v>372</v>
      </c>
      <c r="B373" s="4" t="str">
        <f>IF(COUNTIF(用語集[キーワード],用語集[[#This Row],[キーワード]])&gt;1,"!","")</f>
        <v/>
      </c>
      <c r="C373" s="4" t="str">
        <f>IF(用語集[[#This Row],[キーワード]]="","",IF(OR(用語集[[#This Row],[説明]]="",NOT(ISERROR(FIND("★",用語集[[#This Row],[説明]])))),"★","☆"))</f>
        <v/>
      </c>
      <c r="D373" s="5"/>
      <c r="E373" s="3"/>
      <c r="F373" s="3"/>
      <c r="G373" s="4"/>
      <c r="H373" s="4"/>
      <c r="I373" s="7" t="s">
        <v>18</v>
      </c>
      <c r="J373" s="7" t="s">
        <v>18</v>
      </c>
      <c r="K373" s="7" t="s">
        <v>18</v>
      </c>
      <c r="L373" s="7" t="s">
        <v>18</v>
      </c>
      <c r="M373" s="7" t="s">
        <v>18</v>
      </c>
      <c r="N373" s="7" t="s">
        <v>18</v>
      </c>
    </row>
    <row r="374" spans="1:14" s="2" customFormat="1" x14ac:dyDescent="0.15">
      <c r="A374" s="3">
        <v>373</v>
      </c>
      <c r="B374" s="4" t="str">
        <f>IF(COUNTIF(用語集[キーワード],用語集[[#This Row],[キーワード]])&gt;1,"!","")</f>
        <v/>
      </c>
      <c r="C374" s="4" t="str">
        <f>IF(用語集[[#This Row],[キーワード]]="","",IF(OR(用語集[[#This Row],[説明]]="",NOT(ISERROR(FIND("★",用語集[[#This Row],[説明]])))),"★","☆"))</f>
        <v/>
      </c>
      <c r="D374" s="5"/>
      <c r="E374" s="3"/>
      <c r="F374" s="3"/>
      <c r="G374" s="4"/>
      <c r="H374" s="4"/>
      <c r="I374" s="7" t="s">
        <v>18</v>
      </c>
      <c r="J374" s="7" t="s">
        <v>18</v>
      </c>
      <c r="K374" s="7" t="s">
        <v>18</v>
      </c>
      <c r="L374" s="7" t="s">
        <v>18</v>
      </c>
      <c r="M374" s="7" t="s">
        <v>18</v>
      </c>
      <c r="N374" s="7" t="s">
        <v>18</v>
      </c>
    </row>
    <row r="375" spans="1:14" s="2" customFormat="1" x14ac:dyDescent="0.15">
      <c r="A375" s="3">
        <v>374</v>
      </c>
      <c r="B375" s="4" t="str">
        <f>IF(COUNTIF(用語集[キーワード],用語集[[#This Row],[キーワード]])&gt;1,"!","")</f>
        <v/>
      </c>
      <c r="C375" s="4" t="str">
        <f>IF(用語集[[#This Row],[キーワード]]="","",IF(OR(用語集[[#This Row],[説明]]="",NOT(ISERROR(FIND("★",用語集[[#This Row],[説明]])))),"★","☆"))</f>
        <v/>
      </c>
      <c r="D375" s="5"/>
      <c r="E375" s="3"/>
      <c r="F375" s="3"/>
      <c r="G375" s="4"/>
      <c r="H375" s="4"/>
      <c r="I375" s="7" t="s">
        <v>18</v>
      </c>
      <c r="J375" s="7" t="s">
        <v>18</v>
      </c>
      <c r="K375" s="7" t="s">
        <v>18</v>
      </c>
      <c r="L375" s="7" t="s">
        <v>18</v>
      </c>
      <c r="M375" s="7" t="s">
        <v>18</v>
      </c>
      <c r="N375" s="7" t="s">
        <v>18</v>
      </c>
    </row>
    <row r="376" spans="1:14" s="2" customFormat="1" x14ac:dyDescent="0.15">
      <c r="A376" s="3">
        <v>375</v>
      </c>
      <c r="B376" s="4" t="str">
        <f>IF(COUNTIF(用語集[キーワード],用語集[[#This Row],[キーワード]])&gt;1,"!","")</f>
        <v/>
      </c>
      <c r="C376" s="4" t="str">
        <f>IF(用語集[[#This Row],[キーワード]]="","",IF(OR(用語集[[#This Row],[説明]]="",NOT(ISERROR(FIND("★",用語集[[#This Row],[説明]])))),"★","☆"))</f>
        <v/>
      </c>
      <c r="D376" s="5"/>
      <c r="E376" s="3"/>
      <c r="F376" s="3"/>
      <c r="G376" s="4"/>
      <c r="H376" s="4"/>
      <c r="I376" s="7" t="s">
        <v>18</v>
      </c>
      <c r="J376" s="7" t="s">
        <v>18</v>
      </c>
      <c r="K376" s="7" t="s">
        <v>18</v>
      </c>
      <c r="L376" s="7" t="s">
        <v>18</v>
      </c>
      <c r="M376" s="7" t="s">
        <v>18</v>
      </c>
      <c r="N376" s="7" t="s">
        <v>18</v>
      </c>
    </row>
    <row r="377" spans="1:14" s="2" customFormat="1" x14ac:dyDescent="0.15">
      <c r="A377" s="3">
        <v>376</v>
      </c>
      <c r="B377" s="4" t="str">
        <f>IF(COUNTIF(用語集[キーワード],用語集[[#This Row],[キーワード]])&gt;1,"!","")</f>
        <v/>
      </c>
      <c r="C377" s="4" t="str">
        <f>IF(用語集[[#This Row],[キーワード]]="","",IF(OR(用語集[[#This Row],[説明]]="",NOT(ISERROR(FIND("★",用語集[[#This Row],[説明]])))),"★","☆"))</f>
        <v/>
      </c>
      <c r="D377" s="5"/>
      <c r="E377" s="3"/>
      <c r="F377" s="3"/>
      <c r="G377" s="4"/>
      <c r="H377" s="4"/>
      <c r="I377" s="7" t="s">
        <v>18</v>
      </c>
      <c r="J377" s="7" t="s">
        <v>18</v>
      </c>
      <c r="K377" s="7" t="s">
        <v>18</v>
      </c>
      <c r="L377" s="7" t="s">
        <v>18</v>
      </c>
      <c r="M377" s="7" t="s">
        <v>18</v>
      </c>
      <c r="N377" s="7" t="s">
        <v>18</v>
      </c>
    </row>
    <row r="378" spans="1:14" s="2" customFormat="1" x14ac:dyDescent="0.15">
      <c r="A378" s="3">
        <v>377</v>
      </c>
      <c r="B378" s="4" t="str">
        <f>IF(COUNTIF(用語集[キーワード],用語集[[#This Row],[キーワード]])&gt;1,"!","")</f>
        <v/>
      </c>
      <c r="C378" s="4" t="str">
        <f>IF(用語集[[#This Row],[キーワード]]="","",IF(OR(用語集[[#This Row],[説明]]="",NOT(ISERROR(FIND("★",用語集[[#This Row],[説明]])))),"★","☆"))</f>
        <v/>
      </c>
      <c r="D378" s="5"/>
      <c r="E378" s="3"/>
      <c r="F378" s="3"/>
      <c r="G378" s="4"/>
      <c r="H378" s="4"/>
      <c r="I378" s="7" t="s">
        <v>18</v>
      </c>
      <c r="J378" s="7" t="s">
        <v>18</v>
      </c>
      <c r="K378" s="7" t="s">
        <v>18</v>
      </c>
      <c r="L378" s="7" t="s">
        <v>18</v>
      </c>
      <c r="M378" s="7" t="s">
        <v>18</v>
      </c>
      <c r="N378" s="7" t="s">
        <v>18</v>
      </c>
    </row>
    <row r="379" spans="1:14" s="2" customFormat="1" x14ac:dyDescent="0.15">
      <c r="A379" s="3">
        <v>378</v>
      </c>
      <c r="B379" s="4" t="str">
        <f>IF(COUNTIF(用語集[キーワード],用語集[[#This Row],[キーワード]])&gt;1,"!","")</f>
        <v/>
      </c>
      <c r="C379" s="4" t="str">
        <f>IF(用語集[[#This Row],[キーワード]]="","",IF(OR(用語集[[#This Row],[説明]]="",NOT(ISERROR(FIND("★",用語集[[#This Row],[説明]])))),"★","☆"))</f>
        <v/>
      </c>
      <c r="D379" s="5"/>
      <c r="E379" s="3"/>
      <c r="F379" s="3"/>
      <c r="G379" s="4"/>
      <c r="H379" s="4"/>
      <c r="I379" s="7" t="s">
        <v>18</v>
      </c>
      <c r="J379" s="7" t="s">
        <v>18</v>
      </c>
      <c r="K379" s="7" t="s">
        <v>18</v>
      </c>
      <c r="L379" s="7" t="s">
        <v>18</v>
      </c>
      <c r="M379" s="7" t="s">
        <v>18</v>
      </c>
      <c r="N379" s="7" t="s">
        <v>18</v>
      </c>
    </row>
    <row r="380" spans="1:14" s="2" customFormat="1" x14ac:dyDescent="0.15">
      <c r="A380" s="3">
        <v>379</v>
      </c>
      <c r="B380" s="4" t="str">
        <f>IF(COUNTIF(用語集[キーワード],用語集[[#This Row],[キーワード]])&gt;1,"!","")</f>
        <v/>
      </c>
      <c r="C380" s="4" t="str">
        <f>IF(用語集[[#This Row],[キーワード]]="","",IF(OR(用語集[[#This Row],[説明]]="",NOT(ISERROR(FIND("★",用語集[[#This Row],[説明]])))),"★","☆"))</f>
        <v/>
      </c>
      <c r="D380" s="5"/>
      <c r="E380" s="3"/>
      <c r="F380" s="3"/>
      <c r="G380" s="4"/>
      <c r="H380" s="4"/>
      <c r="I380" s="7" t="s">
        <v>18</v>
      </c>
      <c r="J380" s="7" t="s">
        <v>18</v>
      </c>
      <c r="K380" s="7" t="s">
        <v>18</v>
      </c>
      <c r="L380" s="7" t="s">
        <v>18</v>
      </c>
      <c r="M380" s="7" t="s">
        <v>18</v>
      </c>
      <c r="N380" s="7" t="s">
        <v>18</v>
      </c>
    </row>
    <row r="381" spans="1:14" s="2" customFormat="1" x14ac:dyDescent="0.15">
      <c r="A381" s="3">
        <v>380</v>
      </c>
      <c r="B381" s="4" t="str">
        <f>IF(COUNTIF(用語集[キーワード],用語集[[#This Row],[キーワード]])&gt;1,"!","")</f>
        <v/>
      </c>
      <c r="C381" s="4" t="str">
        <f>IF(用語集[[#This Row],[キーワード]]="","",IF(OR(用語集[[#This Row],[説明]]="",NOT(ISERROR(FIND("★",用語集[[#This Row],[説明]])))),"★","☆"))</f>
        <v/>
      </c>
      <c r="D381" s="5"/>
      <c r="E381" s="3"/>
      <c r="F381" s="3"/>
      <c r="G381" s="4"/>
      <c r="H381" s="4"/>
      <c r="I381" s="7" t="s">
        <v>18</v>
      </c>
      <c r="J381" s="7" t="s">
        <v>18</v>
      </c>
      <c r="K381" s="7" t="s">
        <v>18</v>
      </c>
      <c r="L381" s="7" t="s">
        <v>18</v>
      </c>
      <c r="M381" s="7" t="s">
        <v>18</v>
      </c>
      <c r="N381" s="7" t="s">
        <v>18</v>
      </c>
    </row>
    <row r="382" spans="1:14" s="2" customFormat="1" x14ac:dyDescent="0.15">
      <c r="A382" s="3">
        <v>381</v>
      </c>
      <c r="B382" s="4" t="str">
        <f>IF(COUNTIF(用語集[キーワード],用語集[[#This Row],[キーワード]])&gt;1,"!","")</f>
        <v/>
      </c>
      <c r="C382" s="4" t="str">
        <f>IF(用語集[[#This Row],[キーワード]]="","",IF(OR(用語集[[#This Row],[説明]]="",NOT(ISERROR(FIND("★",用語集[[#This Row],[説明]])))),"★","☆"))</f>
        <v/>
      </c>
      <c r="D382" s="5"/>
      <c r="E382" s="3"/>
      <c r="F382" s="3"/>
      <c r="G382" s="4"/>
      <c r="H382" s="4"/>
      <c r="I382" s="7" t="s">
        <v>18</v>
      </c>
      <c r="J382" s="7" t="s">
        <v>18</v>
      </c>
      <c r="K382" s="7" t="s">
        <v>18</v>
      </c>
      <c r="L382" s="7" t="s">
        <v>18</v>
      </c>
      <c r="M382" s="7" t="s">
        <v>18</v>
      </c>
      <c r="N382" s="7" t="s">
        <v>18</v>
      </c>
    </row>
    <row r="383" spans="1:14" s="2" customFormat="1" x14ac:dyDescent="0.15">
      <c r="A383" s="3">
        <v>382</v>
      </c>
      <c r="B383" s="4" t="str">
        <f>IF(COUNTIF(用語集[キーワード],用語集[[#This Row],[キーワード]])&gt;1,"!","")</f>
        <v/>
      </c>
      <c r="C383" s="4" t="str">
        <f>IF(用語集[[#This Row],[キーワード]]="","",IF(OR(用語集[[#This Row],[説明]]="",NOT(ISERROR(FIND("★",用語集[[#This Row],[説明]])))),"★","☆"))</f>
        <v/>
      </c>
      <c r="D383" s="5"/>
      <c r="E383" s="3"/>
      <c r="F383" s="3"/>
      <c r="G383" s="4"/>
      <c r="H383" s="4"/>
      <c r="I383" s="7" t="s">
        <v>18</v>
      </c>
      <c r="J383" s="7" t="s">
        <v>18</v>
      </c>
      <c r="K383" s="7" t="s">
        <v>18</v>
      </c>
      <c r="L383" s="7" t="s">
        <v>18</v>
      </c>
      <c r="M383" s="7" t="s">
        <v>18</v>
      </c>
      <c r="N383" s="7" t="s">
        <v>18</v>
      </c>
    </row>
    <row r="384" spans="1:14" s="2" customFormat="1" x14ac:dyDescent="0.15">
      <c r="A384" s="3">
        <v>383</v>
      </c>
      <c r="B384" s="4" t="str">
        <f>IF(COUNTIF(用語集[キーワード],用語集[[#This Row],[キーワード]])&gt;1,"!","")</f>
        <v/>
      </c>
      <c r="C384" s="4" t="str">
        <f>IF(用語集[[#This Row],[キーワード]]="","",IF(OR(用語集[[#This Row],[説明]]="",NOT(ISERROR(FIND("★",用語集[[#This Row],[説明]])))),"★","☆"))</f>
        <v/>
      </c>
      <c r="D384" s="5"/>
      <c r="E384" s="3"/>
      <c r="F384" s="3"/>
      <c r="G384" s="4"/>
      <c r="H384" s="4"/>
      <c r="I384" s="7" t="s">
        <v>18</v>
      </c>
      <c r="J384" s="7" t="s">
        <v>18</v>
      </c>
      <c r="K384" s="7" t="s">
        <v>18</v>
      </c>
      <c r="L384" s="7" t="s">
        <v>18</v>
      </c>
      <c r="M384" s="7" t="s">
        <v>18</v>
      </c>
      <c r="N384" s="7" t="s">
        <v>18</v>
      </c>
    </row>
    <row r="385" spans="1:14" s="2" customFormat="1" x14ac:dyDescent="0.15">
      <c r="A385" s="3">
        <v>384</v>
      </c>
      <c r="B385" s="4" t="str">
        <f>IF(COUNTIF(用語集[キーワード],用語集[[#This Row],[キーワード]])&gt;1,"!","")</f>
        <v/>
      </c>
      <c r="C385" s="4" t="str">
        <f>IF(用語集[[#This Row],[キーワード]]="","",IF(OR(用語集[[#This Row],[説明]]="",NOT(ISERROR(FIND("★",用語集[[#This Row],[説明]])))),"★","☆"))</f>
        <v/>
      </c>
      <c r="D385" s="5"/>
      <c r="E385" s="3"/>
      <c r="F385" s="3"/>
      <c r="G385" s="4"/>
      <c r="H385" s="4"/>
      <c r="I385" s="7" t="s">
        <v>18</v>
      </c>
      <c r="J385" s="7" t="s">
        <v>18</v>
      </c>
      <c r="K385" s="7" t="s">
        <v>18</v>
      </c>
      <c r="L385" s="7" t="s">
        <v>18</v>
      </c>
      <c r="M385" s="7" t="s">
        <v>18</v>
      </c>
      <c r="N385" s="7" t="s">
        <v>18</v>
      </c>
    </row>
    <row r="386" spans="1:14" s="2" customFormat="1" x14ac:dyDescent="0.15">
      <c r="A386" s="3">
        <v>385</v>
      </c>
      <c r="B386" s="4" t="str">
        <f>IF(COUNTIF(用語集[キーワード],用語集[[#This Row],[キーワード]])&gt;1,"!","")</f>
        <v/>
      </c>
      <c r="C386" s="4" t="str">
        <f>IF(用語集[[#This Row],[キーワード]]="","",IF(OR(用語集[[#This Row],[説明]]="",NOT(ISERROR(FIND("★",用語集[[#This Row],[説明]])))),"★","☆"))</f>
        <v/>
      </c>
      <c r="D386" s="5"/>
      <c r="E386" s="3"/>
      <c r="F386" s="3"/>
      <c r="G386" s="4"/>
      <c r="H386" s="4"/>
      <c r="I386" s="7" t="s">
        <v>18</v>
      </c>
      <c r="J386" s="7" t="s">
        <v>18</v>
      </c>
      <c r="K386" s="7" t="s">
        <v>18</v>
      </c>
      <c r="L386" s="7" t="s">
        <v>18</v>
      </c>
      <c r="M386" s="7" t="s">
        <v>18</v>
      </c>
      <c r="N386" s="7" t="s">
        <v>18</v>
      </c>
    </row>
    <row r="387" spans="1:14" s="2" customFormat="1" x14ac:dyDescent="0.15">
      <c r="A387" s="3">
        <v>386</v>
      </c>
      <c r="B387" s="4" t="str">
        <f>IF(COUNTIF(用語集[キーワード],用語集[[#This Row],[キーワード]])&gt;1,"!","")</f>
        <v/>
      </c>
      <c r="C387" s="4" t="str">
        <f>IF(用語集[[#This Row],[キーワード]]="","",IF(OR(用語集[[#This Row],[説明]]="",NOT(ISERROR(FIND("★",用語集[[#This Row],[説明]])))),"★","☆"))</f>
        <v/>
      </c>
      <c r="D387" s="5"/>
      <c r="E387" s="3"/>
      <c r="F387" s="3"/>
      <c r="G387" s="4"/>
      <c r="H387" s="4"/>
      <c r="I387" s="7" t="s">
        <v>18</v>
      </c>
      <c r="J387" s="7" t="s">
        <v>18</v>
      </c>
      <c r="K387" s="7" t="s">
        <v>18</v>
      </c>
      <c r="L387" s="7" t="s">
        <v>18</v>
      </c>
      <c r="M387" s="7" t="s">
        <v>18</v>
      </c>
      <c r="N387" s="7" t="s">
        <v>18</v>
      </c>
    </row>
    <row r="388" spans="1:14" s="2" customFormat="1" x14ac:dyDescent="0.15">
      <c r="A388" s="3">
        <v>387</v>
      </c>
      <c r="B388" s="4" t="str">
        <f>IF(COUNTIF(用語集[キーワード],用語集[[#This Row],[キーワード]])&gt;1,"!","")</f>
        <v/>
      </c>
      <c r="C388" s="4" t="str">
        <f>IF(用語集[[#This Row],[キーワード]]="","",IF(OR(用語集[[#This Row],[説明]]="",NOT(ISERROR(FIND("★",用語集[[#This Row],[説明]])))),"★","☆"))</f>
        <v/>
      </c>
      <c r="D388" s="5"/>
      <c r="E388" s="3"/>
      <c r="F388" s="3"/>
      <c r="G388" s="4"/>
      <c r="H388" s="4"/>
      <c r="I388" s="7" t="s">
        <v>18</v>
      </c>
      <c r="J388" s="7" t="s">
        <v>18</v>
      </c>
      <c r="K388" s="7" t="s">
        <v>18</v>
      </c>
      <c r="L388" s="7" t="s">
        <v>18</v>
      </c>
      <c r="M388" s="7" t="s">
        <v>18</v>
      </c>
      <c r="N388" s="7" t="s">
        <v>18</v>
      </c>
    </row>
    <row r="389" spans="1:14" s="2" customFormat="1" x14ac:dyDescent="0.15">
      <c r="A389" s="3">
        <v>388</v>
      </c>
      <c r="B389" s="4" t="str">
        <f>IF(COUNTIF(用語集[キーワード],用語集[[#This Row],[キーワード]])&gt;1,"!","")</f>
        <v/>
      </c>
      <c r="C389" s="4" t="str">
        <f>IF(用語集[[#This Row],[キーワード]]="","",IF(OR(用語集[[#This Row],[説明]]="",NOT(ISERROR(FIND("★",用語集[[#This Row],[説明]])))),"★","☆"))</f>
        <v/>
      </c>
      <c r="D389" s="5"/>
      <c r="E389" s="3"/>
      <c r="F389" s="3"/>
      <c r="G389" s="4"/>
      <c r="H389" s="4"/>
      <c r="I389" s="7" t="s">
        <v>18</v>
      </c>
      <c r="J389" s="7" t="s">
        <v>18</v>
      </c>
      <c r="K389" s="7" t="s">
        <v>18</v>
      </c>
      <c r="L389" s="7" t="s">
        <v>18</v>
      </c>
      <c r="M389" s="7" t="s">
        <v>18</v>
      </c>
      <c r="N389" s="7" t="s">
        <v>18</v>
      </c>
    </row>
    <row r="390" spans="1:14" s="2" customFormat="1" x14ac:dyDescent="0.15">
      <c r="A390" s="3">
        <v>389</v>
      </c>
      <c r="B390" s="4" t="str">
        <f>IF(COUNTIF(用語集[キーワード],用語集[[#This Row],[キーワード]])&gt;1,"!","")</f>
        <v/>
      </c>
      <c r="C390" s="4" t="str">
        <f>IF(用語集[[#This Row],[キーワード]]="","",IF(OR(用語集[[#This Row],[説明]]="",NOT(ISERROR(FIND("★",用語集[[#This Row],[説明]])))),"★","☆"))</f>
        <v/>
      </c>
      <c r="D390" s="5"/>
      <c r="E390" s="3"/>
      <c r="F390" s="3"/>
      <c r="G390" s="4"/>
      <c r="H390" s="4"/>
      <c r="I390" s="7" t="s">
        <v>18</v>
      </c>
      <c r="J390" s="7" t="s">
        <v>18</v>
      </c>
      <c r="K390" s="7" t="s">
        <v>18</v>
      </c>
      <c r="L390" s="7" t="s">
        <v>18</v>
      </c>
      <c r="M390" s="7" t="s">
        <v>18</v>
      </c>
      <c r="N390" s="7" t="s">
        <v>18</v>
      </c>
    </row>
    <row r="391" spans="1:14" s="2" customFormat="1" x14ac:dyDescent="0.15">
      <c r="A391" s="3">
        <v>390</v>
      </c>
      <c r="B391" s="4" t="str">
        <f>IF(COUNTIF(用語集[キーワード],用語集[[#This Row],[キーワード]])&gt;1,"!","")</f>
        <v/>
      </c>
      <c r="C391" s="4" t="str">
        <f>IF(用語集[[#This Row],[キーワード]]="","",IF(OR(用語集[[#This Row],[説明]]="",NOT(ISERROR(FIND("★",用語集[[#This Row],[説明]])))),"★","☆"))</f>
        <v/>
      </c>
      <c r="D391" s="5"/>
      <c r="E391" s="3"/>
      <c r="F391" s="3"/>
      <c r="G391" s="4"/>
      <c r="H391" s="4"/>
      <c r="I391" s="7" t="s">
        <v>18</v>
      </c>
      <c r="J391" s="7" t="s">
        <v>18</v>
      </c>
      <c r="K391" s="7" t="s">
        <v>18</v>
      </c>
      <c r="L391" s="7" t="s">
        <v>18</v>
      </c>
      <c r="M391" s="7" t="s">
        <v>18</v>
      </c>
      <c r="N391" s="7" t="s">
        <v>18</v>
      </c>
    </row>
    <row r="392" spans="1:14" s="2" customFormat="1" x14ac:dyDescent="0.15">
      <c r="A392" s="3">
        <v>391</v>
      </c>
      <c r="B392" s="4" t="str">
        <f>IF(COUNTIF(用語集[キーワード],用語集[[#This Row],[キーワード]])&gt;1,"!","")</f>
        <v/>
      </c>
      <c r="C392" s="4" t="str">
        <f>IF(用語集[[#This Row],[キーワード]]="","",IF(OR(用語集[[#This Row],[説明]]="",NOT(ISERROR(FIND("★",用語集[[#This Row],[説明]])))),"★","☆"))</f>
        <v/>
      </c>
      <c r="D392" s="5"/>
      <c r="E392" s="3"/>
      <c r="F392" s="3"/>
      <c r="G392" s="4"/>
      <c r="H392" s="4"/>
      <c r="I392" s="7" t="s">
        <v>18</v>
      </c>
      <c r="J392" s="7" t="s">
        <v>18</v>
      </c>
      <c r="K392" s="7" t="s">
        <v>18</v>
      </c>
      <c r="L392" s="7" t="s">
        <v>18</v>
      </c>
      <c r="M392" s="7" t="s">
        <v>18</v>
      </c>
      <c r="N392" s="7" t="s">
        <v>18</v>
      </c>
    </row>
    <row r="393" spans="1:14" s="2" customFormat="1" x14ac:dyDescent="0.15">
      <c r="A393" s="3">
        <v>392</v>
      </c>
      <c r="B393" s="4" t="str">
        <f>IF(COUNTIF(用語集[キーワード],用語集[[#This Row],[キーワード]])&gt;1,"!","")</f>
        <v/>
      </c>
      <c r="C393" s="4" t="str">
        <f>IF(用語集[[#This Row],[キーワード]]="","",IF(OR(用語集[[#This Row],[説明]]="",NOT(ISERROR(FIND("★",用語集[[#This Row],[説明]])))),"★","☆"))</f>
        <v/>
      </c>
      <c r="D393" s="5"/>
      <c r="E393" s="3"/>
      <c r="F393" s="3"/>
      <c r="G393" s="4"/>
      <c r="H393" s="4"/>
      <c r="I393" s="7" t="s">
        <v>18</v>
      </c>
      <c r="J393" s="7" t="s">
        <v>18</v>
      </c>
      <c r="K393" s="7" t="s">
        <v>18</v>
      </c>
      <c r="L393" s="7" t="s">
        <v>18</v>
      </c>
      <c r="M393" s="7" t="s">
        <v>18</v>
      </c>
      <c r="N393" s="7" t="s">
        <v>18</v>
      </c>
    </row>
    <row r="394" spans="1:14" s="2" customFormat="1" x14ac:dyDescent="0.15">
      <c r="A394" s="3">
        <v>393</v>
      </c>
      <c r="B394" s="4" t="str">
        <f>IF(COUNTIF(用語集[キーワード],用語集[[#This Row],[キーワード]])&gt;1,"!","")</f>
        <v/>
      </c>
      <c r="C394" s="4" t="str">
        <f>IF(用語集[[#This Row],[キーワード]]="","",IF(OR(用語集[[#This Row],[説明]]="",NOT(ISERROR(FIND("★",用語集[[#This Row],[説明]])))),"★","☆"))</f>
        <v/>
      </c>
      <c r="D394" s="5"/>
      <c r="E394" s="3"/>
      <c r="F394" s="3"/>
      <c r="G394" s="4"/>
      <c r="H394" s="4"/>
      <c r="I394" s="7" t="s">
        <v>18</v>
      </c>
      <c r="J394" s="7" t="s">
        <v>18</v>
      </c>
      <c r="K394" s="7" t="s">
        <v>18</v>
      </c>
      <c r="L394" s="7" t="s">
        <v>18</v>
      </c>
      <c r="M394" s="7" t="s">
        <v>18</v>
      </c>
      <c r="N394" s="7" t="s">
        <v>18</v>
      </c>
    </row>
    <row r="395" spans="1:14" s="2" customFormat="1" x14ac:dyDescent="0.15">
      <c r="A395" s="3">
        <v>394</v>
      </c>
      <c r="B395" s="4" t="str">
        <f>IF(COUNTIF(用語集[キーワード],用語集[[#This Row],[キーワード]])&gt;1,"!","")</f>
        <v/>
      </c>
      <c r="C395" s="4" t="str">
        <f>IF(用語集[[#This Row],[キーワード]]="","",IF(OR(用語集[[#This Row],[説明]]="",NOT(ISERROR(FIND("★",用語集[[#This Row],[説明]])))),"★","☆"))</f>
        <v/>
      </c>
      <c r="D395" s="5"/>
      <c r="E395" s="3"/>
      <c r="F395" s="3"/>
      <c r="G395" s="4"/>
      <c r="H395" s="4"/>
      <c r="I395" s="7" t="s">
        <v>18</v>
      </c>
      <c r="J395" s="7" t="s">
        <v>18</v>
      </c>
      <c r="K395" s="7" t="s">
        <v>18</v>
      </c>
      <c r="L395" s="7" t="s">
        <v>18</v>
      </c>
      <c r="M395" s="7" t="s">
        <v>18</v>
      </c>
      <c r="N395" s="7" t="s">
        <v>18</v>
      </c>
    </row>
    <row r="396" spans="1:14" s="2" customFormat="1" x14ac:dyDescent="0.15">
      <c r="A396" s="3">
        <v>395</v>
      </c>
      <c r="B396" s="4" t="str">
        <f>IF(COUNTIF(用語集[キーワード],用語集[[#This Row],[キーワード]])&gt;1,"!","")</f>
        <v/>
      </c>
      <c r="C396" s="4" t="str">
        <f>IF(用語集[[#This Row],[キーワード]]="","",IF(OR(用語集[[#This Row],[説明]]="",NOT(ISERROR(FIND("★",用語集[[#This Row],[説明]])))),"★","☆"))</f>
        <v/>
      </c>
      <c r="D396" s="5"/>
      <c r="E396" s="3"/>
      <c r="F396" s="3"/>
      <c r="G396" s="4"/>
      <c r="H396" s="4"/>
      <c r="I396" s="7" t="s">
        <v>18</v>
      </c>
      <c r="J396" s="7" t="s">
        <v>18</v>
      </c>
      <c r="K396" s="7" t="s">
        <v>18</v>
      </c>
      <c r="L396" s="7" t="s">
        <v>18</v>
      </c>
      <c r="M396" s="7" t="s">
        <v>18</v>
      </c>
      <c r="N396" s="7" t="s">
        <v>18</v>
      </c>
    </row>
    <row r="397" spans="1:14" s="2" customFormat="1" x14ac:dyDescent="0.15">
      <c r="A397" s="3">
        <v>396</v>
      </c>
      <c r="B397" s="4" t="str">
        <f>IF(COUNTIF(用語集[キーワード],用語集[[#This Row],[キーワード]])&gt;1,"!","")</f>
        <v/>
      </c>
      <c r="C397" s="4" t="str">
        <f>IF(用語集[[#This Row],[キーワード]]="","",IF(OR(用語集[[#This Row],[説明]]="",NOT(ISERROR(FIND("★",用語集[[#This Row],[説明]])))),"★","☆"))</f>
        <v/>
      </c>
      <c r="D397" s="5"/>
      <c r="E397" s="3"/>
      <c r="F397" s="3"/>
      <c r="G397" s="4"/>
      <c r="H397" s="4"/>
      <c r="I397" s="7" t="s">
        <v>18</v>
      </c>
      <c r="J397" s="7" t="s">
        <v>18</v>
      </c>
      <c r="K397" s="7" t="s">
        <v>18</v>
      </c>
      <c r="L397" s="7" t="s">
        <v>18</v>
      </c>
      <c r="M397" s="7" t="s">
        <v>18</v>
      </c>
      <c r="N397" s="7" t="s">
        <v>18</v>
      </c>
    </row>
    <row r="398" spans="1:14" s="2" customFormat="1" x14ac:dyDescent="0.15">
      <c r="A398" s="3">
        <v>397</v>
      </c>
      <c r="B398" s="4" t="str">
        <f>IF(COUNTIF(用語集[キーワード],用語集[[#This Row],[キーワード]])&gt;1,"!","")</f>
        <v/>
      </c>
      <c r="C398" s="4" t="str">
        <f>IF(用語集[[#This Row],[キーワード]]="","",IF(OR(用語集[[#This Row],[説明]]="",NOT(ISERROR(FIND("★",用語集[[#This Row],[説明]])))),"★","☆"))</f>
        <v/>
      </c>
      <c r="D398" s="5"/>
      <c r="E398" s="3"/>
      <c r="F398" s="3"/>
      <c r="G398" s="4"/>
      <c r="H398" s="4"/>
      <c r="I398" s="7" t="s">
        <v>18</v>
      </c>
      <c r="J398" s="7" t="s">
        <v>18</v>
      </c>
      <c r="K398" s="7" t="s">
        <v>18</v>
      </c>
      <c r="L398" s="7" t="s">
        <v>18</v>
      </c>
      <c r="M398" s="7" t="s">
        <v>18</v>
      </c>
      <c r="N398" s="7" t="s">
        <v>18</v>
      </c>
    </row>
    <row r="399" spans="1:14" s="2" customFormat="1" x14ac:dyDescent="0.15">
      <c r="A399" s="3">
        <v>398</v>
      </c>
      <c r="B399" s="4" t="str">
        <f>IF(COUNTIF(用語集[キーワード],用語集[[#This Row],[キーワード]])&gt;1,"!","")</f>
        <v/>
      </c>
      <c r="C399" s="4" t="str">
        <f>IF(用語集[[#This Row],[キーワード]]="","",IF(OR(用語集[[#This Row],[説明]]="",NOT(ISERROR(FIND("★",用語集[[#This Row],[説明]])))),"★","☆"))</f>
        <v/>
      </c>
      <c r="D399" s="5"/>
      <c r="E399" s="3"/>
      <c r="F399" s="3"/>
      <c r="G399" s="4"/>
      <c r="H399" s="4"/>
      <c r="I399" s="7" t="s">
        <v>18</v>
      </c>
      <c r="J399" s="7" t="s">
        <v>18</v>
      </c>
      <c r="K399" s="7" t="s">
        <v>18</v>
      </c>
      <c r="L399" s="7" t="s">
        <v>18</v>
      </c>
      <c r="M399" s="7" t="s">
        <v>18</v>
      </c>
      <c r="N399" s="7" t="s">
        <v>18</v>
      </c>
    </row>
    <row r="400" spans="1:14" s="2" customFormat="1" x14ac:dyDescent="0.15">
      <c r="A400" s="3">
        <v>399</v>
      </c>
      <c r="B400" s="4" t="str">
        <f>IF(COUNTIF(用語集[キーワード],用語集[[#This Row],[キーワード]])&gt;1,"!","")</f>
        <v/>
      </c>
      <c r="C400" s="4" t="str">
        <f>IF(用語集[[#This Row],[キーワード]]="","",IF(OR(用語集[[#This Row],[説明]]="",NOT(ISERROR(FIND("★",用語集[[#This Row],[説明]])))),"★","☆"))</f>
        <v/>
      </c>
      <c r="D400" s="5"/>
      <c r="E400" s="3"/>
      <c r="F400" s="3"/>
      <c r="G400" s="4"/>
      <c r="H400" s="4"/>
      <c r="I400" s="7" t="s">
        <v>18</v>
      </c>
      <c r="J400" s="7" t="s">
        <v>18</v>
      </c>
      <c r="K400" s="7" t="s">
        <v>18</v>
      </c>
      <c r="L400" s="7" t="s">
        <v>18</v>
      </c>
      <c r="M400" s="7" t="s">
        <v>18</v>
      </c>
      <c r="N400" s="7" t="s">
        <v>18</v>
      </c>
    </row>
    <row r="401" spans="1:14" s="2" customFormat="1" x14ac:dyDescent="0.15">
      <c r="A401" s="3">
        <v>400</v>
      </c>
      <c r="B401" s="4" t="str">
        <f>IF(COUNTIF(用語集[キーワード],用語集[[#This Row],[キーワード]])&gt;1,"!","")</f>
        <v/>
      </c>
      <c r="C401" s="4" t="str">
        <f>IF(用語集[[#This Row],[キーワード]]="","",IF(OR(用語集[[#This Row],[説明]]="",NOT(ISERROR(FIND("★",用語集[[#This Row],[説明]])))),"★","☆"))</f>
        <v/>
      </c>
      <c r="D401" s="5"/>
      <c r="E401" s="3"/>
      <c r="F401" s="3"/>
      <c r="G401" s="4"/>
      <c r="H401" s="4"/>
      <c r="I401" s="7" t="s">
        <v>18</v>
      </c>
      <c r="J401" s="7" t="s">
        <v>18</v>
      </c>
      <c r="K401" s="7" t="s">
        <v>18</v>
      </c>
      <c r="L401" s="7" t="s">
        <v>18</v>
      </c>
      <c r="M401" s="7" t="s">
        <v>18</v>
      </c>
      <c r="N401" s="7" t="s">
        <v>18</v>
      </c>
    </row>
    <row r="402" spans="1:14" s="2" customFormat="1" x14ac:dyDescent="0.15">
      <c r="A402" s="3">
        <v>401</v>
      </c>
      <c r="B402" s="4" t="str">
        <f>IF(COUNTIF(用語集[キーワード],用語集[[#This Row],[キーワード]])&gt;1,"!","")</f>
        <v/>
      </c>
      <c r="C402" s="4" t="str">
        <f>IF(用語集[[#This Row],[キーワード]]="","",IF(OR(用語集[[#This Row],[説明]]="",NOT(ISERROR(FIND("★",用語集[[#This Row],[説明]])))),"★","☆"))</f>
        <v/>
      </c>
      <c r="D402" s="5"/>
      <c r="E402" s="3"/>
      <c r="F402" s="3"/>
      <c r="G402" s="4"/>
      <c r="H402" s="4"/>
      <c r="I402" s="7" t="s">
        <v>18</v>
      </c>
      <c r="J402" s="7" t="s">
        <v>18</v>
      </c>
      <c r="K402" s="7" t="s">
        <v>18</v>
      </c>
      <c r="L402" s="7" t="s">
        <v>18</v>
      </c>
      <c r="M402" s="7" t="s">
        <v>18</v>
      </c>
      <c r="N402" s="7" t="s">
        <v>18</v>
      </c>
    </row>
    <row r="403" spans="1:14" s="2" customFormat="1" x14ac:dyDescent="0.15">
      <c r="A403" s="3">
        <v>402</v>
      </c>
      <c r="B403" s="4" t="str">
        <f>IF(COUNTIF(用語集[キーワード],用語集[[#This Row],[キーワード]])&gt;1,"!","")</f>
        <v/>
      </c>
      <c r="C403" s="4" t="str">
        <f>IF(用語集[[#This Row],[キーワード]]="","",IF(OR(用語集[[#This Row],[説明]]="",NOT(ISERROR(FIND("★",用語集[[#This Row],[説明]])))),"★","☆"))</f>
        <v/>
      </c>
      <c r="D403" s="5"/>
      <c r="E403" s="3"/>
      <c r="F403" s="3"/>
      <c r="G403" s="4"/>
      <c r="H403" s="4"/>
      <c r="I403" s="7" t="s">
        <v>18</v>
      </c>
      <c r="J403" s="7" t="s">
        <v>18</v>
      </c>
      <c r="K403" s="7" t="s">
        <v>18</v>
      </c>
      <c r="L403" s="7" t="s">
        <v>18</v>
      </c>
      <c r="M403" s="7" t="s">
        <v>18</v>
      </c>
      <c r="N403" s="7" t="s">
        <v>18</v>
      </c>
    </row>
    <row r="404" spans="1:14" s="2" customFormat="1" x14ac:dyDescent="0.15">
      <c r="A404" s="3">
        <v>403</v>
      </c>
      <c r="B404" s="4" t="str">
        <f>IF(COUNTIF(用語集[キーワード],用語集[[#This Row],[キーワード]])&gt;1,"!","")</f>
        <v/>
      </c>
      <c r="C404" s="4" t="str">
        <f>IF(用語集[[#This Row],[キーワード]]="","",IF(OR(用語集[[#This Row],[説明]]="",NOT(ISERROR(FIND("★",用語集[[#This Row],[説明]])))),"★","☆"))</f>
        <v/>
      </c>
      <c r="D404" s="5"/>
      <c r="E404" s="3"/>
      <c r="F404" s="3"/>
      <c r="G404" s="4"/>
      <c r="H404" s="4"/>
      <c r="I404" s="7" t="s">
        <v>18</v>
      </c>
      <c r="J404" s="7" t="s">
        <v>18</v>
      </c>
      <c r="K404" s="7" t="s">
        <v>18</v>
      </c>
      <c r="L404" s="7" t="s">
        <v>18</v>
      </c>
      <c r="M404" s="7" t="s">
        <v>18</v>
      </c>
      <c r="N404" s="7" t="s">
        <v>18</v>
      </c>
    </row>
    <row r="405" spans="1:14" s="2" customFormat="1" x14ac:dyDescent="0.15">
      <c r="A405" s="3">
        <v>404</v>
      </c>
      <c r="B405" s="4" t="str">
        <f>IF(COUNTIF(用語集[キーワード],用語集[[#This Row],[キーワード]])&gt;1,"!","")</f>
        <v/>
      </c>
      <c r="C405" s="4" t="str">
        <f>IF(用語集[[#This Row],[キーワード]]="","",IF(OR(用語集[[#This Row],[説明]]="",NOT(ISERROR(FIND("★",用語集[[#This Row],[説明]])))),"★","☆"))</f>
        <v/>
      </c>
      <c r="D405" s="5"/>
      <c r="E405" s="3"/>
      <c r="F405" s="3"/>
      <c r="G405" s="4"/>
      <c r="H405" s="4"/>
      <c r="I405" s="7" t="s">
        <v>18</v>
      </c>
      <c r="J405" s="7" t="s">
        <v>18</v>
      </c>
      <c r="K405" s="7" t="s">
        <v>18</v>
      </c>
      <c r="L405" s="7" t="s">
        <v>18</v>
      </c>
      <c r="M405" s="7" t="s">
        <v>18</v>
      </c>
      <c r="N405" s="7" t="s">
        <v>18</v>
      </c>
    </row>
    <row r="406" spans="1:14" s="2" customFormat="1" x14ac:dyDescent="0.15">
      <c r="A406" s="3">
        <v>405</v>
      </c>
      <c r="B406" s="4" t="str">
        <f>IF(COUNTIF(用語集[キーワード],用語集[[#This Row],[キーワード]])&gt;1,"!","")</f>
        <v/>
      </c>
      <c r="C406" s="4" t="str">
        <f>IF(用語集[[#This Row],[キーワード]]="","",IF(OR(用語集[[#This Row],[説明]]="",NOT(ISERROR(FIND("★",用語集[[#This Row],[説明]])))),"★","☆"))</f>
        <v/>
      </c>
      <c r="D406" s="5"/>
      <c r="E406" s="3"/>
      <c r="F406" s="3"/>
      <c r="G406" s="4"/>
      <c r="H406" s="4"/>
      <c r="I406" s="7" t="s">
        <v>18</v>
      </c>
      <c r="J406" s="7" t="s">
        <v>18</v>
      </c>
      <c r="K406" s="7" t="s">
        <v>18</v>
      </c>
      <c r="L406" s="7" t="s">
        <v>18</v>
      </c>
      <c r="M406" s="7" t="s">
        <v>18</v>
      </c>
      <c r="N406" s="7" t="s">
        <v>18</v>
      </c>
    </row>
    <row r="407" spans="1:14" s="2" customFormat="1" x14ac:dyDescent="0.15">
      <c r="A407" s="3">
        <v>406</v>
      </c>
      <c r="B407" s="4" t="str">
        <f>IF(COUNTIF(用語集[キーワード],用語集[[#This Row],[キーワード]])&gt;1,"!","")</f>
        <v/>
      </c>
      <c r="C407" s="4" t="str">
        <f>IF(用語集[[#This Row],[キーワード]]="","",IF(OR(用語集[[#This Row],[説明]]="",NOT(ISERROR(FIND("★",用語集[[#This Row],[説明]])))),"★","☆"))</f>
        <v/>
      </c>
      <c r="D407" s="5"/>
      <c r="E407" s="3"/>
      <c r="F407" s="3"/>
      <c r="G407" s="4"/>
      <c r="H407" s="4"/>
      <c r="I407" s="7" t="s">
        <v>18</v>
      </c>
      <c r="J407" s="7" t="s">
        <v>18</v>
      </c>
      <c r="K407" s="7" t="s">
        <v>18</v>
      </c>
      <c r="L407" s="7" t="s">
        <v>18</v>
      </c>
      <c r="M407" s="7" t="s">
        <v>18</v>
      </c>
      <c r="N407" s="7" t="s">
        <v>18</v>
      </c>
    </row>
    <row r="408" spans="1:14" s="2" customFormat="1" x14ac:dyDescent="0.15">
      <c r="A408" s="3">
        <v>407</v>
      </c>
      <c r="B408" s="4" t="str">
        <f>IF(COUNTIF(用語集[キーワード],用語集[[#This Row],[キーワード]])&gt;1,"!","")</f>
        <v/>
      </c>
      <c r="C408" s="4" t="str">
        <f>IF(用語集[[#This Row],[キーワード]]="","",IF(OR(用語集[[#This Row],[説明]]="",NOT(ISERROR(FIND("★",用語集[[#This Row],[説明]])))),"★","☆"))</f>
        <v/>
      </c>
      <c r="D408" s="5"/>
      <c r="E408" s="3"/>
      <c r="F408" s="3"/>
      <c r="G408" s="4"/>
      <c r="H408" s="4"/>
      <c r="I408" s="7" t="s">
        <v>18</v>
      </c>
      <c r="J408" s="7" t="s">
        <v>18</v>
      </c>
      <c r="K408" s="7" t="s">
        <v>18</v>
      </c>
      <c r="L408" s="7" t="s">
        <v>18</v>
      </c>
      <c r="M408" s="7" t="s">
        <v>18</v>
      </c>
      <c r="N408" s="7" t="s">
        <v>18</v>
      </c>
    </row>
    <row r="409" spans="1:14" s="2" customFormat="1" x14ac:dyDescent="0.15">
      <c r="A409" s="3">
        <v>408</v>
      </c>
      <c r="B409" s="4" t="str">
        <f>IF(COUNTIF(用語集[キーワード],用語集[[#This Row],[キーワード]])&gt;1,"!","")</f>
        <v/>
      </c>
      <c r="C409" s="4" t="str">
        <f>IF(用語集[[#This Row],[キーワード]]="","",IF(OR(用語集[[#This Row],[説明]]="",NOT(ISERROR(FIND("★",用語集[[#This Row],[説明]])))),"★","☆"))</f>
        <v/>
      </c>
      <c r="D409" s="5"/>
      <c r="E409" s="3"/>
      <c r="F409" s="3"/>
      <c r="G409" s="4"/>
      <c r="H409" s="4"/>
      <c r="I409" s="7" t="s">
        <v>18</v>
      </c>
      <c r="J409" s="7" t="s">
        <v>18</v>
      </c>
      <c r="K409" s="7" t="s">
        <v>18</v>
      </c>
      <c r="L409" s="7" t="s">
        <v>18</v>
      </c>
      <c r="M409" s="7" t="s">
        <v>18</v>
      </c>
      <c r="N409" s="7" t="s">
        <v>18</v>
      </c>
    </row>
    <row r="410" spans="1:14" s="2" customFormat="1" x14ac:dyDescent="0.15">
      <c r="A410" s="3">
        <v>409</v>
      </c>
      <c r="B410" s="4" t="str">
        <f>IF(COUNTIF(用語集[キーワード],用語集[[#This Row],[キーワード]])&gt;1,"!","")</f>
        <v/>
      </c>
      <c r="C410" s="4" t="str">
        <f>IF(用語集[[#This Row],[キーワード]]="","",IF(OR(用語集[[#This Row],[説明]]="",NOT(ISERROR(FIND("★",用語集[[#This Row],[説明]])))),"★","☆"))</f>
        <v/>
      </c>
      <c r="D410" s="5"/>
      <c r="E410" s="3"/>
      <c r="F410" s="3"/>
      <c r="G410" s="4"/>
      <c r="H410" s="4"/>
      <c r="I410" s="7" t="s">
        <v>18</v>
      </c>
      <c r="J410" s="7" t="s">
        <v>18</v>
      </c>
      <c r="K410" s="7" t="s">
        <v>18</v>
      </c>
      <c r="L410" s="7" t="s">
        <v>18</v>
      </c>
      <c r="M410" s="7" t="s">
        <v>18</v>
      </c>
      <c r="N410" s="7" t="s">
        <v>18</v>
      </c>
    </row>
    <row r="411" spans="1:14" s="2" customFormat="1" x14ac:dyDescent="0.15">
      <c r="A411" s="3">
        <v>410</v>
      </c>
      <c r="B411" s="4" t="str">
        <f>IF(COUNTIF(用語集[キーワード],用語集[[#This Row],[キーワード]])&gt;1,"!","")</f>
        <v/>
      </c>
      <c r="C411" s="4" t="str">
        <f>IF(用語集[[#This Row],[キーワード]]="","",IF(OR(用語集[[#This Row],[説明]]="",NOT(ISERROR(FIND("★",用語集[[#This Row],[説明]])))),"★","☆"))</f>
        <v/>
      </c>
      <c r="D411" s="5"/>
      <c r="E411" s="3"/>
      <c r="F411" s="3"/>
      <c r="G411" s="4"/>
      <c r="H411" s="4"/>
      <c r="I411" s="7" t="s">
        <v>18</v>
      </c>
      <c r="J411" s="7" t="s">
        <v>18</v>
      </c>
      <c r="K411" s="7" t="s">
        <v>18</v>
      </c>
      <c r="L411" s="7" t="s">
        <v>18</v>
      </c>
      <c r="M411" s="7" t="s">
        <v>18</v>
      </c>
      <c r="N411" s="7" t="s">
        <v>18</v>
      </c>
    </row>
    <row r="412" spans="1:14" s="2" customFormat="1" x14ac:dyDescent="0.15">
      <c r="A412" s="3">
        <v>411</v>
      </c>
      <c r="B412" s="4" t="str">
        <f>IF(COUNTIF(用語集[キーワード],用語集[[#This Row],[キーワード]])&gt;1,"!","")</f>
        <v/>
      </c>
      <c r="C412" s="4" t="str">
        <f>IF(用語集[[#This Row],[キーワード]]="","",IF(OR(用語集[[#This Row],[説明]]="",NOT(ISERROR(FIND("★",用語集[[#This Row],[説明]])))),"★","☆"))</f>
        <v/>
      </c>
      <c r="D412" s="5"/>
      <c r="E412" s="3"/>
      <c r="F412" s="3"/>
      <c r="G412" s="4"/>
      <c r="H412" s="4"/>
      <c r="I412" s="7" t="s">
        <v>18</v>
      </c>
      <c r="J412" s="7" t="s">
        <v>18</v>
      </c>
      <c r="K412" s="7" t="s">
        <v>18</v>
      </c>
      <c r="L412" s="7" t="s">
        <v>18</v>
      </c>
      <c r="M412" s="7" t="s">
        <v>18</v>
      </c>
      <c r="N412" s="7" t="s">
        <v>18</v>
      </c>
    </row>
    <row r="413" spans="1:14" s="2" customFormat="1" x14ac:dyDescent="0.15">
      <c r="A413" s="3">
        <v>412</v>
      </c>
      <c r="B413" s="4" t="str">
        <f>IF(COUNTIF(用語集[キーワード],用語集[[#This Row],[キーワード]])&gt;1,"!","")</f>
        <v/>
      </c>
      <c r="C413" s="4" t="str">
        <f>IF(用語集[[#This Row],[キーワード]]="","",IF(OR(用語集[[#This Row],[説明]]="",NOT(ISERROR(FIND("★",用語集[[#This Row],[説明]])))),"★","☆"))</f>
        <v/>
      </c>
      <c r="D413" s="5"/>
      <c r="E413" s="3"/>
      <c r="F413" s="3"/>
      <c r="G413" s="4"/>
      <c r="H413" s="4"/>
      <c r="I413" s="7" t="s">
        <v>18</v>
      </c>
      <c r="J413" s="7" t="s">
        <v>18</v>
      </c>
      <c r="K413" s="7" t="s">
        <v>18</v>
      </c>
      <c r="L413" s="7" t="s">
        <v>18</v>
      </c>
      <c r="M413" s="7" t="s">
        <v>18</v>
      </c>
      <c r="N413" s="7" t="s">
        <v>18</v>
      </c>
    </row>
    <row r="414" spans="1:14" s="2" customFormat="1" x14ac:dyDescent="0.15">
      <c r="A414" s="3">
        <v>413</v>
      </c>
      <c r="B414" s="4" t="str">
        <f>IF(COUNTIF(用語集[キーワード],用語集[[#This Row],[キーワード]])&gt;1,"!","")</f>
        <v/>
      </c>
      <c r="C414" s="4" t="str">
        <f>IF(用語集[[#This Row],[キーワード]]="","",IF(OR(用語集[[#This Row],[説明]]="",NOT(ISERROR(FIND("★",用語集[[#This Row],[説明]])))),"★","☆"))</f>
        <v/>
      </c>
      <c r="D414" s="5"/>
      <c r="E414" s="3"/>
      <c r="F414" s="3"/>
      <c r="G414" s="4"/>
      <c r="H414" s="4"/>
      <c r="I414" s="7" t="s">
        <v>18</v>
      </c>
      <c r="J414" s="7" t="s">
        <v>18</v>
      </c>
      <c r="K414" s="7" t="s">
        <v>18</v>
      </c>
      <c r="L414" s="7" t="s">
        <v>18</v>
      </c>
      <c r="M414" s="7" t="s">
        <v>18</v>
      </c>
      <c r="N414" s="7" t="s">
        <v>18</v>
      </c>
    </row>
    <row r="415" spans="1:14" s="2" customFormat="1" x14ac:dyDescent="0.15">
      <c r="A415" s="3">
        <v>414</v>
      </c>
      <c r="B415" s="4" t="str">
        <f>IF(COUNTIF(用語集[キーワード],用語集[[#This Row],[キーワード]])&gt;1,"!","")</f>
        <v/>
      </c>
      <c r="C415" s="4" t="str">
        <f>IF(用語集[[#This Row],[キーワード]]="","",IF(OR(用語集[[#This Row],[説明]]="",NOT(ISERROR(FIND("★",用語集[[#This Row],[説明]])))),"★","☆"))</f>
        <v/>
      </c>
      <c r="D415" s="5"/>
      <c r="E415" s="3"/>
      <c r="F415" s="3"/>
      <c r="G415" s="4"/>
      <c r="H415" s="4"/>
      <c r="I415" s="7" t="s">
        <v>18</v>
      </c>
      <c r="J415" s="7" t="s">
        <v>18</v>
      </c>
      <c r="K415" s="7" t="s">
        <v>18</v>
      </c>
      <c r="L415" s="7" t="s">
        <v>18</v>
      </c>
      <c r="M415" s="7" t="s">
        <v>18</v>
      </c>
      <c r="N415" s="7" t="s">
        <v>18</v>
      </c>
    </row>
    <row r="416" spans="1:14" s="2" customFormat="1" x14ac:dyDescent="0.15">
      <c r="A416" s="3">
        <v>415</v>
      </c>
      <c r="B416" s="4" t="str">
        <f>IF(COUNTIF(用語集[キーワード],用語集[[#This Row],[キーワード]])&gt;1,"!","")</f>
        <v/>
      </c>
      <c r="C416" s="4" t="str">
        <f>IF(用語集[[#This Row],[キーワード]]="","",IF(OR(用語集[[#This Row],[説明]]="",NOT(ISERROR(FIND("★",用語集[[#This Row],[説明]])))),"★","☆"))</f>
        <v/>
      </c>
      <c r="D416" s="5"/>
      <c r="E416" s="3"/>
      <c r="F416" s="3"/>
      <c r="G416" s="4"/>
      <c r="H416" s="4"/>
      <c r="I416" s="7" t="s">
        <v>18</v>
      </c>
      <c r="J416" s="7" t="s">
        <v>18</v>
      </c>
      <c r="K416" s="7" t="s">
        <v>18</v>
      </c>
      <c r="L416" s="7" t="s">
        <v>18</v>
      </c>
      <c r="M416" s="7" t="s">
        <v>18</v>
      </c>
      <c r="N416" s="7" t="s">
        <v>18</v>
      </c>
    </row>
    <row r="417" spans="1:14" s="2" customFormat="1" x14ac:dyDescent="0.15">
      <c r="A417" s="3">
        <v>416</v>
      </c>
      <c r="B417" s="4" t="str">
        <f>IF(COUNTIF(用語集[キーワード],用語集[[#This Row],[キーワード]])&gt;1,"!","")</f>
        <v/>
      </c>
      <c r="C417" s="4" t="str">
        <f>IF(用語集[[#This Row],[キーワード]]="","",IF(OR(用語集[[#This Row],[説明]]="",NOT(ISERROR(FIND("★",用語集[[#This Row],[説明]])))),"★","☆"))</f>
        <v/>
      </c>
      <c r="D417" s="5"/>
      <c r="E417" s="3"/>
      <c r="F417" s="3"/>
      <c r="G417" s="4"/>
      <c r="H417" s="4"/>
      <c r="I417" s="7" t="s">
        <v>18</v>
      </c>
      <c r="J417" s="7" t="s">
        <v>18</v>
      </c>
      <c r="K417" s="7" t="s">
        <v>18</v>
      </c>
      <c r="L417" s="7" t="s">
        <v>18</v>
      </c>
      <c r="M417" s="7" t="s">
        <v>18</v>
      </c>
      <c r="N417" s="7" t="s">
        <v>18</v>
      </c>
    </row>
    <row r="418" spans="1:14" s="2" customFormat="1" x14ac:dyDescent="0.15">
      <c r="A418" s="3">
        <v>417</v>
      </c>
      <c r="B418" s="4" t="str">
        <f>IF(COUNTIF(用語集[キーワード],用語集[[#This Row],[キーワード]])&gt;1,"!","")</f>
        <v/>
      </c>
      <c r="C418" s="4" t="str">
        <f>IF(用語集[[#This Row],[キーワード]]="","",IF(OR(用語集[[#This Row],[説明]]="",NOT(ISERROR(FIND("★",用語集[[#This Row],[説明]])))),"★","☆"))</f>
        <v/>
      </c>
      <c r="D418" s="5"/>
      <c r="E418" s="3"/>
      <c r="F418" s="3"/>
      <c r="G418" s="4"/>
      <c r="H418" s="4"/>
      <c r="I418" s="7" t="s">
        <v>18</v>
      </c>
      <c r="J418" s="7" t="s">
        <v>18</v>
      </c>
      <c r="K418" s="7" t="s">
        <v>18</v>
      </c>
      <c r="L418" s="7" t="s">
        <v>18</v>
      </c>
      <c r="M418" s="7" t="s">
        <v>18</v>
      </c>
      <c r="N418" s="7" t="s">
        <v>18</v>
      </c>
    </row>
    <row r="419" spans="1:14" s="2" customFormat="1" x14ac:dyDescent="0.15">
      <c r="A419" s="3">
        <v>418</v>
      </c>
      <c r="B419" s="4" t="str">
        <f>IF(COUNTIF(用語集[キーワード],用語集[[#This Row],[キーワード]])&gt;1,"!","")</f>
        <v/>
      </c>
      <c r="C419" s="4" t="str">
        <f>IF(用語集[[#This Row],[キーワード]]="","",IF(OR(用語集[[#This Row],[説明]]="",NOT(ISERROR(FIND("★",用語集[[#This Row],[説明]])))),"★","☆"))</f>
        <v/>
      </c>
      <c r="D419" s="5"/>
      <c r="E419" s="3"/>
      <c r="F419" s="3"/>
      <c r="G419" s="4"/>
      <c r="H419" s="4"/>
      <c r="I419" s="7" t="s">
        <v>18</v>
      </c>
      <c r="J419" s="7" t="s">
        <v>18</v>
      </c>
      <c r="K419" s="7" t="s">
        <v>18</v>
      </c>
      <c r="L419" s="7" t="s">
        <v>18</v>
      </c>
      <c r="M419" s="7" t="s">
        <v>18</v>
      </c>
      <c r="N419" s="7" t="s">
        <v>18</v>
      </c>
    </row>
    <row r="420" spans="1:14" s="2" customFormat="1" x14ac:dyDescent="0.15">
      <c r="A420" s="3">
        <v>419</v>
      </c>
      <c r="B420" s="4" t="str">
        <f>IF(COUNTIF(用語集[キーワード],用語集[[#This Row],[キーワード]])&gt;1,"!","")</f>
        <v/>
      </c>
      <c r="C420" s="4" t="str">
        <f>IF(用語集[[#This Row],[キーワード]]="","",IF(OR(用語集[[#This Row],[説明]]="",NOT(ISERROR(FIND("★",用語集[[#This Row],[説明]])))),"★","☆"))</f>
        <v/>
      </c>
      <c r="D420" s="5"/>
      <c r="E420" s="3"/>
      <c r="F420" s="3"/>
      <c r="G420" s="4"/>
      <c r="H420" s="4"/>
      <c r="I420" s="7" t="s">
        <v>18</v>
      </c>
      <c r="J420" s="7" t="s">
        <v>18</v>
      </c>
      <c r="K420" s="7" t="s">
        <v>18</v>
      </c>
      <c r="L420" s="7" t="s">
        <v>18</v>
      </c>
      <c r="M420" s="7" t="s">
        <v>18</v>
      </c>
      <c r="N420" s="7" t="s">
        <v>18</v>
      </c>
    </row>
    <row r="421" spans="1:14" s="2" customFormat="1" x14ac:dyDescent="0.15">
      <c r="A421" s="3">
        <v>420</v>
      </c>
      <c r="B421" s="4" t="str">
        <f>IF(COUNTIF(用語集[キーワード],用語集[[#This Row],[キーワード]])&gt;1,"!","")</f>
        <v/>
      </c>
      <c r="C421" s="4" t="str">
        <f>IF(用語集[[#This Row],[キーワード]]="","",IF(OR(用語集[[#This Row],[説明]]="",NOT(ISERROR(FIND("★",用語集[[#This Row],[説明]])))),"★","☆"))</f>
        <v/>
      </c>
      <c r="D421" s="5"/>
      <c r="E421" s="3"/>
      <c r="F421" s="3"/>
      <c r="G421" s="4"/>
      <c r="H421" s="4"/>
      <c r="I421" s="7" t="s">
        <v>18</v>
      </c>
      <c r="J421" s="7" t="s">
        <v>18</v>
      </c>
      <c r="K421" s="7" t="s">
        <v>18</v>
      </c>
      <c r="L421" s="7" t="s">
        <v>18</v>
      </c>
      <c r="M421" s="7" t="s">
        <v>18</v>
      </c>
      <c r="N421" s="7" t="s">
        <v>18</v>
      </c>
    </row>
    <row r="422" spans="1:14" s="2" customFormat="1" x14ac:dyDescent="0.15">
      <c r="A422" s="3">
        <v>421</v>
      </c>
      <c r="B422" s="4" t="str">
        <f>IF(COUNTIF(用語集[キーワード],用語集[[#This Row],[キーワード]])&gt;1,"!","")</f>
        <v/>
      </c>
      <c r="C422" s="4" t="str">
        <f>IF(用語集[[#This Row],[キーワード]]="","",IF(OR(用語集[[#This Row],[説明]]="",NOT(ISERROR(FIND("★",用語集[[#This Row],[説明]])))),"★","☆"))</f>
        <v/>
      </c>
      <c r="D422" s="5"/>
      <c r="E422" s="3"/>
      <c r="F422" s="3"/>
      <c r="G422" s="4"/>
      <c r="H422" s="4"/>
      <c r="I422" s="7" t="s">
        <v>18</v>
      </c>
      <c r="J422" s="7" t="s">
        <v>18</v>
      </c>
      <c r="K422" s="7" t="s">
        <v>18</v>
      </c>
      <c r="L422" s="7" t="s">
        <v>18</v>
      </c>
      <c r="M422" s="7" t="s">
        <v>18</v>
      </c>
      <c r="N422" s="7" t="s">
        <v>18</v>
      </c>
    </row>
    <row r="423" spans="1:14" s="2" customFormat="1" x14ac:dyDescent="0.15">
      <c r="A423" s="3">
        <v>422</v>
      </c>
      <c r="B423" s="4" t="str">
        <f>IF(COUNTIF(用語集[キーワード],用語集[[#This Row],[キーワード]])&gt;1,"!","")</f>
        <v/>
      </c>
      <c r="C423" s="4" t="str">
        <f>IF(用語集[[#This Row],[キーワード]]="","",IF(OR(用語集[[#This Row],[説明]]="",NOT(ISERROR(FIND("★",用語集[[#This Row],[説明]])))),"★","☆"))</f>
        <v/>
      </c>
      <c r="D423" s="5"/>
      <c r="E423" s="3"/>
      <c r="F423" s="3"/>
      <c r="G423" s="4"/>
      <c r="H423" s="4"/>
      <c r="I423" s="7" t="s">
        <v>18</v>
      </c>
      <c r="J423" s="7" t="s">
        <v>18</v>
      </c>
      <c r="K423" s="7" t="s">
        <v>18</v>
      </c>
      <c r="L423" s="7" t="s">
        <v>18</v>
      </c>
      <c r="M423" s="7" t="s">
        <v>18</v>
      </c>
      <c r="N423" s="7" t="s">
        <v>18</v>
      </c>
    </row>
    <row r="424" spans="1:14" s="2" customFormat="1" x14ac:dyDescent="0.15">
      <c r="A424" s="3">
        <v>423</v>
      </c>
      <c r="B424" s="4" t="str">
        <f>IF(COUNTIF(用語集[キーワード],用語集[[#This Row],[キーワード]])&gt;1,"!","")</f>
        <v/>
      </c>
      <c r="C424" s="4" t="str">
        <f>IF(用語集[[#This Row],[キーワード]]="","",IF(OR(用語集[[#This Row],[説明]]="",NOT(ISERROR(FIND("★",用語集[[#This Row],[説明]])))),"★","☆"))</f>
        <v/>
      </c>
      <c r="D424" s="5"/>
      <c r="E424" s="3"/>
      <c r="F424" s="3"/>
      <c r="G424" s="4"/>
      <c r="H424" s="4"/>
      <c r="I424" s="7" t="s">
        <v>18</v>
      </c>
      <c r="J424" s="7" t="s">
        <v>18</v>
      </c>
      <c r="K424" s="7" t="s">
        <v>18</v>
      </c>
      <c r="L424" s="7" t="s">
        <v>18</v>
      </c>
      <c r="M424" s="7" t="s">
        <v>18</v>
      </c>
      <c r="N424" s="7" t="s">
        <v>18</v>
      </c>
    </row>
    <row r="425" spans="1:14" s="2" customFormat="1" x14ac:dyDescent="0.15">
      <c r="A425" s="3">
        <v>424</v>
      </c>
      <c r="B425" s="4" t="str">
        <f>IF(COUNTIF(用語集[キーワード],用語集[[#This Row],[キーワード]])&gt;1,"!","")</f>
        <v/>
      </c>
      <c r="C425" s="4" t="str">
        <f>IF(用語集[[#This Row],[キーワード]]="","",IF(OR(用語集[[#This Row],[説明]]="",NOT(ISERROR(FIND("★",用語集[[#This Row],[説明]])))),"★","☆"))</f>
        <v/>
      </c>
      <c r="D425" s="5"/>
      <c r="E425" s="3"/>
      <c r="F425" s="3"/>
      <c r="G425" s="4"/>
      <c r="H425" s="4"/>
      <c r="I425" s="7" t="s">
        <v>18</v>
      </c>
      <c r="J425" s="7" t="s">
        <v>18</v>
      </c>
      <c r="K425" s="7" t="s">
        <v>18</v>
      </c>
      <c r="L425" s="7" t="s">
        <v>18</v>
      </c>
      <c r="M425" s="7" t="s">
        <v>18</v>
      </c>
      <c r="N425" s="7" t="s">
        <v>18</v>
      </c>
    </row>
    <row r="426" spans="1:14" s="2" customFormat="1" x14ac:dyDescent="0.15">
      <c r="A426" s="3">
        <v>425</v>
      </c>
      <c r="B426" s="4" t="str">
        <f>IF(COUNTIF(用語集[キーワード],用語集[[#This Row],[キーワード]])&gt;1,"!","")</f>
        <v/>
      </c>
      <c r="C426" s="4" t="str">
        <f>IF(用語集[[#This Row],[キーワード]]="","",IF(OR(用語集[[#This Row],[説明]]="",NOT(ISERROR(FIND("★",用語集[[#This Row],[説明]])))),"★","☆"))</f>
        <v/>
      </c>
      <c r="D426" s="5"/>
      <c r="E426" s="3"/>
      <c r="F426" s="3"/>
      <c r="G426" s="4"/>
      <c r="H426" s="4"/>
      <c r="I426" s="7" t="s">
        <v>18</v>
      </c>
      <c r="J426" s="7" t="s">
        <v>18</v>
      </c>
      <c r="K426" s="7" t="s">
        <v>18</v>
      </c>
      <c r="L426" s="7" t="s">
        <v>18</v>
      </c>
      <c r="M426" s="7" t="s">
        <v>18</v>
      </c>
      <c r="N426" s="7" t="s">
        <v>18</v>
      </c>
    </row>
    <row r="427" spans="1:14" s="2" customFormat="1" x14ac:dyDescent="0.15">
      <c r="A427" s="3">
        <v>426</v>
      </c>
      <c r="B427" s="4" t="str">
        <f>IF(COUNTIF(用語集[キーワード],用語集[[#This Row],[キーワード]])&gt;1,"!","")</f>
        <v/>
      </c>
      <c r="C427" s="4" t="str">
        <f>IF(用語集[[#This Row],[キーワード]]="","",IF(OR(用語集[[#This Row],[説明]]="",NOT(ISERROR(FIND("★",用語集[[#This Row],[説明]])))),"★","☆"))</f>
        <v/>
      </c>
      <c r="D427" s="5"/>
      <c r="E427" s="3"/>
      <c r="F427" s="3"/>
      <c r="G427" s="4"/>
      <c r="H427" s="4"/>
      <c r="I427" s="7" t="s">
        <v>18</v>
      </c>
      <c r="J427" s="7" t="s">
        <v>18</v>
      </c>
      <c r="K427" s="7" t="s">
        <v>18</v>
      </c>
      <c r="L427" s="7" t="s">
        <v>18</v>
      </c>
      <c r="M427" s="7" t="s">
        <v>18</v>
      </c>
      <c r="N427" s="7" t="s">
        <v>18</v>
      </c>
    </row>
    <row r="428" spans="1:14" s="2" customFormat="1" x14ac:dyDescent="0.15">
      <c r="A428" s="3">
        <v>427</v>
      </c>
      <c r="B428" s="4" t="str">
        <f>IF(COUNTIF(用語集[キーワード],用語集[[#This Row],[キーワード]])&gt;1,"!","")</f>
        <v/>
      </c>
      <c r="C428" s="4" t="str">
        <f>IF(用語集[[#This Row],[キーワード]]="","",IF(OR(用語集[[#This Row],[説明]]="",NOT(ISERROR(FIND("★",用語集[[#This Row],[説明]])))),"★","☆"))</f>
        <v/>
      </c>
      <c r="D428" s="5"/>
      <c r="E428" s="3"/>
      <c r="F428" s="3"/>
      <c r="G428" s="4"/>
      <c r="H428" s="4"/>
      <c r="I428" s="7" t="s">
        <v>18</v>
      </c>
      <c r="J428" s="7" t="s">
        <v>18</v>
      </c>
      <c r="K428" s="7" t="s">
        <v>18</v>
      </c>
      <c r="L428" s="7" t="s">
        <v>18</v>
      </c>
      <c r="M428" s="7" t="s">
        <v>18</v>
      </c>
      <c r="N428" s="7" t="s">
        <v>18</v>
      </c>
    </row>
    <row r="429" spans="1:14" s="2" customFormat="1" x14ac:dyDescent="0.15">
      <c r="A429" s="3">
        <v>428</v>
      </c>
      <c r="B429" s="4" t="str">
        <f>IF(COUNTIF(用語集[キーワード],用語集[[#This Row],[キーワード]])&gt;1,"!","")</f>
        <v/>
      </c>
      <c r="C429" s="4" t="str">
        <f>IF(用語集[[#This Row],[キーワード]]="","",IF(OR(用語集[[#This Row],[説明]]="",NOT(ISERROR(FIND("★",用語集[[#This Row],[説明]])))),"★","☆"))</f>
        <v/>
      </c>
      <c r="D429" s="5"/>
      <c r="E429" s="3"/>
      <c r="F429" s="3"/>
      <c r="G429" s="4"/>
      <c r="H429" s="4"/>
      <c r="I429" s="7" t="s">
        <v>18</v>
      </c>
      <c r="J429" s="7" t="s">
        <v>18</v>
      </c>
      <c r="K429" s="7" t="s">
        <v>18</v>
      </c>
      <c r="L429" s="7" t="s">
        <v>18</v>
      </c>
      <c r="M429" s="7" t="s">
        <v>18</v>
      </c>
      <c r="N429" s="7" t="s">
        <v>18</v>
      </c>
    </row>
    <row r="430" spans="1:14" s="2" customFormat="1" x14ac:dyDescent="0.15">
      <c r="A430" s="3">
        <v>429</v>
      </c>
      <c r="B430" s="4" t="str">
        <f>IF(COUNTIF(用語集[キーワード],用語集[[#This Row],[キーワード]])&gt;1,"!","")</f>
        <v/>
      </c>
      <c r="C430" s="4" t="str">
        <f>IF(用語集[[#This Row],[キーワード]]="","",IF(OR(用語集[[#This Row],[説明]]="",NOT(ISERROR(FIND("★",用語集[[#This Row],[説明]])))),"★","☆"))</f>
        <v/>
      </c>
      <c r="D430" s="5"/>
      <c r="E430" s="3"/>
      <c r="F430" s="3"/>
      <c r="G430" s="4"/>
      <c r="H430" s="4"/>
      <c r="I430" s="7" t="s">
        <v>18</v>
      </c>
      <c r="J430" s="7" t="s">
        <v>18</v>
      </c>
      <c r="K430" s="7" t="s">
        <v>18</v>
      </c>
      <c r="L430" s="7" t="s">
        <v>18</v>
      </c>
      <c r="M430" s="7" t="s">
        <v>18</v>
      </c>
      <c r="N430" s="7" t="s">
        <v>18</v>
      </c>
    </row>
    <row r="431" spans="1:14" s="2" customFormat="1" x14ac:dyDescent="0.15">
      <c r="A431" s="3">
        <v>430</v>
      </c>
      <c r="B431" s="4" t="str">
        <f>IF(COUNTIF(用語集[キーワード],用語集[[#This Row],[キーワード]])&gt;1,"!","")</f>
        <v/>
      </c>
      <c r="C431" s="4" t="str">
        <f>IF(用語集[[#This Row],[キーワード]]="","",IF(OR(用語集[[#This Row],[説明]]="",NOT(ISERROR(FIND("★",用語集[[#This Row],[説明]])))),"★","☆"))</f>
        <v/>
      </c>
      <c r="D431" s="5"/>
      <c r="E431" s="3"/>
      <c r="F431" s="3"/>
      <c r="G431" s="4"/>
      <c r="H431" s="4"/>
      <c r="I431" s="7" t="s">
        <v>18</v>
      </c>
      <c r="J431" s="7" t="s">
        <v>18</v>
      </c>
      <c r="K431" s="7" t="s">
        <v>18</v>
      </c>
      <c r="L431" s="7" t="s">
        <v>18</v>
      </c>
      <c r="M431" s="7" t="s">
        <v>18</v>
      </c>
      <c r="N431" s="7" t="s">
        <v>18</v>
      </c>
    </row>
    <row r="432" spans="1:14" s="2" customFormat="1" x14ac:dyDescent="0.15">
      <c r="A432" s="3">
        <v>431</v>
      </c>
      <c r="B432" s="4" t="str">
        <f>IF(COUNTIF(用語集[キーワード],用語集[[#This Row],[キーワード]])&gt;1,"!","")</f>
        <v/>
      </c>
      <c r="C432" s="4" t="str">
        <f>IF(用語集[[#This Row],[キーワード]]="","",IF(OR(用語集[[#This Row],[説明]]="",NOT(ISERROR(FIND("★",用語集[[#This Row],[説明]])))),"★","☆"))</f>
        <v/>
      </c>
      <c r="D432" s="5"/>
      <c r="E432" s="3"/>
      <c r="F432" s="3"/>
      <c r="G432" s="4"/>
      <c r="H432" s="4"/>
      <c r="I432" s="7" t="s">
        <v>18</v>
      </c>
      <c r="J432" s="7" t="s">
        <v>18</v>
      </c>
      <c r="K432" s="7" t="s">
        <v>18</v>
      </c>
      <c r="L432" s="7" t="s">
        <v>18</v>
      </c>
      <c r="M432" s="7" t="s">
        <v>18</v>
      </c>
      <c r="N432" s="7" t="s">
        <v>18</v>
      </c>
    </row>
    <row r="433" spans="1:14" s="2" customFormat="1" x14ac:dyDescent="0.15">
      <c r="A433" s="3">
        <v>432</v>
      </c>
      <c r="B433" s="4" t="str">
        <f>IF(COUNTIF(用語集[キーワード],用語集[[#This Row],[キーワード]])&gt;1,"!","")</f>
        <v/>
      </c>
      <c r="C433" s="4" t="str">
        <f>IF(用語集[[#This Row],[キーワード]]="","",IF(OR(用語集[[#This Row],[説明]]="",NOT(ISERROR(FIND("★",用語集[[#This Row],[説明]])))),"★","☆"))</f>
        <v/>
      </c>
      <c r="D433" s="5"/>
      <c r="E433" s="3"/>
      <c r="F433" s="3"/>
      <c r="G433" s="4"/>
      <c r="H433" s="4"/>
      <c r="I433" s="7" t="s">
        <v>18</v>
      </c>
      <c r="J433" s="7" t="s">
        <v>18</v>
      </c>
      <c r="K433" s="7" t="s">
        <v>18</v>
      </c>
      <c r="L433" s="7" t="s">
        <v>18</v>
      </c>
      <c r="M433" s="7" t="s">
        <v>18</v>
      </c>
      <c r="N433" s="7" t="s">
        <v>18</v>
      </c>
    </row>
    <row r="434" spans="1:14" s="2" customFormat="1" x14ac:dyDescent="0.15">
      <c r="A434" s="3">
        <v>433</v>
      </c>
      <c r="B434" s="4" t="str">
        <f>IF(COUNTIF(用語集[キーワード],用語集[[#This Row],[キーワード]])&gt;1,"!","")</f>
        <v/>
      </c>
      <c r="C434" s="4" t="str">
        <f>IF(用語集[[#This Row],[キーワード]]="","",IF(OR(用語集[[#This Row],[説明]]="",NOT(ISERROR(FIND("★",用語集[[#This Row],[説明]])))),"★","☆"))</f>
        <v/>
      </c>
      <c r="D434" s="5"/>
      <c r="E434" s="3"/>
      <c r="F434" s="3"/>
      <c r="G434" s="4"/>
      <c r="H434" s="4"/>
      <c r="I434" s="7" t="s">
        <v>18</v>
      </c>
      <c r="J434" s="7" t="s">
        <v>18</v>
      </c>
      <c r="K434" s="7" t="s">
        <v>18</v>
      </c>
      <c r="L434" s="7" t="s">
        <v>18</v>
      </c>
      <c r="M434" s="7" t="s">
        <v>18</v>
      </c>
      <c r="N434" s="7" t="s">
        <v>18</v>
      </c>
    </row>
    <row r="435" spans="1:14" s="2" customFormat="1" x14ac:dyDescent="0.15">
      <c r="A435" s="3">
        <v>434</v>
      </c>
      <c r="B435" s="4" t="str">
        <f>IF(COUNTIF(用語集[キーワード],用語集[[#This Row],[キーワード]])&gt;1,"!","")</f>
        <v/>
      </c>
      <c r="C435" s="4" t="str">
        <f>IF(用語集[[#This Row],[キーワード]]="","",IF(OR(用語集[[#This Row],[説明]]="",NOT(ISERROR(FIND("★",用語集[[#This Row],[説明]])))),"★","☆"))</f>
        <v/>
      </c>
      <c r="D435" s="5"/>
      <c r="E435" s="3"/>
      <c r="F435" s="3"/>
      <c r="G435" s="4"/>
      <c r="H435" s="4"/>
      <c r="I435" s="7" t="s">
        <v>18</v>
      </c>
      <c r="J435" s="7" t="s">
        <v>18</v>
      </c>
      <c r="K435" s="7" t="s">
        <v>18</v>
      </c>
      <c r="L435" s="7" t="s">
        <v>18</v>
      </c>
      <c r="M435" s="7" t="s">
        <v>18</v>
      </c>
      <c r="N435" s="7" t="s">
        <v>18</v>
      </c>
    </row>
    <row r="436" spans="1:14" s="2" customFormat="1" x14ac:dyDescent="0.15">
      <c r="A436" s="3">
        <v>435</v>
      </c>
      <c r="B436" s="4" t="str">
        <f>IF(COUNTIF(用語集[キーワード],用語集[[#This Row],[キーワード]])&gt;1,"!","")</f>
        <v/>
      </c>
      <c r="C436" s="4" t="str">
        <f>IF(用語集[[#This Row],[キーワード]]="","",IF(OR(用語集[[#This Row],[説明]]="",NOT(ISERROR(FIND("★",用語集[[#This Row],[説明]])))),"★","☆"))</f>
        <v/>
      </c>
      <c r="D436" s="5"/>
      <c r="E436" s="3"/>
      <c r="F436" s="3"/>
      <c r="G436" s="4"/>
      <c r="H436" s="4"/>
      <c r="I436" s="7" t="s">
        <v>18</v>
      </c>
      <c r="J436" s="7" t="s">
        <v>18</v>
      </c>
      <c r="K436" s="7" t="s">
        <v>18</v>
      </c>
      <c r="L436" s="7" t="s">
        <v>18</v>
      </c>
      <c r="M436" s="7" t="s">
        <v>18</v>
      </c>
      <c r="N436" s="7" t="s">
        <v>18</v>
      </c>
    </row>
    <row r="437" spans="1:14" s="2" customFormat="1" x14ac:dyDescent="0.15">
      <c r="A437" s="3">
        <v>436</v>
      </c>
      <c r="B437" s="4" t="str">
        <f>IF(COUNTIF(用語集[キーワード],用語集[[#This Row],[キーワード]])&gt;1,"!","")</f>
        <v/>
      </c>
      <c r="C437" s="4" t="str">
        <f>IF(用語集[[#This Row],[キーワード]]="","",IF(OR(用語集[[#This Row],[説明]]="",NOT(ISERROR(FIND("★",用語集[[#This Row],[説明]])))),"★","☆"))</f>
        <v/>
      </c>
      <c r="D437" s="5"/>
      <c r="E437" s="3"/>
      <c r="F437" s="3"/>
      <c r="G437" s="4"/>
      <c r="H437" s="4"/>
      <c r="I437" s="7" t="s">
        <v>18</v>
      </c>
      <c r="J437" s="7" t="s">
        <v>18</v>
      </c>
      <c r="K437" s="7" t="s">
        <v>18</v>
      </c>
      <c r="L437" s="7" t="s">
        <v>18</v>
      </c>
      <c r="M437" s="7" t="s">
        <v>18</v>
      </c>
      <c r="N437" s="7" t="s">
        <v>18</v>
      </c>
    </row>
    <row r="438" spans="1:14" s="2" customFormat="1" x14ac:dyDescent="0.15">
      <c r="A438" s="3">
        <v>437</v>
      </c>
      <c r="B438" s="4" t="str">
        <f>IF(COUNTIF(用語集[キーワード],用語集[[#This Row],[キーワード]])&gt;1,"!","")</f>
        <v/>
      </c>
      <c r="C438" s="4" t="str">
        <f>IF(用語集[[#This Row],[キーワード]]="","",IF(OR(用語集[[#This Row],[説明]]="",NOT(ISERROR(FIND("★",用語集[[#This Row],[説明]])))),"★","☆"))</f>
        <v/>
      </c>
      <c r="D438" s="5"/>
      <c r="E438" s="3"/>
      <c r="F438" s="3"/>
      <c r="G438" s="4"/>
      <c r="H438" s="4"/>
      <c r="I438" s="7" t="s">
        <v>18</v>
      </c>
      <c r="J438" s="7" t="s">
        <v>18</v>
      </c>
      <c r="K438" s="7" t="s">
        <v>18</v>
      </c>
      <c r="L438" s="7" t="s">
        <v>18</v>
      </c>
      <c r="M438" s="7" t="s">
        <v>18</v>
      </c>
      <c r="N438" s="7" t="s">
        <v>18</v>
      </c>
    </row>
    <row r="439" spans="1:14" s="2" customFormat="1" x14ac:dyDescent="0.15">
      <c r="A439" s="3">
        <v>438</v>
      </c>
      <c r="B439" s="4" t="str">
        <f>IF(COUNTIF(用語集[キーワード],用語集[[#This Row],[キーワード]])&gt;1,"!","")</f>
        <v/>
      </c>
      <c r="C439" s="4" t="str">
        <f>IF(用語集[[#This Row],[キーワード]]="","",IF(OR(用語集[[#This Row],[説明]]="",NOT(ISERROR(FIND("★",用語集[[#This Row],[説明]])))),"★","☆"))</f>
        <v/>
      </c>
      <c r="D439" s="5"/>
      <c r="E439" s="3"/>
      <c r="F439" s="3"/>
      <c r="G439" s="4"/>
      <c r="H439" s="4"/>
      <c r="I439" s="7" t="s">
        <v>18</v>
      </c>
      <c r="J439" s="7" t="s">
        <v>18</v>
      </c>
      <c r="K439" s="7" t="s">
        <v>18</v>
      </c>
      <c r="L439" s="7" t="s">
        <v>18</v>
      </c>
      <c r="M439" s="7" t="s">
        <v>18</v>
      </c>
      <c r="N439" s="7" t="s">
        <v>18</v>
      </c>
    </row>
    <row r="440" spans="1:14" s="2" customFormat="1" x14ac:dyDescent="0.15">
      <c r="A440" s="3">
        <v>439</v>
      </c>
      <c r="B440" s="4" t="str">
        <f>IF(COUNTIF(用語集[キーワード],用語集[[#This Row],[キーワード]])&gt;1,"!","")</f>
        <v/>
      </c>
      <c r="C440" s="4" t="str">
        <f>IF(用語集[[#This Row],[キーワード]]="","",IF(OR(用語集[[#This Row],[説明]]="",NOT(ISERROR(FIND("★",用語集[[#This Row],[説明]])))),"★","☆"))</f>
        <v/>
      </c>
      <c r="D440" s="5"/>
      <c r="E440" s="3"/>
      <c r="F440" s="3"/>
      <c r="G440" s="4"/>
      <c r="H440" s="4"/>
      <c r="I440" s="7" t="s">
        <v>18</v>
      </c>
      <c r="J440" s="7" t="s">
        <v>18</v>
      </c>
      <c r="K440" s="7" t="s">
        <v>18</v>
      </c>
      <c r="L440" s="7" t="s">
        <v>18</v>
      </c>
      <c r="M440" s="7" t="s">
        <v>18</v>
      </c>
      <c r="N440" s="7" t="s">
        <v>18</v>
      </c>
    </row>
    <row r="441" spans="1:14" s="2" customFormat="1" x14ac:dyDescent="0.15">
      <c r="A441" s="3">
        <v>440</v>
      </c>
      <c r="B441" s="4" t="str">
        <f>IF(COUNTIF(用語集[キーワード],用語集[[#This Row],[キーワード]])&gt;1,"!","")</f>
        <v/>
      </c>
      <c r="C441" s="4" t="str">
        <f>IF(用語集[[#This Row],[キーワード]]="","",IF(OR(用語集[[#This Row],[説明]]="",NOT(ISERROR(FIND("★",用語集[[#This Row],[説明]])))),"★","☆"))</f>
        <v/>
      </c>
      <c r="D441" s="5"/>
      <c r="E441" s="3"/>
      <c r="F441" s="3"/>
      <c r="G441" s="4"/>
      <c r="H441" s="4"/>
      <c r="I441" s="7" t="s">
        <v>18</v>
      </c>
      <c r="J441" s="7" t="s">
        <v>18</v>
      </c>
      <c r="K441" s="7" t="s">
        <v>18</v>
      </c>
      <c r="L441" s="7" t="s">
        <v>18</v>
      </c>
      <c r="M441" s="7" t="s">
        <v>18</v>
      </c>
      <c r="N441" s="7" t="s">
        <v>18</v>
      </c>
    </row>
    <row r="442" spans="1:14" s="2" customFormat="1" x14ac:dyDescent="0.15">
      <c r="A442" s="3">
        <v>441</v>
      </c>
      <c r="B442" s="4" t="str">
        <f>IF(COUNTIF(用語集[キーワード],用語集[[#This Row],[キーワード]])&gt;1,"!","")</f>
        <v/>
      </c>
      <c r="C442" s="4" t="str">
        <f>IF(用語集[[#This Row],[キーワード]]="","",IF(OR(用語集[[#This Row],[説明]]="",NOT(ISERROR(FIND("★",用語集[[#This Row],[説明]])))),"★","☆"))</f>
        <v/>
      </c>
      <c r="D442" s="5"/>
      <c r="E442" s="3"/>
      <c r="F442" s="3"/>
      <c r="G442" s="4"/>
      <c r="H442" s="4"/>
      <c r="I442" s="7" t="s">
        <v>18</v>
      </c>
      <c r="J442" s="7" t="s">
        <v>18</v>
      </c>
      <c r="K442" s="7" t="s">
        <v>18</v>
      </c>
      <c r="L442" s="7" t="s">
        <v>18</v>
      </c>
      <c r="M442" s="7" t="s">
        <v>18</v>
      </c>
      <c r="N442" s="7" t="s">
        <v>18</v>
      </c>
    </row>
    <row r="443" spans="1:14" s="2" customFormat="1" x14ac:dyDescent="0.15">
      <c r="A443" s="3">
        <v>442</v>
      </c>
      <c r="B443" s="4" t="str">
        <f>IF(COUNTIF(用語集[キーワード],用語集[[#This Row],[キーワード]])&gt;1,"!","")</f>
        <v/>
      </c>
      <c r="C443" s="4" t="str">
        <f>IF(用語集[[#This Row],[キーワード]]="","",IF(OR(用語集[[#This Row],[説明]]="",NOT(ISERROR(FIND("★",用語集[[#This Row],[説明]])))),"★","☆"))</f>
        <v/>
      </c>
      <c r="D443" s="5"/>
      <c r="E443" s="3"/>
      <c r="F443" s="3"/>
      <c r="G443" s="4"/>
      <c r="H443" s="4"/>
      <c r="I443" s="7" t="s">
        <v>18</v>
      </c>
      <c r="J443" s="7" t="s">
        <v>18</v>
      </c>
      <c r="K443" s="7" t="s">
        <v>18</v>
      </c>
      <c r="L443" s="7" t="s">
        <v>18</v>
      </c>
      <c r="M443" s="7" t="s">
        <v>18</v>
      </c>
      <c r="N443" s="7" t="s">
        <v>18</v>
      </c>
    </row>
    <row r="444" spans="1:14" s="2" customFormat="1" x14ac:dyDescent="0.15">
      <c r="A444" s="3">
        <v>443</v>
      </c>
      <c r="B444" s="4" t="str">
        <f>IF(COUNTIF(用語集[キーワード],用語集[[#This Row],[キーワード]])&gt;1,"!","")</f>
        <v/>
      </c>
      <c r="C444" s="4" t="str">
        <f>IF(用語集[[#This Row],[キーワード]]="","",IF(OR(用語集[[#This Row],[説明]]="",NOT(ISERROR(FIND("★",用語集[[#This Row],[説明]])))),"★","☆"))</f>
        <v/>
      </c>
      <c r="D444" s="5"/>
      <c r="E444" s="3"/>
      <c r="F444" s="3"/>
      <c r="G444" s="4"/>
      <c r="H444" s="4"/>
      <c r="I444" s="7" t="s">
        <v>18</v>
      </c>
      <c r="J444" s="7" t="s">
        <v>18</v>
      </c>
      <c r="K444" s="7" t="s">
        <v>18</v>
      </c>
      <c r="L444" s="7" t="s">
        <v>18</v>
      </c>
      <c r="M444" s="7" t="s">
        <v>18</v>
      </c>
      <c r="N444" s="7" t="s">
        <v>18</v>
      </c>
    </row>
    <row r="445" spans="1:14" s="2" customFormat="1" x14ac:dyDescent="0.15">
      <c r="A445" s="3">
        <v>444</v>
      </c>
      <c r="B445" s="4" t="str">
        <f>IF(COUNTIF(用語集[キーワード],用語集[[#This Row],[キーワード]])&gt;1,"!","")</f>
        <v/>
      </c>
      <c r="C445" s="4" t="str">
        <f>IF(用語集[[#This Row],[キーワード]]="","",IF(OR(用語集[[#This Row],[説明]]="",NOT(ISERROR(FIND("★",用語集[[#This Row],[説明]])))),"★","☆"))</f>
        <v/>
      </c>
      <c r="D445" s="5"/>
      <c r="E445" s="3"/>
      <c r="F445" s="3"/>
      <c r="G445" s="4"/>
      <c r="H445" s="4"/>
      <c r="I445" s="7" t="s">
        <v>18</v>
      </c>
      <c r="J445" s="7" t="s">
        <v>18</v>
      </c>
      <c r="K445" s="7" t="s">
        <v>18</v>
      </c>
      <c r="L445" s="7" t="s">
        <v>18</v>
      </c>
      <c r="M445" s="7" t="s">
        <v>18</v>
      </c>
      <c r="N445" s="7" t="s">
        <v>18</v>
      </c>
    </row>
    <row r="446" spans="1:14" s="2" customFormat="1" x14ac:dyDescent="0.15">
      <c r="A446" s="3">
        <v>445</v>
      </c>
      <c r="B446" s="4" t="str">
        <f>IF(COUNTIF(用語集[キーワード],用語集[[#This Row],[キーワード]])&gt;1,"!","")</f>
        <v/>
      </c>
      <c r="C446" s="4" t="str">
        <f>IF(用語集[[#This Row],[キーワード]]="","",IF(OR(用語集[[#This Row],[説明]]="",NOT(ISERROR(FIND("★",用語集[[#This Row],[説明]])))),"★","☆"))</f>
        <v/>
      </c>
      <c r="D446" s="5"/>
      <c r="E446" s="3"/>
      <c r="F446" s="3"/>
      <c r="G446" s="4"/>
      <c r="H446" s="4"/>
      <c r="I446" s="7" t="s">
        <v>18</v>
      </c>
      <c r="J446" s="7" t="s">
        <v>18</v>
      </c>
      <c r="K446" s="7" t="s">
        <v>18</v>
      </c>
      <c r="L446" s="7" t="s">
        <v>18</v>
      </c>
      <c r="M446" s="7" t="s">
        <v>18</v>
      </c>
      <c r="N446" s="7" t="s">
        <v>18</v>
      </c>
    </row>
    <row r="447" spans="1:14" s="2" customFormat="1" x14ac:dyDescent="0.15">
      <c r="A447" s="3">
        <v>446</v>
      </c>
      <c r="B447" s="4" t="str">
        <f>IF(COUNTIF(用語集[キーワード],用語集[[#This Row],[キーワード]])&gt;1,"!","")</f>
        <v/>
      </c>
      <c r="C447" s="4" t="str">
        <f>IF(用語集[[#This Row],[キーワード]]="","",IF(OR(用語集[[#This Row],[説明]]="",NOT(ISERROR(FIND("★",用語集[[#This Row],[説明]])))),"★","☆"))</f>
        <v/>
      </c>
      <c r="D447" s="5"/>
      <c r="E447" s="3"/>
      <c r="F447" s="3"/>
      <c r="G447" s="4"/>
      <c r="H447" s="4"/>
      <c r="I447" s="7" t="s">
        <v>18</v>
      </c>
      <c r="J447" s="7" t="s">
        <v>18</v>
      </c>
      <c r="K447" s="7" t="s">
        <v>18</v>
      </c>
      <c r="L447" s="7" t="s">
        <v>18</v>
      </c>
      <c r="M447" s="7" t="s">
        <v>18</v>
      </c>
      <c r="N447" s="7" t="s">
        <v>18</v>
      </c>
    </row>
    <row r="448" spans="1:14" s="2" customFormat="1" x14ac:dyDescent="0.15">
      <c r="A448" s="3">
        <v>447</v>
      </c>
      <c r="B448" s="4" t="str">
        <f>IF(COUNTIF(用語集[キーワード],用語集[[#This Row],[キーワード]])&gt;1,"!","")</f>
        <v/>
      </c>
      <c r="C448" s="4" t="str">
        <f>IF(用語集[[#This Row],[キーワード]]="","",IF(OR(用語集[[#This Row],[説明]]="",NOT(ISERROR(FIND("★",用語集[[#This Row],[説明]])))),"★","☆"))</f>
        <v/>
      </c>
      <c r="D448" s="5"/>
      <c r="E448" s="3"/>
      <c r="F448" s="3"/>
      <c r="G448" s="4"/>
      <c r="H448" s="4"/>
      <c r="I448" s="7" t="s">
        <v>18</v>
      </c>
      <c r="J448" s="7" t="s">
        <v>18</v>
      </c>
      <c r="K448" s="7" t="s">
        <v>18</v>
      </c>
      <c r="L448" s="7" t="s">
        <v>18</v>
      </c>
      <c r="M448" s="7" t="s">
        <v>18</v>
      </c>
      <c r="N448" s="7" t="s">
        <v>18</v>
      </c>
    </row>
    <row r="449" spans="1:14" s="2" customFormat="1" x14ac:dyDescent="0.15">
      <c r="A449" s="3">
        <v>448</v>
      </c>
      <c r="B449" s="4" t="str">
        <f>IF(COUNTIF(用語集[キーワード],用語集[[#This Row],[キーワード]])&gt;1,"!","")</f>
        <v/>
      </c>
      <c r="C449" s="4" t="str">
        <f>IF(用語集[[#This Row],[キーワード]]="","",IF(OR(用語集[[#This Row],[説明]]="",NOT(ISERROR(FIND("★",用語集[[#This Row],[説明]])))),"★","☆"))</f>
        <v/>
      </c>
      <c r="D449" s="5"/>
      <c r="E449" s="3"/>
      <c r="F449" s="3"/>
      <c r="G449" s="4"/>
      <c r="H449" s="4"/>
      <c r="I449" s="7" t="s">
        <v>18</v>
      </c>
      <c r="J449" s="7" t="s">
        <v>18</v>
      </c>
      <c r="K449" s="7" t="s">
        <v>18</v>
      </c>
      <c r="L449" s="7" t="s">
        <v>18</v>
      </c>
      <c r="M449" s="7" t="s">
        <v>18</v>
      </c>
      <c r="N449" s="7" t="s">
        <v>18</v>
      </c>
    </row>
    <row r="450" spans="1:14" s="2" customFormat="1" x14ac:dyDescent="0.15">
      <c r="A450" s="3">
        <v>449</v>
      </c>
      <c r="B450" s="4" t="str">
        <f>IF(COUNTIF(用語集[キーワード],用語集[[#This Row],[キーワード]])&gt;1,"!","")</f>
        <v/>
      </c>
      <c r="C450" s="4" t="str">
        <f>IF(用語集[[#This Row],[キーワード]]="","",IF(OR(用語集[[#This Row],[説明]]="",NOT(ISERROR(FIND("★",用語集[[#This Row],[説明]])))),"★","☆"))</f>
        <v/>
      </c>
      <c r="D450" s="5"/>
      <c r="E450" s="3"/>
      <c r="F450" s="3"/>
      <c r="G450" s="4"/>
      <c r="H450" s="4"/>
      <c r="I450" s="7" t="s">
        <v>18</v>
      </c>
      <c r="J450" s="7" t="s">
        <v>18</v>
      </c>
      <c r="K450" s="7" t="s">
        <v>18</v>
      </c>
      <c r="L450" s="7" t="s">
        <v>18</v>
      </c>
      <c r="M450" s="7" t="s">
        <v>18</v>
      </c>
      <c r="N450" s="7" t="s">
        <v>18</v>
      </c>
    </row>
    <row r="451" spans="1:14" s="2" customFormat="1" x14ac:dyDescent="0.15">
      <c r="A451" s="3">
        <v>450</v>
      </c>
      <c r="B451" s="4" t="str">
        <f>IF(COUNTIF(用語集[キーワード],用語集[[#This Row],[キーワード]])&gt;1,"!","")</f>
        <v/>
      </c>
      <c r="C451" s="4" t="str">
        <f>IF(用語集[[#This Row],[キーワード]]="","",IF(OR(用語集[[#This Row],[説明]]="",NOT(ISERROR(FIND("★",用語集[[#This Row],[説明]])))),"★","☆"))</f>
        <v/>
      </c>
      <c r="D451" s="5"/>
      <c r="E451" s="3"/>
      <c r="F451" s="3"/>
      <c r="G451" s="4"/>
      <c r="H451" s="4"/>
      <c r="I451" s="7" t="s">
        <v>18</v>
      </c>
      <c r="J451" s="7" t="s">
        <v>18</v>
      </c>
      <c r="K451" s="7" t="s">
        <v>18</v>
      </c>
      <c r="L451" s="7" t="s">
        <v>18</v>
      </c>
      <c r="M451" s="7" t="s">
        <v>18</v>
      </c>
      <c r="N451" s="7" t="s">
        <v>18</v>
      </c>
    </row>
    <row r="452" spans="1:14" s="2" customFormat="1" x14ac:dyDescent="0.15">
      <c r="A452" s="3">
        <v>451</v>
      </c>
      <c r="B452" s="4" t="str">
        <f>IF(COUNTIF(用語集[キーワード],用語集[[#This Row],[キーワード]])&gt;1,"!","")</f>
        <v/>
      </c>
      <c r="C452" s="4" t="str">
        <f>IF(用語集[[#This Row],[キーワード]]="","",IF(OR(用語集[[#This Row],[説明]]="",NOT(ISERROR(FIND("★",用語集[[#This Row],[説明]])))),"★","☆"))</f>
        <v/>
      </c>
      <c r="D452" s="5"/>
      <c r="E452" s="3"/>
      <c r="F452" s="3"/>
      <c r="G452" s="4"/>
      <c r="H452" s="4"/>
      <c r="I452" s="7" t="s">
        <v>18</v>
      </c>
      <c r="J452" s="7" t="s">
        <v>18</v>
      </c>
      <c r="K452" s="7" t="s">
        <v>18</v>
      </c>
      <c r="L452" s="7" t="s">
        <v>18</v>
      </c>
      <c r="M452" s="7" t="s">
        <v>18</v>
      </c>
      <c r="N452" s="7" t="s">
        <v>18</v>
      </c>
    </row>
    <row r="453" spans="1:14" s="2" customFormat="1" x14ac:dyDescent="0.15">
      <c r="A453" s="3">
        <v>452</v>
      </c>
      <c r="B453" s="4" t="str">
        <f>IF(COUNTIF(用語集[キーワード],用語集[[#This Row],[キーワード]])&gt;1,"!","")</f>
        <v/>
      </c>
      <c r="C453" s="4" t="str">
        <f>IF(用語集[[#This Row],[キーワード]]="","",IF(OR(用語集[[#This Row],[説明]]="",NOT(ISERROR(FIND("★",用語集[[#This Row],[説明]])))),"★","☆"))</f>
        <v/>
      </c>
      <c r="D453" s="5"/>
      <c r="E453" s="3"/>
      <c r="F453" s="3"/>
      <c r="G453" s="4"/>
      <c r="H453" s="4"/>
      <c r="I453" s="7" t="s">
        <v>18</v>
      </c>
      <c r="J453" s="7" t="s">
        <v>18</v>
      </c>
      <c r="K453" s="7" t="s">
        <v>18</v>
      </c>
      <c r="L453" s="7" t="s">
        <v>18</v>
      </c>
      <c r="M453" s="7" t="s">
        <v>18</v>
      </c>
      <c r="N453" s="7" t="s">
        <v>18</v>
      </c>
    </row>
    <row r="454" spans="1:14" s="2" customFormat="1" x14ac:dyDescent="0.15">
      <c r="A454" s="3">
        <v>453</v>
      </c>
      <c r="B454" s="4" t="str">
        <f>IF(COUNTIF(用語集[キーワード],用語集[[#This Row],[キーワード]])&gt;1,"!","")</f>
        <v/>
      </c>
      <c r="C454" s="4" t="str">
        <f>IF(用語集[[#This Row],[キーワード]]="","",IF(OR(用語集[[#This Row],[説明]]="",NOT(ISERROR(FIND("★",用語集[[#This Row],[説明]])))),"★","☆"))</f>
        <v/>
      </c>
      <c r="D454" s="5"/>
      <c r="E454" s="3"/>
      <c r="F454" s="3"/>
      <c r="G454" s="4"/>
      <c r="H454" s="4"/>
      <c r="I454" s="7" t="s">
        <v>18</v>
      </c>
      <c r="J454" s="7" t="s">
        <v>18</v>
      </c>
      <c r="K454" s="7" t="s">
        <v>18</v>
      </c>
      <c r="L454" s="7" t="s">
        <v>18</v>
      </c>
      <c r="M454" s="7" t="s">
        <v>18</v>
      </c>
      <c r="N454" s="7" t="s">
        <v>18</v>
      </c>
    </row>
    <row r="455" spans="1:14" s="2" customFormat="1" x14ac:dyDescent="0.15">
      <c r="A455" s="3">
        <v>454</v>
      </c>
      <c r="B455" s="4" t="str">
        <f>IF(COUNTIF(用語集[キーワード],用語集[[#This Row],[キーワード]])&gt;1,"!","")</f>
        <v/>
      </c>
      <c r="C455" s="4" t="str">
        <f>IF(用語集[[#This Row],[キーワード]]="","",IF(OR(用語集[[#This Row],[説明]]="",NOT(ISERROR(FIND("★",用語集[[#This Row],[説明]])))),"★","☆"))</f>
        <v/>
      </c>
      <c r="D455" s="5"/>
      <c r="E455" s="3"/>
      <c r="F455" s="3"/>
      <c r="G455" s="4"/>
      <c r="H455" s="4"/>
      <c r="I455" s="7" t="s">
        <v>18</v>
      </c>
      <c r="J455" s="7" t="s">
        <v>18</v>
      </c>
      <c r="K455" s="7" t="s">
        <v>18</v>
      </c>
      <c r="L455" s="7" t="s">
        <v>18</v>
      </c>
      <c r="M455" s="7" t="s">
        <v>18</v>
      </c>
      <c r="N455" s="7" t="s">
        <v>18</v>
      </c>
    </row>
    <row r="456" spans="1:14" s="2" customFormat="1" x14ac:dyDescent="0.15">
      <c r="A456" s="3">
        <v>455</v>
      </c>
      <c r="B456" s="4" t="str">
        <f>IF(COUNTIF(用語集[キーワード],用語集[[#This Row],[キーワード]])&gt;1,"!","")</f>
        <v/>
      </c>
      <c r="C456" s="4" t="str">
        <f>IF(用語集[[#This Row],[キーワード]]="","",IF(OR(用語集[[#This Row],[説明]]="",NOT(ISERROR(FIND("★",用語集[[#This Row],[説明]])))),"★","☆"))</f>
        <v/>
      </c>
      <c r="D456" s="5"/>
      <c r="E456" s="3"/>
      <c r="F456" s="3"/>
      <c r="G456" s="4"/>
      <c r="H456" s="4"/>
      <c r="I456" s="7" t="s">
        <v>18</v>
      </c>
      <c r="J456" s="7" t="s">
        <v>18</v>
      </c>
      <c r="K456" s="7" t="s">
        <v>18</v>
      </c>
      <c r="L456" s="7" t="s">
        <v>18</v>
      </c>
      <c r="M456" s="7" t="s">
        <v>18</v>
      </c>
      <c r="N456" s="7" t="s">
        <v>18</v>
      </c>
    </row>
    <row r="457" spans="1:14" s="2" customFormat="1" x14ac:dyDescent="0.15">
      <c r="A457" s="3">
        <v>456</v>
      </c>
      <c r="B457" s="4" t="str">
        <f>IF(COUNTIF(用語集[キーワード],用語集[[#This Row],[キーワード]])&gt;1,"!","")</f>
        <v/>
      </c>
      <c r="C457" s="4" t="str">
        <f>IF(用語集[[#This Row],[キーワード]]="","",IF(OR(用語集[[#This Row],[説明]]="",NOT(ISERROR(FIND("★",用語集[[#This Row],[説明]])))),"★","☆"))</f>
        <v/>
      </c>
      <c r="D457" s="5"/>
      <c r="E457" s="3"/>
      <c r="F457" s="3"/>
      <c r="G457" s="4"/>
      <c r="H457" s="4"/>
      <c r="I457" s="7" t="s">
        <v>18</v>
      </c>
      <c r="J457" s="7" t="s">
        <v>18</v>
      </c>
      <c r="K457" s="7" t="s">
        <v>18</v>
      </c>
      <c r="L457" s="7" t="s">
        <v>18</v>
      </c>
      <c r="M457" s="7" t="s">
        <v>18</v>
      </c>
      <c r="N457" s="7" t="s">
        <v>18</v>
      </c>
    </row>
    <row r="458" spans="1:14" s="2" customFormat="1" x14ac:dyDescent="0.15">
      <c r="A458" s="3">
        <v>457</v>
      </c>
      <c r="B458" s="4" t="str">
        <f>IF(COUNTIF(用語集[キーワード],用語集[[#This Row],[キーワード]])&gt;1,"!","")</f>
        <v/>
      </c>
      <c r="C458" s="4" t="str">
        <f>IF(用語集[[#This Row],[キーワード]]="","",IF(OR(用語集[[#This Row],[説明]]="",NOT(ISERROR(FIND("★",用語集[[#This Row],[説明]])))),"★","☆"))</f>
        <v/>
      </c>
      <c r="D458" s="5"/>
      <c r="E458" s="3"/>
      <c r="F458" s="3"/>
      <c r="G458" s="4"/>
      <c r="H458" s="4"/>
      <c r="I458" s="7" t="s">
        <v>18</v>
      </c>
      <c r="J458" s="7" t="s">
        <v>18</v>
      </c>
      <c r="K458" s="7" t="s">
        <v>18</v>
      </c>
      <c r="L458" s="7" t="s">
        <v>18</v>
      </c>
      <c r="M458" s="7" t="s">
        <v>18</v>
      </c>
      <c r="N458" s="7" t="s">
        <v>18</v>
      </c>
    </row>
    <row r="459" spans="1:14" s="2" customFormat="1" x14ac:dyDescent="0.15">
      <c r="A459" s="3">
        <v>458</v>
      </c>
      <c r="B459" s="4" t="str">
        <f>IF(COUNTIF(用語集[キーワード],用語集[[#This Row],[キーワード]])&gt;1,"!","")</f>
        <v/>
      </c>
      <c r="C459" s="4" t="str">
        <f>IF(用語集[[#This Row],[キーワード]]="","",IF(OR(用語集[[#This Row],[説明]]="",NOT(ISERROR(FIND("★",用語集[[#This Row],[説明]])))),"★","☆"))</f>
        <v/>
      </c>
      <c r="D459" s="5"/>
      <c r="E459" s="3"/>
      <c r="F459" s="3"/>
      <c r="G459" s="4"/>
      <c r="H459" s="4"/>
      <c r="I459" s="7" t="s">
        <v>18</v>
      </c>
      <c r="J459" s="7" t="s">
        <v>18</v>
      </c>
      <c r="K459" s="7" t="s">
        <v>18</v>
      </c>
      <c r="L459" s="7" t="s">
        <v>18</v>
      </c>
      <c r="M459" s="7" t="s">
        <v>18</v>
      </c>
      <c r="N459" s="7" t="s">
        <v>18</v>
      </c>
    </row>
    <row r="460" spans="1:14" s="2" customFormat="1" x14ac:dyDescent="0.15">
      <c r="A460" s="3">
        <v>459</v>
      </c>
      <c r="B460" s="4" t="str">
        <f>IF(COUNTIF(用語集[キーワード],用語集[[#This Row],[キーワード]])&gt;1,"!","")</f>
        <v/>
      </c>
      <c r="C460" s="4" t="str">
        <f>IF(用語集[[#This Row],[キーワード]]="","",IF(OR(用語集[[#This Row],[説明]]="",NOT(ISERROR(FIND("★",用語集[[#This Row],[説明]])))),"★","☆"))</f>
        <v/>
      </c>
      <c r="D460" s="5"/>
      <c r="E460" s="3"/>
      <c r="F460" s="3"/>
      <c r="G460" s="4"/>
      <c r="H460" s="4"/>
      <c r="I460" s="7" t="s">
        <v>18</v>
      </c>
      <c r="J460" s="7" t="s">
        <v>18</v>
      </c>
      <c r="K460" s="7" t="s">
        <v>18</v>
      </c>
      <c r="L460" s="7" t="s">
        <v>18</v>
      </c>
      <c r="M460" s="7" t="s">
        <v>18</v>
      </c>
      <c r="N460" s="7" t="s">
        <v>18</v>
      </c>
    </row>
    <row r="461" spans="1:14" s="2" customFormat="1" x14ac:dyDescent="0.15">
      <c r="A461" s="3">
        <v>460</v>
      </c>
      <c r="B461" s="4" t="str">
        <f>IF(COUNTIF(用語集[キーワード],用語集[[#This Row],[キーワード]])&gt;1,"!","")</f>
        <v/>
      </c>
      <c r="C461" s="4" t="str">
        <f>IF(用語集[[#This Row],[キーワード]]="","",IF(OR(用語集[[#This Row],[説明]]="",NOT(ISERROR(FIND("★",用語集[[#This Row],[説明]])))),"★","☆"))</f>
        <v/>
      </c>
      <c r="D461" s="5"/>
      <c r="E461" s="3"/>
      <c r="F461" s="3"/>
      <c r="G461" s="4"/>
      <c r="H461" s="4"/>
      <c r="I461" s="7" t="s">
        <v>18</v>
      </c>
      <c r="J461" s="7" t="s">
        <v>18</v>
      </c>
      <c r="K461" s="7" t="s">
        <v>18</v>
      </c>
      <c r="L461" s="7" t="s">
        <v>18</v>
      </c>
      <c r="M461" s="7" t="s">
        <v>18</v>
      </c>
      <c r="N461" s="7" t="s">
        <v>18</v>
      </c>
    </row>
    <row r="462" spans="1:14" s="2" customFormat="1" x14ac:dyDescent="0.15">
      <c r="A462" s="3">
        <v>461</v>
      </c>
      <c r="B462" s="4" t="str">
        <f>IF(COUNTIF(用語集[キーワード],用語集[[#This Row],[キーワード]])&gt;1,"!","")</f>
        <v/>
      </c>
      <c r="C462" s="4" t="str">
        <f>IF(用語集[[#This Row],[キーワード]]="","",IF(OR(用語集[[#This Row],[説明]]="",NOT(ISERROR(FIND("★",用語集[[#This Row],[説明]])))),"★","☆"))</f>
        <v/>
      </c>
      <c r="D462" s="5"/>
      <c r="E462" s="3"/>
      <c r="F462" s="3"/>
      <c r="G462" s="4"/>
      <c r="H462" s="4"/>
      <c r="I462" s="7" t="s">
        <v>18</v>
      </c>
      <c r="J462" s="7" t="s">
        <v>18</v>
      </c>
      <c r="K462" s="7" t="s">
        <v>18</v>
      </c>
      <c r="L462" s="7" t="s">
        <v>18</v>
      </c>
      <c r="M462" s="7" t="s">
        <v>18</v>
      </c>
      <c r="N462" s="7" t="s">
        <v>18</v>
      </c>
    </row>
    <row r="463" spans="1:14" s="2" customFormat="1" x14ac:dyDescent="0.15">
      <c r="A463" s="3">
        <v>462</v>
      </c>
      <c r="B463" s="4" t="str">
        <f>IF(COUNTIF(用語集[キーワード],用語集[[#This Row],[キーワード]])&gt;1,"!","")</f>
        <v/>
      </c>
      <c r="C463" s="4" t="str">
        <f>IF(用語集[[#This Row],[キーワード]]="","",IF(OR(用語集[[#This Row],[説明]]="",NOT(ISERROR(FIND("★",用語集[[#This Row],[説明]])))),"★","☆"))</f>
        <v/>
      </c>
      <c r="D463" s="5"/>
      <c r="E463" s="3"/>
      <c r="F463" s="3"/>
      <c r="G463" s="4"/>
      <c r="H463" s="4"/>
      <c r="I463" s="7" t="s">
        <v>18</v>
      </c>
      <c r="J463" s="7" t="s">
        <v>18</v>
      </c>
      <c r="K463" s="7" t="s">
        <v>18</v>
      </c>
      <c r="L463" s="7" t="s">
        <v>18</v>
      </c>
      <c r="M463" s="7" t="s">
        <v>18</v>
      </c>
      <c r="N463" s="7" t="s">
        <v>18</v>
      </c>
    </row>
    <row r="464" spans="1:14" s="2" customFormat="1" x14ac:dyDescent="0.15">
      <c r="A464" s="3">
        <v>463</v>
      </c>
      <c r="B464" s="4" t="str">
        <f>IF(COUNTIF(用語集[キーワード],用語集[[#This Row],[キーワード]])&gt;1,"!","")</f>
        <v/>
      </c>
      <c r="C464" s="4" t="str">
        <f>IF(用語集[[#This Row],[キーワード]]="","",IF(OR(用語集[[#This Row],[説明]]="",NOT(ISERROR(FIND("★",用語集[[#This Row],[説明]])))),"★","☆"))</f>
        <v/>
      </c>
      <c r="D464" s="5"/>
      <c r="E464" s="3"/>
      <c r="F464" s="3"/>
      <c r="G464" s="4"/>
      <c r="H464" s="4"/>
      <c r="I464" s="7" t="s">
        <v>18</v>
      </c>
      <c r="J464" s="7" t="s">
        <v>18</v>
      </c>
      <c r="K464" s="7" t="s">
        <v>18</v>
      </c>
      <c r="L464" s="7" t="s">
        <v>18</v>
      </c>
      <c r="M464" s="7" t="s">
        <v>18</v>
      </c>
      <c r="N464" s="7" t="s">
        <v>18</v>
      </c>
    </row>
    <row r="465" spans="1:14" s="2" customFormat="1" x14ac:dyDescent="0.15">
      <c r="A465" s="3">
        <v>464</v>
      </c>
      <c r="B465" s="4" t="str">
        <f>IF(COUNTIF(用語集[キーワード],用語集[[#This Row],[キーワード]])&gt;1,"!","")</f>
        <v/>
      </c>
      <c r="C465" s="4" t="str">
        <f>IF(用語集[[#This Row],[キーワード]]="","",IF(OR(用語集[[#This Row],[説明]]="",NOT(ISERROR(FIND("★",用語集[[#This Row],[説明]])))),"★","☆"))</f>
        <v/>
      </c>
      <c r="D465" s="5"/>
      <c r="E465" s="3"/>
      <c r="F465" s="3"/>
      <c r="G465" s="4"/>
      <c r="H465" s="4"/>
      <c r="I465" s="7" t="s">
        <v>18</v>
      </c>
      <c r="J465" s="7" t="s">
        <v>18</v>
      </c>
      <c r="K465" s="7" t="s">
        <v>18</v>
      </c>
      <c r="L465" s="7" t="s">
        <v>18</v>
      </c>
      <c r="M465" s="7" t="s">
        <v>18</v>
      </c>
      <c r="N465" s="7" t="s">
        <v>18</v>
      </c>
    </row>
    <row r="466" spans="1:14" s="2" customFormat="1" x14ac:dyDescent="0.15">
      <c r="A466" s="3">
        <v>465</v>
      </c>
      <c r="B466" s="4" t="str">
        <f>IF(COUNTIF(用語集[キーワード],用語集[[#This Row],[キーワード]])&gt;1,"!","")</f>
        <v/>
      </c>
      <c r="C466" s="4" t="str">
        <f>IF(用語集[[#This Row],[キーワード]]="","",IF(OR(用語集[[#This Row],[説明]]="",NOT(ISERROR(FIND("★",用語集[[#This Row],[説明]])))),"★","☆"))</f>
        <v/>
      </c>
      <c r="D466" s="5"/>
      <c r="E466" s="3"/>
      <c r="F466" s="3"/>
      <c r="G466" s="4"/>
      <c r="H466" s="4"/>
      <c r="I466" s="7" t="s">
        <v>18</v>
      </c>
      <c r="J466" s="7" t="s">
        <v>18</v>
      </c>
      <c r="K466" s="7" t="s">
        <v>18</v>
      </c>
      <c r="L466" s="7" t="s">
        <v>18</v>
      </c>
      <c r="M466" s="7" t="s">
        <v>18</v>
      </c>
      <c r="N466" s="7" t="s">
        <v>18</v>
      </c>
    </row>
    <row r="467" spans="1:14" s="2" customFormat="1" x14ac:dyDescent="0.15">
      <c r="A467" s="3">
        <v>466</v>
      </c>
      <c r="B467" s="4" t="str">
        <f>IF(COUNTIF(用語集[キーワード],用語集[[#This Row],[キーワード]])&gt;1,"!","")</f>
        <v/>
      </c>
      <c r="C467" s="4" t="str">
        <f>IF(用語集[[#This Row],[キーワード]]="","",IF(OR(用語集[[#This Row],[説明]]="",NOT(ISERROR(FIND("★",用語集[[#This Row],[説明]])))),"★","☆"))</f>
        <v/>
      </c>
      <c r="D467" s="5"/>
      <c r="E467" s="3"/>
      <c r="F467" s="3"/>
      <c r="G467" s="4"/>
      <c r="H467" s="4"/>
      <c r="I467" s="7" t="s">
        <v>18</v>
      </c>
      <c r="J467" s="7" t="s">
        <v>18</v>
      </c>
      <c r="K467" s="7" t="s">
        <v>18</v>
      </c>
      <c r="L467" s="7" t="s">
        <v>18</v>
      </c>
      <c r="M467" s="7" t="s">
        <v>18</v>
      </c>
      <c r="N467" s="7" t="s">
        <v>18</v>
      </c>
    </row>
    <row r="468" spans="1:14" s="2" customFormat="1" x14ac:dyDescent="0.15">
      <c r="A468" s="3">
        <v>467</v>
      </c>
      <c r="B468" s="4" t="str">
        <f>IF(COUNTIF(用語集[キーワード],用語集[[#This Row],[キーワード]])&gt;1,"!","")</f>
        <v/>
      </c>
      <c r="C468" s="4" t="str">
        <f>IF(用語集[[#This Row],[キーワード]]="","",IF(OR(用語集[[#This Row],[説明]]="",NOT(ISERROR(FIND("★",用語集[[#This Row],[説明]])))),"★","☆"))</f>
        <v/>
      </c>
      <c r="D468" s="5"/>
      <c r="E468" s="3"/>
      <c r="F468" s="3"/>
      <c r="G468" s="4"/>
      <c r="H468" s="4"/>
      <c r="I468" s="7" t="s">
        <v>18</v>
      </c>
      <c r="J468" s="7" t="s">
        <v>18</v>
      </c>
      <c r="K468" s="7" t="s">
        <v>18</v>
      </c>
      <c r="L468" s="7" t="s">
        <v>18</v>
      </c>
      <c r="M468" s="7" t="s">
        <v>18</v>
      </c>
      <c r="N468" s="7" t="s">
        <v>18</v>
      </c>
    </row>
    <row r="469" spans="1:14" s="2" customFormat="1" x14ac:dyDescent="0.15">
      <c r="A469" s="3">
        <v>468</v>
      </c>
      <c r="B469" s="4" t="str">
        <f>IF(COUNTIF(用語集[キーワード],用語集[[#This Row],[キーワード]])&gt;1,"!","")</f>
        <v/>
      </c>
      <c r="C469" s="4" t="str">
        <f>IF(用語集[[#This Row],[キーワード]]="","",IF(OR(用語集[[#This Row],[説明]]="",NOT(ISERROR(FIND("★",用語集[[#This Row],[説明]])))),"★","☆"))</f>
        <v/>
      </c>
      <c r="D469" s="5"/>
      <c r="E469" s="3"/>
      <c r="F469" s="3"/>
      <c r="G469" s="4"/>
      <c r="H469" s="4"/>
      <c r="I469" s="7" t="s">
        <v>18</v>
      </c>
      <c r="J469" s="7" t="s">
        <v>18</v>
      </c>
      <c r="K469" s="7" t="s">
        <v>18</v>
      </c>
      <c r="L469" s="7" t="s">
        <v>18</v>
      </c>
      <c r="M469" s="7" t="s">
        <v>18</v>
      </c>
      <c r="N469" s="7" t="s">
        <v>18</v>
      </c>
    </row>
    <row r="470" spans="1:14" s="2" customFormat="1" x14ac:dyDescent="0.15">
      <c r="A470" s="3">
        <v>469</v>
      </c>
      <c r="B470" s="4" t="str">
        <f>IF(COUNTIF(用語集[キーワード],用語集[[#This Row],[キーワード]])&gt;1,"!","")</f>
        <v/>
      </c>
      <c r="C470" s="4" t="str">
        <f>IF(用語集[[#This Row],[キーワード]]="","",IF(OR(用語集[[#This Row],[説明]]="",NOT(ISERROR(FIND("★",用語集[[#This Row],[説明]])))),"★","☆"))</f>
        <v/>
      </c>
      <c r="D470" s="5"/>
      <c r="E470" s="3"/>
      <c r="F470" s="3"/>
      <c r="G470" s="4"/>
      <c r="H470" s="4"/>
      <c r="I470" s="7" t="s">
        <v>18</v>
      </c>
      <c r="J470" s="7" t="s">
        <v>18</v>
      </c>
      <c r="K470" s="7" t="s">
        <v>18</v>
      </c>
      <c r="L470" s="7" t="s">
        <v>18</v>
      </c>
      <c r="M470" s="7" t="s">
        <v>18</v>
      </c>
      <c r="N470" s="7" t="s">
        <v>18</v>
      </c>
    </row>
    <row r="471" spans="1:14" s="2" customFormat="1" x14ac:dyDescent="0.15">
      <c r="A471" s="3">
        <v>470</v>
      </c>
      <c r="B471" s="4" t="str">
        <f>IF(COUNTIF(用語集[キーワード],用語集[[#This Row],[キーワード]])&gt;1,"!","")</f>
        <v/>
      </c>
      <c r="C471" s="4" t="str">
        <f>IF(用語集[[#This Row],[キーワード]]="","",IF(OR(用語集[[#This Row],[説明]]="",NOT(ISERROR(FIND("★",用語集[[#This Row],[説明]])))),"★","☆"))</f>
        <v/>
      </c>
      <c r="D471" s="5"/>
      <c r="E471" s="3"/>
      <c r="F471" s="3"/>
      <c r="G471" s="4"/>
      <c r="H471" s="4"/>
      <c r="I471" s="7" t="s">
        <v>18</v>
      </c>
      <c r="J471" s="7" t="s">
        <v>18</v>
      </c>
      <c r="K471" s="7" t="s">
        <v>18</v>
      </c>
      <c r="L471" s="7" t="s">
        <v>18</v>
      </c>
      <c r="M471" s="7" t="s">
        <v>18</v>
      </c>
      <c r="N471" s="7" t="s">
        <v>18</v>
      </c>
    </row>
    <row r="472" spans="1:14" s="2" customFormat="1" x14ac:dyDescent="0.15">
      <c r="A472" s="3">
        <v>471</v>
      </c>
      <c r="B472" s="4" t="str">
        <f>IF(COUNTIF(用語集[キーワード],用語集[[#This Row],[キーワード]])&gt;1,"!","")</f>
        <v/>
      </c>
      <c r="C472" s="4" t="str">
        <f>IF(用語集[[#This Row],[キーワード]]="","",IF(OR(用語集[[#This Row],[説明]]="",NOT(ISERROR(FIND("★",用語集[[#This Row],[説明]])))),"★","☆"))</f>
        <v/>
      </c>
      <c r="D472" s="5"/>
      <c r="E472" s="3"/>
      <c r="F472" s="3"/>
      <c r="G472" s="4"/>
      <c r="H472" s="4"/>
      <c r="I472" s="7" t="s">
        <v>18</v>
      </c>
      <c r="J472" s="7" t="s">
        <v>18</v>
      </c>
      <c r="K472" s="7" t="s">
        <v>18</v>
      </c>
      <c r="L472" s="7" t="s">
        <v>18</v>
      </c>
      <c r="M472" s="7" t="s">
        <v>18</v>
      </c>
      <c r="N472" s="7" t="s">
        <v>18</v>
      </c>
    </row>
    <row r="473" spans="1:14" s="2" customFormat="1" x14ac:dyDescent="0.15">
      <c r="A473" s="3">
        <v>472</v>
      </c>
      <c r="B473" s="4" t="str">
        <f>IF(COUNTIF(用語集[キーワード],用語集[[#This Row],[キーワード]])&gt;1,"!","")</f>
        <v/>
      </c>
      <c r="C473" s="4" t="str">
        <f>IF(用語集[[#This Row],[キーワード]]="","",IF(OR(用語集[[#This Row],[説明]]="",NOT(ISERROR(FIND("★",用語集[[#This Row],[説明]])))),"★","☆"))</f>
        <v/>
      </c>
      <c r="D473" s="5"/>
      <c r="E473" s="3"/>
      <c r="F473" s="3"/>
      <c r="G473" s="4"/>
      <c r="H473" s="4"/>
      <c r="I473" s="7" t="s">
        <v>18</v>
      </c>
      <c r="J473" s="7" t="s">
        <v>18</v>
      </c>
      <c r="K473" s="7" t="s">
        <v>18</v>
      </c>
      <c r="L473" s="7" t="s">
        <v>18</v>
      </c>
      <c r="M473" s="7" t="s">
        <v>18</v>
      </c>
      <c r="N473" s="7" t="s">
        <v>18</v>
      </c>
    </row>
    <row r="474" spans="1:14" s="2" customFormat="1" x14ac:dyDescent="0.15">
      <c r="A474" s="3">
        <v>473</v>
      </c>
      <c r="B474" s="4" t="str">
        <f>IF(COUNTIF(用語集[キーワード],用語集[[#This Row],[キーワード]])&gt;1,"!","")</f>
        <v/>
      </c>
      <c r="C474" s="4" t="str">
        <f>IF(用語集[[#This Row],[キーワード]]="","",IF(OR(用語集[[#This Row],[説明]]="",NOT(ISERROR(FIND("★",用語集[[#This Row],[説明]])))),"★","☆"))</f>
        <v/>
      </c>
      <c r="D474" s="5"/>
      <c r="E474" s="3"/>
      <c r="F474" s="3"/>
      <c r="G474" s="4"/>
      <c r="H474" s="4"/>
      <c r="I474" s="7" t="s">
        <v>18</v>
      </c>
      <c r="J474" s="7" t="s">
        <v>18</v>
      </c>
      <c r="K474" s="7" t="s">
        <v>18</v>
      </c>
      <c r="L474" s="7" t="s">
        <v>18</v>
      </c>
      <c r="M474" s="7" t="s">
        <v>18</v>
      </c>
      <c r="N474" s="7" t="s">
        <v>18</v>
      </c>
    </row>
    <row r="475" spans="1:14" s="2" customFormat="1" x14ac:dyDescent="0.15">
      <c r="A475" s="3">
        <v>474</v>
      </c>
      <c r="B475" s="4" t="str">
        <f>IF(COUNTIF(用語集[キーワード],用語集[[#This Row],[キーワード]])&gt;1,"!","")</f>
        <v/>
      </c>
      <c r="C475" s="4" t="str">
        <f>IF(用語集[[#This Row],[キーワード]]="","",IF(OR(用語集[[#This Row],[説明]]="",NOT(ISERROR(FIND("★",用語集[[#This Row],[説明]])))),"★","☆"))</f>
        <v/>
      </c>
      <c r="D475" s="5"/>
      <c r="E475" s="3"/>
      <c r="F475" s="3"/>
      <c r="G475" s="4"/>
      <c r="H475" s="4"/>
      <c r="I475" s="7" t="s">
        <v>18</v>
      </c>
      <c r="J475" s="7" t="s">
        <v>18</v>
      </c>
      <c r="K475" s="7" t="s">
        <v>18</v>
      </c>
      <c r="L475" s="7" t="s">
        <v>18</v>
      </c>
      <c r="M475" s="7" t="s">
        <v>18</v>
      </c>
      <c r="N475" s="7" t="s">
        <v>18</v>
      </c>
    </row>
    <row r="476" spans="1:14" s="2" customFormat="1" x14ac:dyDescent="0.15">
      <c r="A476" s="3">
        <v>475</v>
      </c>
      <c r="B476" s="4" t="str">
        <f>IF(COUNTIF(用語集[キーワード],用語集[[#This Row],[キーワード]])&gt;1,"!","")</f>
        <v/>
      </c>
      <c r="C476" s="4" t="str">
        <f>IF(用語集[[#This Row],[キーワード]]="","",IF(OR(用語集[[#This Row],[説明]]="",NOT(ISERROR(FIND("★",用語集[[#This Row],[説明]])))),"★","☆"))</f>
        <v/>
      </c>
      <c r="D476" s="5"/>
      <c r="E476" s="3"/>
      <c r="F476" s="3"/>
      <c r="G476" s="4"/>
      <c r="H476" s="4"/>
      <c r="I476" s="7" t="s">
        <v>18</v>
      </c>
      <c r="J476" s="7" t="s">
        <v>18</v>
      </c>
      <c r="K476" s="7" t="s">
        <v>18</v>
      </c>
      <c r="L476" s="7" t="s">
        <v>18</v>
      </c>
      <c r="M476" s="7" t="s">
        <v>18</v>
      </c>
      <c r="N476" s="7" t="s">
        <v>18</v>
      </c>
    </row>
    <row r="477" spans="1:14" s="2" customFormat="1" x14ac:dyDescent="0.15">
      <c r="A477" s="3">
        <v>476</v>
      </c>
      <c r="B477" s="4" t="str">
        <f>IF(COUNTIF(用語集[キーワード],用語集[[#This Row],[キーワード]])&gt;1,"!","")</f>
        <v/>
      </c>
      <c r="C477" s="4" t="str">
        <f>IF(用語集[[#This Row],[キーワード]]="","",IF(OR(用語集[[#This Row],[説明]]="",NOT(ISERROR(FIND("★",用語集[[#This Row],[説明]])))),"★","☆"))</f>
        <v/>
      </c>
      <c r="D477" s="5"/>
      <c r="E477" s="3"/>
      <c r="F477" s="3"/>
      <c r="G477" s="4"/>
      <c r="H477" s="4"/>
      <c r="I477" s="7" t="s">
        <v>18</v>
      </c>
      <c r="J477" s="7" t="s">
        <v>18</v>
      </c>
      <c r="K477" s="7" t="s">
        <v>18</v>
      </c>
      <c r="L477" s="7" t="s">
        <v>18</v>
      </c>
      <c r="M477" s="7" t="s">
        <v>18</v>
      </c>
      <c r="N477" s="7" t="s">
        <v>18</v>
      </c>
    </row>
    <row r="478" spans="1:14" s="2" customFormat="1" x14ac:dyDescent="0.15">
      <c r="A478" s="3">
        <v>477</v>
      </c>
      <c r="B478" s="4" t="str">
        <f>IF(COUNTIF(用語集[キーワード],用語集[[#This Row],[キーワード]])&gt;1,"!","")</f>
        <v/>
      </c>
      <c r="C478" s="4" t="str">
        <f>IF(用語集[[#This Row],[キーワード]]="","",IF(OR(用語集[[#This Row],[説明]]="",NOT(ISERROR(FIND("★",用語集[[#This Row],[説明]])))),"★","☆"))</f>
        <v/>
      </c>
      <c r="D478" s="5"/>
      <c r="E478" s="3"/>
      <c r="F478" s="3"/>
      <c r="G478" s="4"/>
      <c r="H478" s="4"/>
      <c r="I478" s="7" t="s">
        <v>18</v>
      </c>
      <c r="J478" s="7" t="s">
        <v>18</v>
      </c>
      <c r="K478" s="7" t="s">
        <v>18</v>
      </c>
      <c r="L478" s="7" t="s">
        <v>18</v>
      </c>
      <c r="M478" s="7" t="s">
        <v>18</v>
      </c>
      <c r="N478" s="7" t="s">
        <v>18</v>
      </c>
    </row>
    <row r="479" spans="1:14" s="2" customFormat="1" x14ac:dyDescent="0.15">
      <c r="A479" s="3">
        <v>478</v>
      </c>
      <c r="B479" s="4" t="str">
        <f>IF(COUNTIF(用語集[キーワード],用語集[[#This Row],[キーワード]])&gt;1,"!","")</f>
        <v/>
      </c>
      <c r="C479" s="4" t="str">
        <f>IF(用語集[[#This Row],[キーワード]]="","",IF(OR(用語集[[#This Row],[説明]]="",NOT(ISERROR(FIND("★",用語集[[#This Row],[説明]])))),"★","☆"))</f>
        <v/>
      </c>
      <c r="D479" s="5"/>
      <c r="E479" s="3"/>
      <c r="F479" s="3"/>
      <c r="G479" s="4"/>
      <c r="H479" s="4"/>
      <c r="I479" s="7" t="s">
        <v>18</v>
      </c>
      <c r="J479" s="7" t="s">
        <v>18</v>
      </c>
      <c r="K479" s="7" t="s">
        <v>18</v>
      </c>
      <c r="L479" s="7" t="s">
        <v>18</v>
      </c>
      <c r="M479" s="7" t="s">
        <v>18</v>
      </c>
      <c r="N479" s="7" t="s">
        <v>18</v>
      </c>
    </row>
    <row r="480" spans="1:14" s="2" customFormat="1" x14ac:dyDescent="0.15">
      <c r="A480" s="3">
        <v>479</v>
      </c>
      <c r="B480" s="4" t="str">
        <f>IF(COUNTIF(用語集[キーワード],用語集[[#This Row],[キーワード]])&gt;1,"!","")</f>
        <v/>
      </c>
      <c r="C480" s="4" t="str">
        <f>IF(用語集[[#This Row],[キーワード]]="","",IF(OR(用語集[[#This Row],[説明]]="",NOT(ISERROR(FIND("★",用語集[[#This Row],[説明]])))),"★","☆"))</f>
        <v/>
      </c>
      <c r="D480" s="5"/>
      <c r="E480" s="3"/>
      <c r="F480" s="3"/>
      <c r="G480" s="4"/>
      <c r="H480" s="4"/>
      <c r="I480" s="7" t="s">
        <v>18</v>
      </c>
      <c r="J480" s="7" t="s">
        <v>18</v>
      </c>
      <c r="K480" s="7" t="s">
        <v>18</v>
      </c>
      <c r="L480" s="7" t="s">
        <v>18</v>
      </c>
      <c r="M480" s="7" t="s">
        <v>18</v>
      </c>
      <c r="N480" s="7" t="s">
        <v>18</v>
      </c>
    </row>
    <row r="481" spans="1:20" s="2" customFormat="1" x14ac:dyDescent="0.15">
      <c r="A481" s="3">
        <v>480</v>
      </c>
      <c r="B481" s="4" t="str">
        <f>IF(COUNTIF(用語集[キーワード],用語集[[#This Row],[キーワード]])&gt;1,"!","")</f>
        <v/>
      </c>
      <c r="C481" s="4" t="str">
        <f>IF(用語集[[#This Row],[キーワード]]="","",IF(OR(用語集[[#This Row],[説明]]="",NOT(ISERROR(FIND("★",用語集[[#This Row],[説明]])))),"★","☆"))</f>
        <v/>
      </c>
      <c r="D481" s="5"/>
      <c r="E481" s="3"/>
      <c r="F481" s="3"/>
      <c r="G481" s="4"/>
      <c r="H481" s="4"/>
      <c r="I481" s="7" t="s">
        <v>18</v>
      </c>
      <c r="J481" s="7" t="s">
        <v>18</v>
      </c>
      <c r="K481" s="7" t="s">
        <v>18</v>
      </c>
      <c r="L481" s="7" t="s">
        <v>18</v>
      </c>
      <c r="M481" s="7" t="s">
        <v>18</v>
      </c>
      <c r="N481" s="7" t="s">
        <v>18</v>
      </c>
    </row>
    <row r="482" spans="1:20" s="2" customFormat="1" x14ac:dyDescent="0.15">
      <c r="A482" s="3">
        <v>481</v>
      </c>
      <c r="B482" s="4" t="str">
        <f>IF(COUNTIF(用語集[キーワード],用語集[[#This Row],[キーワード]])&gt;1,"!","")</f>
        <v/>
      </c>
      <c r="C482" s="4" t="str">
        <f>IF(用語集[[#This Row],[キーワード]]="","",IF(OR(用語集[[#This Row],[説明]]="",NOT(ISERROR(FIND("★",用語集[[#This Row],[説明]])))),"★","☆"))</f>
        <v/>
      </c>
      <c r="D482" s="5"/>
      <c r="E482" s="3"/>
      <c r="F482" s="3"/>
      <c r="G482" s="4"/>
      <c r="H482" s="4"/>
      <c r="I482" s="7" t="s">
        <v>18</v>
      </c>
      <c r="J482" s="7" t="s">
        <v>18</v>
      </c>
      <c r="K482" s="7" t="s">
        <v>18</v>
      </c>
      <c r="L482" s="7" t="s">
        <v>18</v>
      </c>
      <c r="M482" s="7" t="s">
        <v>18</v>
      </c>
      <c r="N482" s="7" t="s">
        <v>18</v>
      </c>
    </row>
    <row r="483" spans="1:20" s="2" customFormat="1" x14ac:dyDescent="0.15">
      <c r="A483" s="3">
        <v>482</v>
      </c>
      <c r="B483" s="4" t="str">
        <f>IF(COUNTIF(用語集[キーワード],用語集[[#This Row],[キーワード]])&gt;1,"!","")</f>
        <v/>
      </c>
      <c r="C483" s="4" t="str">
        <f>IF(用語集[[#This Row],[キーワード]]="","",IF(OR(用語集[[#This Row],[説明]]="",NOT(ISERROR(FIND("★",用語集[[#This Row],[説明]])))),"★","☆"))</f>
        <v/>
      </c>
      <c r="D483" s="5"/>
      <c r="E483" s="3"/>
      <c r="F483" s="3"/>
      <c r="G483" s="4"/>
      <c r="H483" s="4"/>
      <c r="I483" s="7" t="s">
        <v>18</v>
      </c>
      <c r="J483" s="7" t="s">
        <v>18</v>
      </c>
      <c r="K483" s="7" t="s">
        <v>18</v>
      </c>
      <c r="L483" s="7" t="s">
        <v>18</v>
      </c>
      <c r="M483" s="7" t="s">
        <v>18</v>
      </c>
      <c r="N483" s="7" t="s">
        <v>18</v>
      </c>
    </row>
    <row r="484" spans="1:20" s="2" customFormat="1" x14ac:dyDescent="0.15">
      <c r="A484" s="3">
        <v>483</v>
      </c>
      <c r="B484" s="4" t="str">
        <f>IF(COUNTIF(用語集[キーワード],用語集[[#This Row],[キーワード]])&gt;1,"!","")</f>
        <v/>
      </c>
      <c r="C484" s="4" t="str">
        <f>IF(用語集[[#This Row],[キーワード]]="","",IF(OR(用語集[[#This Row],[説明]]="",NOT(ISERROR(FIND("★",用語集[[#This Row],[説明]])))),"★","☆"))</f>
        <v/>
      </c>
      <c r="D484" s="5"/>
      <c r="E484" s="3"/>
      <c r="F484" s="3"/>
      <c r="G484" s="4"/>
      <c r="H484" s="4"/>
      <c r="I484" s="7" t="s">
        <v>18</v>
      </c>
      <c r="J484" s="7" t="s">
        <v>18</v>
      </c>
      <c r="K484" s="7" t="s">
        <v>18</v>
      </c>
      <c r="L484" s="7" t="s">
        <v>18</v>
      </c>
      <c r="M484" s="7" t="s">
        <v>18</v>
      </c>
      <c r="N484" s="7" t="s">
        <v>18</v>
      </c>
    </row>
    <row r="485" spans="1:20" s="2" customFormat="1" x14ac:dyDescent="0.15">
      <c r="A485" s="3">
        <v>484</v>
      </c>
      <c r="B485" s="4" t="str">
        <f>IF(COUNTIF(用語集[キーワード],用語集[[#This Row],[キーワード]])&gt;1,"!","")</f>
        <v/>
      </c>
      <c r="C485" s="4" t="str">
        <f>IF(用語集[[#This Row],[キーワード]]="","",IF(OR(用語集[[#This Row],[説明]]="",NOT(ISERROR(FIND("★",用語集[[#This Row],[説明]])))),"★","☆"))</f>
        <v/>
      </c>
      <c r="D485" s="5"/>
      <c r="E485" s="3"/>
      <c r="F485" s="3"/>
      <c r="G485" s="4"/>
      <c r="H485" s="4"/>
      <c r="I485" s="7" t="s">
        <v>18</v>
      </c>
      <c r="J485" s="7" t="s">
        <v>18</v>
      </c>
      <c r="K485" s="7" t="s">
        <v>18</v>
      </c>
      <c r="L485" s="7" t="s">
        <v>18</v>
      </c>
      <c r="M485" s="7" t="s">
        <v>18</v>
      </c>
      <c r="N485" s="7" t="s">
        <v>18</v>
      </c>
    </row>
    <row r="486" spans="1:20" s="2" customFormat="1" x14ac:dyDescent="0.15">
      <c r="A486" s="3">
        <v>485</v>
      </c>
      <c r="B486" s="4" t="str">
        <f>IF(COUNTIF(用語集[キーワード],用語集[[#This Row],[キーワード]])&gt;1,"!","")</f>
        <v/>
      </c>
      <c r="C486" s="4" t="str">
        <f>IF(用語集[[#This Row],[キーワード]]="","",IF(OR(用語集[[#This Row],[説明]]="",NOT(ISERROR(FIND("★",用語集[[#This Row],[説明]])))),"★","☆"))</f>
        <v/>
      </c>
      <c r="D486" s="5"/>
      <c r="E486" s="3"/>
      <c r="F486" s="3"/>
      <c r="G486" s="4"/>
      <c r="H486" s="4"/>
      <c r="I486" s="7" t="s">
        <v>18</v>
      </c>
      <c r="J486" s="7" t="s">
        <v>18</v>
      </c>
      <c r="K486" s="7" t="s">
        <v>18</v>
      </c>
      <c r="L486" s="7" t="s">
        <v>18</v>
      </c>
      <c r="M486" s="7" t="s">
        <v>18</v>
      </c>
      <c r="N486" s="7" t="s">
        <v>18</v>
      </c>
    </row>
    <row r="487" spans="1:20" s="2" customFormat="1" x14ac:dyDescent="0.15">
      <c r="A487" s="3">
        <v>486</v>
      </c>
      <c r="B487" s="4" t="str">
        <f>IF(COUNTIF(用語集[キーワード],用語集[[#This Row],[キーワード]])&gt;1,"!","")</f>
        <v/>
      </c>
      <c r="C487" s="4" t="str">
        <f>IF(用語集[[#This Row],[キーワード]]="","",IF(OR(用語集[[#This Row],[説明]]="",NOT(ISERROR(FIND("★",用語集[[#This Row],[説明]])))),"★","☆"))</f>
        <v/>
      </c>
      <c r="D487" s="5"/>
      <c r="E487" s="3"/>
      <c r="F487" s="3"/>
      <c r="G487" s="4"/>
      <c r="H487" s="4"/>
      <c r="I487" s="7" t="s">
        <v>18</v>
      </c>
      <c r="J487" s="7" t="s">
        <v>18</v>
      </c>
      <c r="K487" s="7" t="s">
        <v>18</v>
      </c>
      <c r="L487" s="7" t="s">
        <v>18</v>
      </c>
      <c r="M487" s="7" t="s">
        <v>18</v>
      </c>
      <c r="N487" s="7" t="s">
        <v>18</v>
      </c>
    </row>
    <row r="488" spans="1:20" s="2" customFormat="1" x14ac:dyDescent="0.15">
      <c r="A488" s="3">
        <v>487</v>
      </c>
      <c r="B488" s="4" t="str">
        <f>IF(COUNTIF(用語集[キーワード],用語集[[#This Row],[キーワード]])&gt;1,"!","")</f>
        <v/>
      </c>
      <c r="C488" s="4" t="str">
        <f>IF(用語集[[#This Row],[キーワード]]="","",IF(OR(用語集[[#This Row],[説明]]="",NOT(ISERROR(FIND("★",用語集[[#This Row],[説明]])))),"★","☆"))</f>
        <v/>
      </c>
      <c r="D488" s="5"/>
      <c r="E488" s="3"/>
      <c r="F488" s="3"/>
      <c r="G488" s="4"/>
      <c r="H488" s="4"/>
      <c r="I488" s="7" t="s">
        <v>18</v>
      </c>
      <c r="J488" s="7" t="s">
        <v>18</v>
      </c>
      <c r="K488" s="7" t="s">
        <v>18</v>
      </c>
      <c r="L488" s="7" t="s">
        <v>18</v>
      </c>
      <c r="M488" s="7" t="s">
        <v>18</v>
      </c>
      <c r="N488" s="7" t="s">
        <v>18</v>
      </c>
    </row>
    <row r="489" spans="1:20" s="2" customFormat="1" x14ac:dyDescent="0.15">
      <c r="A489" s="3">
        <v>488</v>
      </c>
      <c r="B489" s="4" t="str">
        <f>IF(COUNTIF(用語集[キーワード],用語集[[#This Row],[キーワード]])&gt;1,"!","")</f>
        <v/>
      </c>
      <c r="C489" s="4" t="str">
        <f>IF(用語集[[#This Row],[キーワード]]="","",IF(OR(用語集[[#This Row],[説明]]="",NOT(ISERROR(FIND("★",用語集[[#This Row],[説明]])))),"★","☆"))</f>
        <v/>
      </c>
      <c r="D489" s="5"/>
      <c r="E489" s="3"/>
      <c r="F489" s="3"/>
      <c r="G489" s="4"/>
      <c r="H489" s="4"/>
      <c r="I489" s="7" t="s">
        <v>18</v>
      </c>
      <c r="J489" s="7" t="s">
        <v>18</v>
      </c>
      <c r="K489" s="7" t="s">
        <v>18</v>
      </c>
      <c r="L489" s="7" t="s">
        <v>18</v>
      </c>
      <c r="M489" s="7" t="s">
        <v>18</v>
      </c>
      <c r="N489" s="7" t="s">
        <v>18</v>
      </c>
    </row>
    <row r="490" spans="1:20" x14ac:dyDescent="0.15">
      <c r="A490" s="3">
        <v>489</v>
      </c>
      <c r="B490" s="4" t="str">
        <f>IF(COUNTIF(用語集[キーワード],用語集[[#This Row],[キーワード]])&gt;1,"!","")</f>
        <v/>
      </c>
      <c r="C490" s="4" t="str">
        <f>IF(用語集[[#This Row],[キーワード]]="","",IF(OR(用語集[[#This Row],[説明]]="",NOT(ISERROR(FIND("★",用語集[[#This Row],[説明]])))),"★","☆"))</f>
        <v/>
      </c>
      <c r="D490" s="5"/>
      <c r="E490" s="3"/>
      <c r="F490" s="3"/>
      <c r="G490" s="4"/>
      <c r="H490" s="4"/>
      <c r="I490" s="7" t="s">
        <v>18</v>
      </c>
      <c r="J490" s="7" t="s">
        <v>18</v>
      </c>
      <c r="K490" s="7" t="s">
        <v>18</v>
      </c>
      <c r="L490" s="7" t="s">
        <v>18</v>
      </c>
      <c r="M490" s="7" t="s">
        <v>18</v>
      </c>
      <c r="N490" s="7" t="s">
        <v>18</v>
      </c>
      <c r="S490" s="12"/>
      <c r="T490" s="12"/>
    </row>
    <row r="491" spans="1:20" x14ac:dyDescent="0.15">
      <c r="A491" s="3">
        <v>490</v>
      </c>
      <c r="B491" s="4" t="str">
        <f>IF(COUNTIF(用語集[キーワード],用語集[[#This Row],[キーワード]])&gt;1,"!","")</f>
        <v/>
      </c>
      <c r="C491" s="4" t="str">
        <f>IF(用語集[[#This Row],[キーワード]]="","",IF(OR(用語集[[#This Row],[説明]]="",NOT(ISERROR(FIND("★",用語集[[#This Row],[説明]])))),"★","☆"))</f>
        <v/>
      </c>
      <c r="D491" s="5"/>
      <c r="E491" s="3"/>
      <c r="F491" s="3"/>
      <c r="G491" s="4"/>
      <c r="H491" s="4"/>
      <c r="I491" s="7" t="s">
        <v>18</v>
      </c>
      <c r="J491" s="7" t="s">
        <v>18</v>
      </c>
      <c r="K491" s="7" t="s">
        <v>18</v>
      </c>
      <c r="L491" s="7" t="s">
        <v>18</v>
      </c>
      <c r="M491" s="7" t="s">
        <v>18</v>
      </c>
      <c r="N491" s="7" t="s">
        <v>18</v>
      </c>
      <c r="S491" s="12"/>
      <c r="T491" s="12"/>
    </row>
    <row r="492" spans="1:20" x14ac:dyDescent="0.15">
      <c r="A492" s="3">
        <v>491</v>
      </c>
      <c r="B492" s="4" t="str">
        <f>IF(COUNTIF(用語集[キーワード],用語集[[#This Row],[キーワード]])&gt;1,"!","")</f>
        <v/>
      </c>
      <c r="C492" s="4" t="str">
        <f>IF(用語集[[#This Row],[キーワード]]="","",IF(OR(用語集[[#This Row],[説明]]="",NOT(ISERROR(FIND("★",用語集[[#This Row],[説明]])))),"★","☆"))</f>
        <v/>
      </c>
      <c r="D492" s="5"/>
      <c r="E492" s="3"/>
      <c r="F492" s="3"/>
      <c r="G492" s="4"/>
      <c r="H492" s="4"/>
      <c r="I492" s="7" t="s">
        <v>18</v>
      </c>
      <c r="J492" s="7" t="s">
        <v>18</v>
      </c>
      <c r="K492" s="7" t="s">
        <v>18</v>
      </c>
      <c r="L492" s="7" t="s">
        <v>18</v>
      </c>
      <c r="M492" s="7" t="s">
        <v>18</v>
      </c>
      <c r="N492" s="7" t="s">
        <v>18</v>
      </c>
      <c r="S492" s="12"/>
      <c r="T492" s="12"/>
    </row>
    <row r="493" spans="1:20" x14ac:dyDescent="0.15">
      <c r="A493" s="3">
        <v>492</v>
      </c>
      <c r="B493" s="4" t="str">
        <f>IF(COUNTIF(用語集[キーワード],用語集[[#This Row],[キーワード]])&gt;1,"!","")</f>
        <v/>
      </c>
      <c r="C493" s="4" t="str">
        <f>IF(用語集[[#This Row],[キーワード]]="","",IF(OR(用語集[[#This Row],[説明]]="",NOT(ISERROR(FIND("★",用語集[[#This Row],[説明]])))),"★","☆"))</f>
        <v/>
      </c>
      <c r="D493" s="5"/>
      <c r="E493" s="3"/>
      <c r="F493" s="3"/>
      <c r="G493" s="4"/>
      <c r="H493" s="4"/>
      <c r="I493" s="7" t="s">
        <v>18</v>
      </c>
      <c r="J493" s="7" t="s">
        <v>18</v>
      </c>
      <c r="K493" s="7" t="s">
        <v>18</v>
      </c>
      <c r="L493" s="7" t="s">
        <v>18</v>
      </c>
      <c r="M493" s="7" t="s">
        <v>18</v>
      </c>
      <c r="N493" s="7" t="s">
        <v>18</v>
      </c>
      <c r="S493" s="12"/>
      <c r="T493" s="12"/>
    </row>
    <row r="494" spans="1:20" x14ac:dyDescent="0.15">
      <c r="A494" s="3">
        <v>493</v>
      </c>
      <c r="B494" s="4" t="str">
        <f>IF(COUNTIF(用語集[キーワード],用語集[[#This Row],[キーワード]])&gt;1,"!","")</f>
        <v/>
      </c>
      <c r="C494" s="4" t="str">
        <f>IF(用語集[[#This Row],[キーワード]]="","",IF(OR(用語集[[#This Row],[説明]]="",NOT(ISERROR(FIND("★",用語集[[#This Row],[説明]])))),"★","☆"))</f>
        <v/>
      </c>
      <c r="D494" s="5"/>
      <c r="E494" s="3"/>
      <c r="F494" s="3"/>
      <c r="G494" s="4"/>
      <c r="H494" s="4"/>
      <c r="I494" s="7" t="s">
        <v>18</v>
      </c>
      <c r="J494" s="7" t="s">
        <v>18</v>
      </c>
      <c r="K494" s="7" t="s">
        <v>18</v>
      </c>
      <c r="L494" s="7" t="s">
        <v>18</v>
      </c>
      <c r="M494" s="7" t="s">
        <v>18</v>
      </c>
      <c r="N494" s="7" t="s">
        <v>18</v>
      </c>
      <c r="S494" s="12"/>
      <c r="T494" s="12"/>
    </row>
    <row r="495" spans="1:20" x14ac:dyDescent="0.15">
      <c r="A495" s="3">
        <v>494</v>
      </c>
      <c r="B495" s="4" t="str">
        <f>IF(COUNTIF(用語集[キーワード],用語集[[#This Row],[キーワード]])&gt;1,"!","")</f>
        <v/>
      </c>
      <c r="C495" s="4" t="str">
        <f>IF(用語集[[#This Row],[キーワード]]="","",IF(OR(用語集[[#This Row],[説明]]="",NOT(ISERROR(FIND("★",用語集[[#This Row],[説明]])))),"★","☆"))</f>
        <v/>
      </c>
      <c r="D495" s="5"/>
      <c r="E495" s="3"/>
      <c r="F495" s="3"/>
      <c r="G495" s="4"/>
      <c r="H495" s="4"/>
      <c r="I495" s="7" t="s">
        <v>18</v>
      </c>
      <c r="J495" s="7" t="s">
        <v>18</v>
      </c>
      <c r="K495" s="7" t="s">
        <v>18</v>
      </c>
      <c r="L495" s="7" t="s">
        <v>18</v>
      </c>
      <c r="M495" s="7" t="s">
        <v>18</v>
      </c>
      <c r="N495" s="7" t="s">
        <v>18</v>
      </c>
      <c r="S495" s="12"/>
      <c r="T495" s="12"/>
    </row>
    <row r="496" spans="1:20" x14ac:dyDescent="0.15">
      <c r="A496" s="3">
        <v>495</v>
      </c>
      <c r="B496" s="4" t="str">
        <f>IF(COUNTIF(用語集[キーワード],用語集[[#This Row],[キーワード]])&gt;1,"!","")</f>
        <v/>
      </c>
      <c r="C496" s="4" t="str">
        <f>IF(用語集[[#This Row],[キーワード]]="","",IF(OR(用語集[[#This Row],[説明]]="",NOT(ISERROR(FIND("★",用語集[[#This Row],[説明]])))),"★","☆"))</f>
        <v/>
      </c>
      <c r="D496" s="5"/>
      <c r="E496" s="3"/>
      <c r="F496" s="3"/>
      <c r="G496" s="4"/>
      <c r="H496" s="4"/>
      <c r="I496" s="7" t="s">
        <v>18</v>
      </c>
      <c r="J496" s="7" t="s">
        <v>18</v>
      </c>
      <c r="K496" s="7" t="s">
        <v>18</v>
      </c>
      <c r="L496" s="7" t="s">
        <v>18</v>
      </c>
      <c r="M496" s="7" t="s">
        <v>18</v>
      </c>
      <c r="N496" s="7" t="s">
        <v>18</v>
      </c>
      <c r="S496" s="12"/>
      <c r="T496" s="12"/>
    </row>
    <row r="497" spans="1:21" x14ac:dyDescent="0.15">
      <c r="A497" s="3">
        <v>496</v>
      </c>
      <c r="B497" s="4" t="str">
        <f>IF(COUNTIF(用語集[キーワード],用語集[[#This Row],[キーワード]])&gt;1,"!","")</f>
        <v/>
      </c>
      <c r="C497" s="4" t="str">
        <f>IF(用語集[[#This Row],[キーワード]]="","",IF(OR(用語集[[#This Row],[説明]]="",NOT(ISERROR(FIND("★",用語集[[#This Row],[説明]])))),"★","☆"))</f>
        <v/>
      </c>
      <c r="D497" s="5"/>
      <c r="E497" s="3"/>
      <c r="F497" s="3"/>
      <c r="G497" s="4"/>
      <c r="H497" s="4"/>
      <c r="I497" s="7" t="s">
        <v>18</v>
      </c>
      <c r="J497" s="7" t="s">
        <v>18</v>
      </c>
      <c r="K497" s="7" t="s">
        <v>18</v>
      </c>
      <c r="L497" s="7" t="s">
        <v>18</v>
      </c>
      <c r="M497" s="7" t="s">
        <v>18</v>
      </c>
      <c r="N497" s="7" t="s">
        <v>18</v>
      </c>
      <c r="S497" s="12"/>
      <c r="T497" s="12"/>
    </row>
    <row r="498" spans="1:21" x14ac:dyDescent="0.15">
      <c r="A498" s="3">
        <v>497</v>
      </c>
      <c r="B498" s="4" t="str">
        <f>IF(COUNTIF(用語集[キーワード],用語集[[#This Row],[キーワード]])&gt;1,"!","")</f>
        <v/>
      </c>
      <c r="C498" s="4" t="str">
        <f>IF(用語集[[#This Row],[キーワード]]="","",IF(OR(用語集[[#This Row],[説明]]="",NOT(ISERROR(FIND("★",用語集[[#This Row],[説明]])))),"★","☆"))</f>
        <v/>
      </c>
      <c r="D498" s="5"/>
      <c r="E498" s="3"/>
      <c r="F498" s="3"/>
      <c r="G498" s="4"/>
      <c r="H498" s="4"/>
      <c r="I498" s="7" t="s">
        <v>18</v>
      </c>
      <c r="J498" s="7" t="s">
        <v>18</v>
      </c>
      <c r="K498" s="7" t="s">
        <v>18</v>
      </c>
      <c r="L498" s="7" t="s">
        <v>18</v>
      </c>
      <c r="M498" s="7" t="s">
        <v>18</v>
      </c>
      <c r="N498" s="7" t="s">
        <v>18</v>
      </c>
      <c r="S498" s="12"/>
      <c r="T498" s="12"/>
    </row>
    <row r="499" spans="1:21" x14ac:dyDescent="0.15">
      <c r="A499" s="3">
        <v>498</v>
      </c>
      <c r="B499" s="4" t="str">
        <f>IF(COUNTIF(用語集[キーワード],用語集[[#This Row],[キーワード]])&gt;1,"!","")</f>
        <v/>
      </c>
      <c r="C499" s="4" t="str">
        <f>IF(用語集[[#This Row],[キーワード]]="","",IF(OR(用語集[[#This Row],[説明]]="",NOT(ISERROR(FIND("★",用語集[[#This Row],[説明]])))),"★","☆"))</f>
        <v/>
      </c>
      <c r="D499" s="5"/>
      <c r="E499" s="3"/>
      <c r="F499" s="3"/>
      <c r="G499" s="4"/>
      <c r="H499" s="4"/>
      <c r="I499" s="7" t="s">
        <v>18</v>
      </c>
      <c r="J499" s="7" t="s">
        <v>18</v>
      </c>
      <c r="K499" s="7" t="s">
        <v>18</v>
      </c>
      <c r="L499" s="7" t="s">
        <v>18</v>
      </c>
      <c r="M499" s="7" t="s">
        <v>18</v>
      </c>
      <c r="N499" s="7" t="s">
        <v>18</v>
      </c>
      <c r="S499" s="12"/>
      <c r="T499" s="12"/>
    </row>
    <row r="500" spans="1:21" x14ac:dyDescent="0.15">
      <c r="A500" s="3">
        <v>499</v>
      </c>
      <c r="B500" s="4" t="str">
        <f>IF(COUNTIF(用語集[キーワード],用語集[[#This Row],[キーワード]])&gt;1,"!","")</f>
        <v/>
      </c>
      <c r="C500" s="4" t="str">
        <f>IF(用語集[[#This Row],[キーワード]]="","",IF(OR(用語集[[#This Row],[説明]]="",NOT(ISERROR(FIND("★",用語集[[#This Row],[説明]])))),"★","☆"))</f>
        <v/>
      </c>
      <c r="D500" s="5"/>
      <c r="E500" s="3"/>
      <c r="F500" s="3"/>
      <c r="G500" s="4"/>
      <c r="H500" s="4"/>
      <c r="I500" s="7" t="s">
        <v>18</v>
      </c>
      <c r="J500" s="7" t="s">
        <v>18</v>
      </c>
      <c r="K500" s="7" t="s">
        <v>18</v>
      </c>
      <c r="L500" s="7" t="s">
        <v>18</v>
      </c>
      <c r="M500" s="7" t="s">
        <v>18</v>
      </c>
      <c r="N500" s="7" t="s">
        <v>18</v>
      </c>
      <c r="S500" s="12"/>
      <c r="T500" s="12"/>
    </row>
    <row r="501" spans="1:21" x14ac:dyDescent="0.15">
      <c r="A501" s="3">
        <v>500</v>
      </c>
      <c r="B501" s="4" t="str">
        <f>IF(COUNTIF(用語集[キーワード],用語集[[#This Row],[キーワード]])&gt;1,"!","")</f>
        <v/>
      </c>
      <c r="C501" s="4" t="str">
        <f>IF(用語集[[#This Row],[キーワード]]="","",IF(OR(用語集[[#This Row],[説明]]="",NOT(ISERROR(FIND("★",用語集[[#This Row],[説明]])))),"★","☆"))</f>
        <v/>
      </c>
      <c r="D501" s="5"/>
      <c r="E501" s="3"/>
      <c r="F501" s="3"/>
      <c r="G501" s="4"/>
      <c r="H501" s="4"/>
      <c r="I501" s="7" t="s">
        <v>18</v>
      </c>
      <c r="J501" s="7" t="s">
        <v>18</v>
      </c>
      <c r="K501" s="7" t="s">
        <v>18</v>
      </c>
      <c r="L501" s="7" t="s">
        <v>18</v>
      </c>
      <c r="M501" s="7" t="s">
        <v>18</v>
      </c>
      <c r="N501" s="7" t="s">
        <v>18</v>
      </c>
      <c r="S501" s="12"/>
      <c r="U501" s="13"/>
    </row>
  </sheetData>
  <dataConsolidate/>
  <phoneticPr fontId="3"/>
  <conditionalFormatting sqref="A2:N501">
    <cfRule type="expression" dxfId="2" priority="1">
      <formula>$B2="!"</formula>
    </cfRule>
    <cfRule type="expression" dxfId="1" priority="2">
      <formula>$C2="★"</formula>
    </cfRule>
    <cfRule type="expression" dxfId="0" priority="3">
      <formula>$C2="☆"</formula>
    </cfRule>
  </conditionalFormatting>
  <hyperlinks>
    <hyperlink ref="J2" r:id="rId1" xr:uid="{7BF03CA0-3B6D-44EB-B69E-1A7CCD1E99B0}"/>
    <hyperlink ref="I2" r:id="rId2" xr:uid="{4C8EFA9F-5951-4FEC-9239-9187D0A7A235}"/>
    <hyperlink ref="J3" r:id="rId3" xr:uid="{D9B053AF-486D-435F-A04F-40309FACC67C}"/>
    <hyperlink ref="I3" r:id="rId4" xr:uid="{B2E4FB0D-F09C-4430-9D57-6331C1FA8E8A}"/>
    <hyperlink ref="J4" r:id="rId5" xr:uid="{AB12977D-9A68-4249-A83B-CAD65DA50256}"/>
    <hyperlink ref="I4" r:id="rId6" xr:uid="{C75330FF-DA4B-4E7B-BC67-2B11F7B26025}"/>
    <hyperlink ref="I5" r:id="rId7" xr:uid="{BB46AC51-5426-4BFD-A08C-5A1C0833B7A7}"/>
    <hyperlink ref="J6" r:id="rId8" xr:uid="{8274DE27-4003-42FE-8C49-BFDD540116DC}"/>
    <hyperlink ref="I6" r:id="rId9" xr:uid="{10919327-A2D5-4180-B64F-833EF70F2CA4}"/>
    <hyperlink ref="J7" r:id="rId10" xr:uid="{CC9E3AA1-8B0C-4387-A1B1-5C5E34038ED6}"/>
    <hyperlink ref="I7" r:id="rId11" xr:uid="{04CE0F72-241C-45C0-A9ED-E7B062B3EAC4}"/>
    <hyperlink ref="K7" r:id="rId12" xr:uid="{885E4467-3F20-456C-8B4E-9CB76AD87574}"/>
    <hyperlink ref="J8" r:id="rId13" location="container" xr:uid="{3915B9D9-61F5-4986-BDED-347D0DB60ACF}"/>
    <hyperlink ref="J9" r:id="rId14" xr:uid="{5F64204E-03B0-4400-BD46-27B54DF747D8}"/>
    <hyperlink ref="J10" r:id="rId15" xr:uid="{0F8E79B6-810B-4708-840B-3A2947E87ACC}"/>
    <hyperlink ref="J11" r:id="rId16" xr:uid="{C2830496-91FF-4E69-B893-7390AE30DBC8}"/>
    <hyperlink ref="K10" r:id="rId17" xr:uid="{85228065-7215-42F1-BE5B-A0343E1D1129}"/>
    <hyperlink ref="J12" r:id="rId18" xr:uid="{066D2193-4C0D-44D6-9CE5-C5EA2CC4C0D0}"/>
    <hyperlink ref="J13" r:id="rId19" xr:uid="{9C8A5BCF-5F2B-4771-9D81-D360E88158ED}"/>
    <hyperlink ref="I13" r:id="rId20" xr:uid="{420B74EB-FBEC-45A4-BD8F-70B606A354C0}"/>
    <hyperlink ref="L10" r:id="rId21" xr:uid="{9C0546F4-9C4A-481D-88DD-7AF5C1F37762}"/>
    <hyperlink ref="J14" r:id="rId22" location="%E6%A6%82%E8%A6%81" xr:uid="{9C8CEA3B-BEA0-4227-8A4D-F838185C94F8}"/>
    <hyperlink ref="J15" r:id="rId23" xr:uid="{F5FEC85D-8EAD-4EEF-AE86-9DB314F8E766}"/>
    <hyperlink ref="J16" r:id="rId24" xr:uid="{3941F1B1-2BF0-4588-B0D3-D4A39CA0B619}"/>
    <hyperlink ref="I17" r:id="rId25" location="contact-coefficients" xr:uid="{8A7377BB-036D-40EE-A844-FE01C634039C}"/>
    <hyperlink ref="I18" r:id="rId26" location="contact-coefficients" xr:uid="{19867FD4-91B8-484D-B975-9521480214F0}"/>
    <hyperlink ref="K20" r:id="rId27" xr:uid="{B50885B5-12D9-49AB-9387-FB08499897C9}"/>
    <hyperlink ref="K19" r:id="rId28" xr:uid="{AC7C5C88-AA07-4044-819A-03A30B0E7165}"/>
    <hyperlink ref="L20" r:id="rId29" xr:uid="{CB5E8D9F-C852-4D7A-935F-06409ECA2DA7}"/>
    <hyperlink ref="J23" r:id="rId30" xr:uid="{E4732224-A3C8-482F-BE6D-66665B963958}"/>
    <hyperlink ref="I23" r:id="rId31" xr:uid="{D32A930F-876B-4B28-9271-BFE70902339D}"/>
    <hyperlink ref="J24" r:id="rId32" xr:uid="{10D1FE6D-0AEC-4CB1-B3DB-15DBBB63A975}"/>
    <hyperlink ref="I24" r:id="rId33" xr:uid="{D253EDB3-37FE-44B1-9F00-6458E22C82DD}"/>
    <hyperlink ref="J25" r:id="rId34" xr:uid="{80355A4A-AE3F-4CDE-B4BB-6F10DDE5A501}"/>
    <hyperlink ref="I25" r:id="rId35" xr:uid="{055C1885-ABFB-4DE5-BE51-77B95FA4E146}"/>
    <hyperlink ref="J26" r:id="rId36" xr:uid="{C7B4941B-A0BB-460E-8264-CFB5ABFBAFDE}"/>
    <hyperlink ref="J27" r:id="rId37" xr:uid="{BEC0E1F4-AF9A-48AB-A4D4-6C31A68AA2E7}"/>
    <hyperlink ref="I28" r:id="rId38" xr:uid="{3C9CEDB8-0323-497B-9D2A-5B2B24AE4D3A}"/>
    <hyperlink ref="J28" r:id="rId39" xr:uid="{AF889FC3-A4CD-4FC3-86E7-66FB7BD0C59B}"/>
    <hyperlink ref="I29" r:id="rId40" xr:uid="{CD30D65B-E284-4560-BDC0-CD1DA841D163}"/>
    <hyperlink ref="J29" r:id="rId41" xr:uid="{F25B5C49-AF54-4D47-88EB-385999F0E440}"/>
    <hyperlink ref="K29" r:id="rId42" xr:uid="{F3635414-7EAD-4DB0-970F-EB8A1538668B}"/>
    <hyperlink ref="L29" r:id="rId43" xr:uid="{3BC75084-19BA-4FF8-A9AB-0C411052261F}"/>
    <hyperlink ref="J30" r:id="rId44" xr:uid="{F7F2FB79-64B3-4E68-954F-66CA7ADA2868}"/>
    <hyperlink ref="J32" r:id="rId45" xr:uid="{1CC16346-D6A7-47DE-A413-9AB5467F59AB}"/>
    <hyperlink ref="I32" r:id="rId46" location="using-mimic-joints-in-simulation" xr:uid="{EE3031F5-C8C7-4AB5-B14E-8996D8A5A69D}"/>
    <hyperlink ref="J33" r:id="rId47" xr:uid="{CD645516-C741-45E4-8D4A-27ED938E7F16}"/>
    <hyperlink ref="J34" r:id="rId48" xr:uid="{0375FAE9-E5A7-4C12-BE11-393D5383E0A0}"/>
    <hyperlink ref="I35" r:id="rId49" xr:uid="{FBB771FF-6D48-4FC7-8155-B5DBA0627303}"/>
    <hyperlink ref="I36" r:id="rId50" xr:uid="{6A1B5FCB-358E-4B29-933A-15A1E97A7342}"/>
    <hyperlink ref="J35" r:id="rId51" xr:uid="{B0F7A6A7-DA03-4B6D-8EE8-EBF11007AF3E}"/>
    <hyperlink ref="J36" r:id="rId52" xr:uid="{699EDE17-833B-4B06-BB32-C5D49CE2373D}"/>
    <hyperlink ref="K15" r:id="rId53" xr:uid="{146F1A26-CE55-430B-817C-7145499D66C8}"/>
    <hyperlink ref="J39" r:id="rId54" xr:uid="{0CEE9E4A-DED6-4E93-B9E3-2060347F8A39}"/>
    <hyperlink ref="J40" r:id="rId55" xr:uid="{36106E02-F7E6-4AAA-AFAB-0FD14E18B7EA}"/>
    <hyperlink ref="J22" r:id="rId56" xr:uid="{9B3BD5B5-DC6B-4745-9023-2A25A998E8A7}"/>
    <hyperlink ref="L19" r:id="rId57" xr:uid="{6786A0A3-0503-4D84-853D-C9CC0AE861DD}"/>
    <hyperlink ref="J21" r:id="rId58" xr:uid="{C177411D-F2FA-40CA-8E45-2698507AEA0C}"/>
    <hyperlink ref="M20" r:id="rId59" xr:uid="{E5240ECC-84ED-44E2-B417-F4D686CA7ABD}"/>
    <hyperlink ref="K21" r:id="rId60" xr:uid="{F5B3A3DC-671C-40AD-ABC1-CD450EB8C4B8}"/>
    <hyperlink ref="J45" r:id="rId61" xr:uid="{865034E7-A177-4608-BA41-6C406DA2E815}"/>
    <hyperlink ref="J46" r:id="rId62" xr:uid="{644C7168-90D8-4BCA-8A29-3BB9CB3B1858}"/>
    <hyperlink ref="J47" r:id="rId63" xr:uid="{58DA4959-9EC4-41F8-AAA3-AD208C22DB52}"/>
    <hyperlink ref="J48" r:id="rId64" xr:uid="{1176B6C3-B146-4017-8EDF-4175688A00E9}"/>
    <hyperlink ref="J49" r:id="rId65" xr:uid="{C19DD6A3-878A-4A87-BE20-651AB9DB8BA0}"/>
    <hyperlink ref="J50" r:id="rId66" xr:uid="{C131949E-727C-4A22-BB76-2FC218C69F3A}"/>
    <hyperlink ref="J51" r:id="rId67" xr:uid="{AEE8A727-8149-4FD4-AB43-959ACA7E7BA3}"/>
    <hyperlink ref="J52" r:id="rId68" xr:uid="{9F84DD4B-8623-4E1E-A375-D0BA22426407}"/>
    <hyperlink ref="J53" r:id="rId69" xr:uid="{77F6FD5E-7744-484E-B00D-188A360F8D58}"/>
    <hyperlink ref="J54" r:id="rId70" xr:uid="{F06D8CD8-BC13-44F1-BCE2-33A3E4A6D966}"/>
    <hyperlink ref="I55" r:id="rId71" xr:uid="{46E73D59-9CB8-45AA-BE60-122E8A09B482}"/>
    <hyperlink ref="J55" r:id="rId72" xr:uid="{C27332B4-9B9F-4172-865E-E66C3B23FE16}"/>
    <hyperlink ref="K55" r:id="rId73" xr:uid="{255DA2A4-CAA5-4992-96C2-3D47A938FD70}"/>
    <hyperlink ref="J59" r:id="rId74" xr:uid="{AB2A625A-39BF-4940-AF32-559425C9DD3D}"/>
    <hyperlink ref="K59" r:id="rId75" xr:uid="{653733D2-405F-4F93-A1A4-371404727B83}"/>
    <hyperlink ref="J61" r:id="rId76" xr:uid="{F4BE0D91-6893-45E2-8401-74A65A224D3F}"/>
    <hyperlink ref="J62" r:id="rId77" xr:uid="{F0519F45-E42D-4629-B8E3-5480B398B424}"/>
    <hyperlink ref="J63" r:id="rId78" xr:uid="{6B8D69EB-CED6-4AB4-90CB-7226439F17BC}"/>
    <hyperlink ref="J64" r:id="rId79" xr:uid="{C4F8873D-4863-4A33-A2A1-8C3F0F38477D}"/>
    <hyperlink ref="J65:J66" r:id="rId80" display="https://nikougiken.jp/column/2109-cutting/" xr:uid="{A5B45CC1-F427-458B-9DF8-223BDB54EB09}"/>
    <hyperlink ref="K62" r:id="rId81" xr:uid="{1690D460-5091-4E12-954F-2CB9E1999017}"/>
    <hyperlink ref="K63" r:id="rId82" xr:uid="{DA70E434-FA8C-4A4F-90EF-613B79082DAF}"/>
    <hyperlink ref="J67" r:id="rId83" xr:uid="{AB0C1A05-0D8C-40B6-A55F-4A75BBA05FD6}"/>
    <hyperlink ref="I67" r:id="rId84" xr:uid="{AAFB1C56-8A8B-4C03-95B0-D1B0DBE518B3}"/>
    <hyperlink ref="K67" r:id="rId85" xr:uid="{3E93D5EE-5CA5-48A0-A424-2935F1136215}"/>
    <hyperlink ref="J68" r:id="rId86" xr:uid="{E81B2832-6826-475C-831C-943675FEE2DF}"/>
    <hyperlink ref="I68" r:id="rId87" xr:uid="{24911F2F-FF87-4FEE-83F2-01DA7923CCEB}"/>
    <hyperlink ref="K68" r:id="rId88" xr:uid="{437A2D48-0FA8-4B1B-9AE3-CF227D322C0B}"/>
    <hyperlink ref="J69" r:id="rId89" xr:uid="{063630A2-943E-473A-A21A-BA26101BDD3A}"/>
    <hyperlink ref="I69" r:id="rId90" xr:uid="{64544BC9-F702-4901-998E-6875399E3137}"/>
    <hyperlink ref="I70" r:id="rId91" xr:uid="{58C72139-F5D8-4CAB-9CC5-AD9BC4FD4E17}"/>
    <hyperlink ref="J70" r:id="rId92" xr:uid="{7648F179-FF5B-4109-A023-4EA2F3E74D63}"/>
    <hyperlink ref="J71" r:id="rId93" xr:uid="{20852D14-A81F-4647-8D1E-EF336C7A3640}"/>
    <hyperlink ref="J72" r:id="rId94" xr:uid="{3AF3E0EB-466C-4652-AAF4-3659DDD11CA6}"/>
    <hyperlink ref="J73" r:id="rId95" xr:uid="{08D01DEB-F40F-4FD8-80C2-9B2679C50C5B}"/>
    <hyperlink ref="J74" r:id="rId96" xr:uid="{8CE63792-D616-4083-9D4A-055D269F8E7A}"/>
    <hyperlink ref="J76" r:id="rId97" xr:uid="{A5003D36-27B5-44B0-9231-791E46C42133}"/>
    <hyperlink ref="J77" r:id="rId98" xr:uid="{B0080DCE-647F-4A7F-AC9D-BE4FDB04BA22}"/>
    <hyperlink ref="J78" r:id="rId99" xr:uid="{1C8601C9-86EB-42FD-9FC9-140FABB816AC}"/>
    <hyperlink ref="J79" r:id="rId100" xr:uid="{0DE5AE03-BE28-4DA5-866E-2BFFF20A41AC}"/>
    <hyperlink ref="J80" r:id="rId101" xr:uid="{41F9F85E-22C0-4B5D-8BDA-701124597843}"/>
    <hyperlink ref="I80" r:id="rId102" xr:uid="{BE0F911B-97F0-4974-88CD-2C661B5C7A8E}"/>
    <hyperlink ref="I81" r:id="rId103" xr:uid="{6BCCBD49-AF16-45BF-8BC3-3D88C1D72DB0}"/>
    <hyperlink ref="J81" r:id="rId104" xr:uid="{00B32316-A4BF-4D6A-A07C-6354A67939C2}"/>
    <hyperlink ref="J82" r:id="rId105" xr:uid="{F54A4795-B5E2-490E-9721-56E958E985A8}"/>
    <hyperlink ref="J83" r:id="rId106" xr:uid="{93FA9DC4-17C6-4E0A-8005-9F19AF79955B}"/>
    <hyperlink ref="J84" r:id="rId107" xr:uid="{650C60BB-6D8D-4274-BD60-C7D5DA85B520}"/>
    <hyperlink ref="J85" r:id="rId108" xr:uid="{2EB75A41-180B-41E5-9795-25809E2AA172}"/>
    <hyperlink ref="I85" r:id="rId109" xr:uid="{183F9A5E-CE30-4993-BC22-F53FFB85D8DF}"/>
    <hyperlink ref="J86" r:id="rId110" xr:uid="{131FC967-64BA-45F9-99D8-B9B5D38E19C8}"/>
    <hyperlink ref="I86" r:id="rId111" xr:uid="{3A307DF4-8DD3-43C8-8F6F-E4BEF1BB30ED}"/>
    <hyperlink ref="J87" r:id="rId112" xr:uid="{51B475F2-DFBE-4D13-AA23-561D76644DB3}"/>
    <hyperlink ref="J88" r:id="rId113" xr:uid="{A7930026-EE68-43FE-BC46-7396B9FE3A7D}"/>
    <hyperlink ref="J89" r:id="rId114" xr:uid="{EBCDF0E1-84A8-4464-A49E-56F30D110EC9}"/>
    <hyperlink ref="J90" r:id="rId115" xr:uid="{D797E633-795C-4A91-9857-848CBC67B76B}"/>
    <hyperlink ref="I91" r:id="rId116" xr:uid="{97405A7D-8C89-4FBF-ADC5-5218B78721B0}"/>
    <hyperlink ref="J91" r:id="rId117" xr:uid="{83AED62C-3F4F-4A42-A75F-79FE7A20539B}"/>
    <hyperlink ref="J92" r:id="rId118" xr:uid="{AF00BEB4-479E-4820-8E61-68B70E73A9D0}"/>
    <hyperlink ref="J93" r:id="rId119" xr:uid="{70D8A915-7476-4BAB-9D5B-7D6BBA7667DA}"/>
    <hyperlink ref="J94" r:id="rId120" xr:uid="{0C843CB9-EE25-4E25-B38C-77E44ED20985}"/>
    <hyperlink ref="I94" r:id="rId121" xr:uid="{C5EB1502-BA39-4871-A1C5-82E76265EDBE}"/>
    <hyperlink ref="J95" r:id="rId122" xr:uid="{CC56280C-9BA7-42B2-93E1-7363BB38CD72}"/>
    <hyperlink ref="I95" r:id="rId123" xr:uid="{4F402C44-D1BE-4747-9847-86CC2247AAB5}"/>
    <hyperlink ref="J96" r:id="rId124" xr:uid="{81150C89-9381-4612-8118-6ECA4EA1EF62}"/>
    <hyperlink ref="I96" r:id="rId125" xr:uid="{AF900C4F-2035-47D1-BF8B-5F8DDE3B7095}"/>
    <hyperlink ref="J75" r:id="rId126" location="%E9%96%A2%E9%80%A3%E9%A0%85%E7%9B%AE" xr:uid="{14D572F0-62FD-4077-9807-2508EE87ECC0}"/>
    <hyperlink ref="J99" r:id="rId127" display="https://www.google.com/search?q=%E3%83%AA%E3%83%BC%E3%82%AF%E6%A4%9C%E6%9F%BB&amp;oq=%E3%83%AA%E3%83%BC%E3%82%AF%E6%A4%9C%E6%9F%BB&amp;gs_lcrp=EgRlZGdlKgcIABBFGIAEMgcIABBFGIAEMgcIARAAGIAEMgcIAhAAGIAEMgcIAxAAGIAEMgcIBBAAGIAEMgcIBRAAGIAEMgcIBhAAGIAEMgcIBxAAGIAE0gEIMTA3MWowajSoAgCwAgE&amp;sourceid=chrome&amp;ie=UTF-8" xr:uid="{A266D654-0FC1-4730-8485-336785412E67}"/>
    <hyperlink ref="J100" r:id="rId128" xr:uid="{6CE83A74-F4AA-40A2-B4D7-1EAE616B115C}"/>
    <hyperlink ref="J101" r:id="rId129" xr:uid="{D029580D-466B-4425-AC22-5326D642FD9F}"/>
  </hyperlinks>
  <pageMargins left="0.7" right="0.7" top="0.75" bottom="0.75" header="0.3" footer="0.3"/>
  <pageSetup paperSize="9" orientation="portrait" r:id="rId130"/>
  <tableParts count="1">
    <tablePart r:id="rId13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用語集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竜也 遠藤</dc:creator>
  <cp:lastModifiedBy>遠藤 竜也</cp:lastModifiedBy>
  <dcterms:created xsi:type="dcterms:W3CDTF">2025-12-06T14:05:20Z</dcterms:created>
  <dcterms:modified xsi:type="dcterms:W3CDTF">2026-04-22T20:30:31Z</dcterms:modified>
</cp:coreProperties>
</file>