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raem\Dropbox\100_Documents\"/>
    </mc:Choice>
  </mc:AlternateContent>
  <xr:revisionPtr revIDLastSave="0" documentId="13_ncr:1_{1F468300-8077-4476-8B6D-86E8BFEEE628}" xr6:coauthVersionLast="45" xr6:coauthVersionMax="45" xr10:uidLastSave="{00000000-0000-0000-0000-000000000000}"/>
  <bookViews>
    <workbookView xWindow="-108" yWindow="-108" windowWidth="21684" windowHeight="13176" activeTab="3" xr2:uid="{00000000-000D-0000-FFFF-FFFF00000000}"/>
  </bookViews>
  <sheets>
    <sheet name="書式維持置換" sheetId="42" r:id="rId1"/>
    <sheet name="Sheet4" sheetId="46" r:id="rId2"/>
    <sheet name="Sheet2" sheetId="48" r:id="rId3"/>
    <sheet name="Sheet1" sheetId="47" r:id="rId4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" i="48" l="1"/>
  <c r="D5" i="48"/>
  <c r="D6" i="48"/>
  <c r="D24" i="48"/>
  <c r="D23" i="48"/>
  <c r="D22" i="48"/>
  <c r="D20" i="48"/>
  <c r="D18" i="48"/>
  <c r="D17" i="48"/>
  <c r="D16" i="48"/>
  <c r="D15" i="48"/>
  <c r="D14" i="48"/>
  <c r="D12" i="48"/>
  <c r="D10" i="48"/>
  <c r="D9" i="48"/>
  <c r="D8" i="48"/>
  <c r="E10" i="47" l="1"/>
  <c r="E11" i="47"/>
  <c r="C7" i="47"/>
  <c r="D7" i="47" s="1"/>
  <c r="F6" i="47"/>
  <c r="F5" i="47"/>
  <c r="D6" i="47"/>
  <c r="D5" i="47"/>
  <c r="E7" i="47"/>
  <c r="F7" i="47" l="1"/>
  <c r="F9" i="47" s="1"/>
  <c r="B2" i="47"/>
  <c r="F11" i="47" l="1"/>
  <c r="F10" i="47"/>
</calcChain>
</file>

<file path=xl/sharedStrings.xml><?xml version="1.0" encoding="utf-8"?>
<sst xmlns="http://schemas.openxmlformats.org/spreadsheetml/2006/main" count="215" uniqueCount="165">
  <si>
    <t>https://www.banana-juice.com/tech/articles/replace-without-format</t>
  </si>
  <si>
    <t>各文字位置の書式を保持</t>
    <rPh sb="0" eb="1">
      <t>カク</t>
    </rPh>
    <rPh sb="1" eb="3">
      <t>モジ</t>
    </rPh>
    <rPh sb="3" eb="5">
      <t>イチ</t>
    </rPh>
    <rPh sb="6" eb="8">
      <t>ショシキ</t>
    </rPh>
    <rPh sb="9" eb="11">
      <t>ホジ</t>
    </rPh>
    <phoneticPr fontId="3"/>
  </si>
  <si>
    <t>置換後の文字位置に保持した書式を展開</t>
    <rPh sb="0" eb="2">
      <t>チカン</t>
    </rPh>
    <rPh sb="2" eb="3">
      <t>ゴ</t>
    </rPh>
    <rPh sb="4" eb="6">
      <t>モジ</t>
    </rPh>
    <rPh sb="6" eb="8">
      <t>イチ</t>
    </rPh>
    <rPh sb="9" eb="11">
      <t>ホジ</t>
    </rPh>
    <rPh sb="13" eb="15">
      <t>ショシキ</t>
    </rPh>
    <rPh sb="16" eb="18">
      <t>テンカイ</t>
    </rPh>
    <phoneticPr fontId="3"/>
  </si>
  <si>
    <t>cde→1234</t>
    <phoneticPr fontId="3"/>
  </si>
  <si>
    <t>cde→12</t>
    <phoneticPr fontId="3"/>
  </si>
  <si>
    <r>
      <t>ab</t>
    </r>
    <r>
      <rPr>
        <sz val="9"/>
        <color rgb="FFFF0000"/>
        <rFont val="ＭＳ ゴシック"/>
        <family val="3"/>
        <charset val="128"/>
      </rPr>
      <t>cde</t>
    </r>
    <r>
      <rPr>
        <sz val="9"/>
        <color theme="1"/>
        <rFont val="ＭＳ ゴシック"/>
        <family val="3"/>
        <charset val="128"/>
      </rPr>
      <t>fgh</t>
    </r>
    <phoneticPr fontId="3"/>
  </si>
  <si>
    <r>
      <t>ab</t>
    </r>
    <r>
      <rPr>
        <sz val="9"/>
        <color rgb="FFFF0000"/>
        <rFont val="ＭＳ ゴシック"/>
        <family val="3"/>
        <charset val="128"/>
      </rPr>
      <t>1234</t>
    </r>
    <r>
      <rPr>
        <sz val="9"/>
        <color theme="1"/>
        <rFont val="ＭＳ ゴシック"/>
        <family val="3"/>
        <charset val="128"/>
      </rPr>
      <t>fgh</t>
    </r>
    <phoneticPr fontId="3"/>
  </si>
  <si>
    <r>
      <t>ab</t>
    </r>
    <r>
      <rPr>
        <sz val="9"/>
        <color rgb="FFFF0000"/>
        <rFont val="ＭＳ ゴシック"/>
        <family val="3"/>
        <charset val="128"/>
      </rPr>
      <t>12</t>
    </r>
    <r>
      <rPr>
        <sz val="9"/>
        <color theme="1"/>
        <rFont val="ＭＳ ゴシック"/>
        <family val="3"/>
        <charset val="128"/>
      </rPr>
      <t>fgh</t>
    </r>
    <phoneticPr fontId="3"/>
  </si>
  <si>
    <t>◇置換元文字列内がすべて同じ書式</t>
    <rPh sb="1" eb="3">
      <t>チカン</t>
    </rPh>
    <rPh sb="3" eb="4">
      <t>モト</t>
    </rPh>
    <rPh sb="4" eb="7">
      <t>モジレツ</t>
    </rPh>
    <rPh sb="7" eb="8">
      <t>ナイ</t>
    </rPh>
    <rPh sb="12" eb="13">
      <t>オナ</t>
    </rPh>
    <rPh sb="14" eb="16">
      <t>ショシキ</t>
    </rPh>
    <phoneticPr fontId="3"/>
  </si>
  <si>
    <t>◇置換元文字列内に別の書式がある場合</t>
    <rPh sb="1" eb="3">
      <t>チカン</t>
    </rPh>
    <rPh sb="3" eb="4">
      <t>モト</t>
    </rPh>
    <rPh sb="4" eb="7">
      <t>モジレツ</t>
    </rPh>
    <rPh sb="7" eb="8">
      <t>ナイ</t>
    </rPh>
    <rPh sb="9" eb="10">
      <t>ベツ</t>
    </rPh>
    <rPh sb="11" eb="13">
      <t>ショシキ</t>
    </rPh>
    <rPh sb="16" eb="18">
      <t>バアイ</t>
    </rPh>
    <phoneticPr fontId="3"/>
  </si>
  <si>
    <r>
      <t>ab</t>
    </r>
    <r>
      <rPr>
        <sz val="9"/>
        <color rgb="FFFF0000"/>
        <rFont val="ＭＳ ゴシック"/>
        <family val="3"/>
        <charset val="128"/>
      </rPr>
      <t>1</t>
    </r>
    <r>
      <rPr>
        <sz val="9"/>
        <color rgb="FF0070C0"/>
        <rFont val="ＭＳ ゴシック"/>
        <family val="3"/>
        <charset val="128"/>
      </rPr>
      <t>2</t>
    </r>
    <r>
      <rPr>
        <sz val="9"/>
        <color theme="1"/>
        <rFont val="ＭＳ ゴシック"/>
        <family val="3"/>
        <charset val="128"/>
      </rPr>
      <t>fgh</t>
    </r>
    <phoneticPr fontId="3"/>
  </si>
  <si>
    <t>cde→1</t>
    <phoneticPr fontId="3"/>
  </si>
  <si>
    <r>
      <t>ab</t>
    </r>
    <r>
      <rPr>
        <sz val="9"/>
        <color rgb="FFFF0000"/>
        <rFont val="ＭＳ ゴシック"/>
        <family val="3"/>
        <charset val="128"/>
      </rPr>
      <t>1</t>
    </r>
    <r>
      <rPr>
        <sz val="9"/>
        <color theme="1"/>
        <rFont val="ＭＳ ゴシック"/>
        <family val="3"/>
        <charset val="128"/>
      </rPr>
      <t>fgh</t>
    </r>
    <phoneticPr fontId="3"/>
  </si>
  <si>
    <r>
      <t>ab</t>
    </r>
    <r>
      <rPr>
        <sz val="9"/>
        <color rgb="FFFF0000"/>
        <rFont val="ＭＳ ゴシック"/>
        <family val="3"/>
        <charset val="128"/>
      </rPr>
      <t>c</t>
    </r>
    <r>
      <rPr>
        <sz val="9"/>
        <color rgb="FF0070C0"/>
        <rFont val="ＭＳ ゴシック"/>
        <family val="3"/>
        <charset val="128"/>
      </rPr>
      <t>d</t>
    </r>
    <r>
      <rPr>
        <sz val="9"/>
        <color rgb="FF00B050"/>
        <rFont val="ＭＳ ゴシック"/>
        <family val="3"/>
        <charset val="128"/>
      </rPr>
      <t>e</t>
    </r>
    <r>
      <rPr>
        <sz val="9"/>
        <color theme="1"/>
        <rFont val="ＭＳ ゴシック"/>
        <family val="3"/>
        <charset val="128"/>
      </rPr>
      <t>fgh</t>
    </r>
  </si>
  <si>
    <r>
      <t>ab</t>
    </r>
    <r>
      <rPr>
        <sz val="9"/>
        <color rgb="FFFF0000"/>
        <rFont val="ＭＳ ゴシック"/>
        <family val="3"/>
        <charset val="128"/>
      </rPr>
      <t>1</t>
    </r>
    <r>
      <rPr>
        <sz val="9"/>
        <color rgb="FF0070C0"/>
        <rFont val="ＭＳ ゴシック"/>
        <family val="3"/>
        <charset val="128"/>
      </rPr>
      <t>2</t>
    </r>
    <r>
      <rPr>
        <sz val="9"/>
        <color rgb="FF00B050"/>
        <rFont val="ＭＳ ゴシック"/>
        <family val="3"/>
        <charset val="128"/>
      </rPr>
      <t>34</t>
    </r>
    <r>
      <rPr>
        <sz val="9"/>
        <color theme="1"/>
        <rFont val="ＭＳ ゴシック"/>
        <family val="3"/>
        <charset val="128"/>
      </rPr>
      <t>fgh</t>
    </r>
    <phoneticPr fontId="3"/>
  </si>
  <si>
    <t>◇置換元文字列文字数＞置換先文字列文字数</t>
    <rPh sb="1" eb="3">
      <t>チカン</t>
    </rPh>
    <rPh sb="3" eb="4">
      <t>モト</t>
    </rPh>
    <rPh sb="4" eb="7">
      <t>モジレツ</t>
    </rPh>
    <rPh sb="7" eb="10">
      <t>モジスウ</t>
    </rPh>
    <rPh sb="13" eb="14">
      <t>サキ</t>
    </rPh>
    <phoneticPr fontId="3"/>
  </si>
  <si>
    <t>◇置換元文字列文字数≦置換先文字列文字数</t>
    <rPh sb="1" eb="3">
      <t>チカン</t>
    </rPh>
    <rPh sb="3" eb="4">
      <t>モト</t>
    </rPh>
    <rPh sb="4" eb="7">
      <t>モジレツ</t>
    </rPh>
    <rPh sb="7" eb="10">
      <t>モジスウ</t>
    </rPh>
    <rPh sb="13" eb="14">
      <t>サキ</t>
    </rPh>
    <phoneticPr fontId="3"/>
  </si>
  <si>
    <t>・置換元文字列１文字目の書式を置換先文字列全文字に展開</t>
    <rPh sb="1" eb="3">
      <t>チカン</t>
    </rPh>
    <rPh sb="3" eb="4">
      <t>モト</t>
    </rPh>
    <rPh sb="4" eb="7">
      <t>モジレツ</t>
    </rPh>
    <rPh sb="8" eb="11">
      <t>モジメ</t>
    </rPh>
    <rPh sb="12" eb="14">
      <t>ショシキ</t>
    </rPh>
    <rPh sb="15" eb="17">
      <t>チカン</t>
    </rPh>
    <rPh sb="17" eb="18">
      <t>サキ</t>
    </rPh>
    <rPh sb="18" eb="21">
      <t>モジレツ</t>
    </rPh>
    <rPh sb="21" eb="22">
      <t>ゼン</t>
    </rPh>
    <rPh sb="22" eb="24">
      <t>モジ</t>
    </rPh>
    <rPh sb="25" eb="27">
      <t>テンカイ</t>
    </rPh>
    <phoneticPr fontId="3"/>
  </si>
  <si>
    <t>・置換元末尾文字の書式を展開</t>
    <rPh sb="1" eb="3">
      <t>チカン</t>
    </rPh>
    <rPh sb="3" eb="4">
      <t>モト</t>
    </rPh>
    <rPh sb="4" eb="6">
      <t>マツビ</t>
    </rPh>
    <rPh sb="6" eb="8">
      <t>モジ</t>
    </rPh>
    <rPh sb="9" eb="11">
      <t>ショシキ</t>
    </rPh>
    <rPh sb="12" eb="14">
      <t>テンカイ</t>
    </rPh>
    <phoneticPr fontId="3"/>
  </si>
  <si>
    <t>・置換元文字列の書式を保存</t>
    <rPh sb="1" eb="3">
      <t>チカン</t>
    </rPh>
    <rPh sb="3" eb="4">
      <t>モト</t>
    </rPh>
    <rPh sb="4" eb="7">
      <t>モジレツ</t>
    </rPh>
    <rPh sb="8" eb="10">
      <t>ショシキ</t>
    </rPh>
    <rPh sb="11" eb="13">
      <t>ホゾン</t>
    </rPh>
    <phoneticPr fontId="3"/>
  </si>
  <si>
    <t>・一致文字の位置を保持</t>
    <rPh sb="1" eb="3">
      <t>イッチ</t>
    </rPh>
    <rPh sb="3" eb="5">
      <t>モジ</t>
    </rPh>
    <rPh sb="6" eb="8">
      <t>イチ</t>
    </rPh>
    <rPh sb="9" eb="11">
      <t>ホジ</t>
    </rPh>
    <phoneticPr fontId="3"/>
  </si>
  <si>
    <t>・ずらした結果の書式を保持</t>
    <rPh sb="5" eb="7">
      <t>ケッカ</t>
    </rPh>
    <rPh sb="8" eb="10">
      <t>ショシキ</t>
    </rPh>
    <rPh sb="11" eb="13">
      <t>ホジ</t>
    </rPh>
    <phoneticPr fontId="3"/>
  </si>
  <si>
    <t>大阪・大阪城西の丸</t>
  </si>
  <si>
    <t>大阪・ユニバーサルシティ</t>
  </si>
  <si>
    <t>ノートルダム大阪ONE</t>
  </si>
  <si>
    <t>大阪・高石</t>
  </si>
  <si>
    <t>ブランスイート大阪</t>
  </si>
  <si>
    <t>大阪・なんば</t>
  </si>
  <si>
    <t>ホテルモントレ グラスミア大阪</t>
  </si>
  <si>
    <t>ホテルモントレグループ</t>
  </si>
  <si>
    <t>ホテルロイヤルクラシック大阪</t>
  </si>
  <si>
    <t>大阪・大阪城北詰</t>
  </si>
  <si>
    <t>太閤園</t>
  </si>
  <si>
    <t>★</t>
  </si>
  <si>
    <t>大阪・本町</t>
  </si>
  <si>
    <t>セントグレースヴィラ</t>
  </si>
  <si>
    <t>ベストブライダルグループ</t>
  </si>
  <si>
    <t>大阪・梅田</t>
  </si>
  <si>
    <t>ホテル阪急インターナショナル</t>
  </si>
  <si>
    <t>大阪・中之島</t>
  </si>
  <si>
    <t>大阪・千里中央</t>
  </si>
  <si>
    <t>千里阪急ホテル CLASSIC GARDEN</t>
  </si>
  <si>
    <t>兵庫・ポートアイランド</t>
  </si>
  <si>
    <t>デゼーロ（deuxzero）</t>
  </si>
  <si>
    <t>Lumierange Garden （ルミエランジェ・ガーデン）</t>
  </si>
  <si>
    <t>兵庫・芦屋</t>
  </si>
  <si>
    <t>アートグレイス ネクスト アシヤ</t>
  </si>
  <si>
    <t>メゾン・ド・タカ 芦屋　Maison de Taka Ashiya</t>
  </si>
  <si>
    <t>兵庫・北野</t>
  </si>
  <si>
    <t>北野クラブ ソラ　KITANO CLUB sola</t>
  </si>
  <si>
    <t>兵庫・メリケンパーク</t>
  </si>
  <si>
    <t>神戸メリケンパークオリエンタルホテル</t>
  </si>
  <si>
    <t>大阪・大阪城公園</t>
  </si>
  <si>
    <t>THE LANDMARK SQUARE OSAKA</t>
  </si>
  <si>
    <t>大阪・南港</t>
  </si>
  <si>
    <t>アートグレイス・ウエディングコースト</t>
  </si>
  <si>
    <t>兵庫・神戸空港島</t>
  </si>
  <si>
    <t>ラヴィマーナ神戸</t>
  </si>
  <si>
    <t>ラグナヴェール大阪</t>
  </si>
  <si>
    <t>エスクリグループ</t>
  </si>
  <si>
    <t>ラグナヴェール プレミア</t>
  </si>
  <si>
    <t>兵庫・六甲アイランド</t>
  </si>
  <si>
    <t>ア・ラ・モード パレ＆ザ・リゾート</t>
  </si>
  <si>
    <t>アルモニーアンブラッセ ウエディングホテル（HARMONIE EMBRASSEE WEDDING HOTEL）</t>
  </si>
  <si>
    <t>T＆G</t>
  </si>
  <si>
    <t>大阪・心斎橋</t>
  </si>
  <si>
    <t>アルモニーアンブラッセ イットハウス（HARMONIE EMBRASSEE it HOUSE）</t>
  </si>
  <si>
    <t>兵庫・姫路</t>
  </si>
  <si>
    <t>アーヴェリール迎賓館 姫路</t>
  </si>
  <si>
    <t>アルモニーアッシュ（HARMONIE H at State Himeji Bank）</t>
  </si>
  <si>
    <t>大阪・肥後橋</t>
  </si>
  <si>
    <t>アーセンティア迎賓館</t>
  </si>
  <si>
    <t>大阪・堺筋本町</t>
  </si>
  <si>
    <t>アクアガーデンテラス（AQUA GARDEN TERRACE）</t>
  </si>
  <si>
    <t>アーフェリーク迎賓館（大阪）</t>
  </si>
  <si>
    <t>兵庫・三宮</t>
  </si>
  <si>
    <t>山手迎賓館</t>
  </si>
  <si>
    <t>Positive Dream Person</t>
    <phoneticPr fontId="3"/>
  </si>
  <si>
    <t>バリューマネジメントグループ</t>
  </si>
  <si>
    <t>大阪城西の丸庭園 大阪迎賓館</t>
    <phoneticPr fontId="3"/>
  </si>
  <si>
    <t>大阪・西梅田</t>
  </si>
  <si>
    <t>ホテルモントレ大阪</t>
  </si>
  <si>
    <t>ハイアット リージェンシー 大阪</t>
  </si>
  <si>
    <t>大阪・京橋</t>
  </si>
  <si>
    <t>ホテルモントレ ラ・スール大阪</t>
  </si>
  <si>
    <t>兵庫・御影</t>
  </si>
  <si>
    <t>THE GARDEN PLACE SOSHUEN（蘇州園）</t>
  </si>
  <si>
    <t>アルカンシエルベリテ大阪</t>
  </si>
  <si>
    <t>兵庫・新神戸</t>
  </si>
  <si>
    <t>ANAクラウンプラザホテル神戸</t>
  </si>
  <si>
    <t>帝国ホテル 大阪</t>
  </si>
  <si>
    <t>大阪・新大阪</t>
  </si>
  <si>
    <t>アルカンシエル luxe mariage 大阪</t>
  </si>
  <si>
    <t>大阪・万博記念公園</t>
  </si>
  <si>
    <t>迎賓館</t>
  </si>
  <si>
    <t>アヴァンセ リアン 大阪</t>
  </si>
  <si>
    <t>大阪・江坂</t>
  </si>
  <si>
    <t>大阪・天満橋</t>
  </si>
  <si>
    <t>RIVER BANK OSAKA（リバーバンク大阪）</t>
  </si>
  <si>
    <t>大阪・鶴見緑地</t>
  </si>
  <si>
    <t>鶴見ノ森 迎賓館</t>
  </si>
  <si>
    <t>兵庫・元町</t>
  </si>
  <si>
    <t>THE SORAKUEN（相楽園）</t>
  </si>
  <si>
    <t>大阪・上本町</t>
  </si>
  <si>
    <t>シェラトン都ホテル大阪</t>
  </si>
  <si>
    <t>ホテル北野クラブ　HOTEL KITANO CLUB</t>
  </si>
  <si>
    <t>アゴラシオン</t>
  </si>
  <si>
    <t>ENCUEIL（アンクィール）</t>
  </si>
  <si>
    <t>兵庫・旧居留地</t>
  </si>
  <si>
    <t>レニージョエル</t>
  </si>
  <si>
    <t>大阪・りんくうタウン</t>
  </si>
  <si>
    <t>ザ・ジョージアンテラス（THE GEORGIAN TERRACE）</t>
  </si>
  <si>
    <t>NAKANOSHIMA TERRACE # AND ME</t>
  </si>
  <si>
    <t>兵庫・尼崎</t>
  </si>
  <si>
    <t>ルシアスガーデン（Amagasaki Bridal LUSCIOUS GARDEN）</t>
  </si>
  <si>
    <t>大阪・岸和田</t>
  </si>
  <si>
    <t>リヴァージュブラン（RIVAGE BLANC）</t>
  </si>
  <si>
    <t>SORANIWA</t>
  </si>
  <si>
    <t>兵庫・竹田</t>
  </si>
  <si>
    <t>竹田城城下町ホテルEN（えん）</t>
  </si>
  <si>
    <t>兵庫・篠山</t>
  </si>
  <si>
    <t>篠山城下町 ホテルNIPPONIA</t>
  </si>
  <si>
    <t>兵庫・豊岡</t>
  </si>
  <si>
    <t>オーベルジュ豊岡1925</t>
  </si>
  <si>
    <t>https://www.hotelmonterey.co.jp/</t>
  </si>
  <si>
    <t>リーガロイヤルホテル</t>
    <phoneticPr fontId="3"/>
  </si>
  <si>
    <t>https://www.hankyu-hotel.com/wedding/osaka/</t>
  </si>
  <si>
    <t>阪急阪神第一ホテルグループ</t>
    <phoneticPr fontId="3"/>
  </si>
  <si>
    <t>https://www.tsukada-global.holdings/business/bridal.html</t>
  </si>
  <si>
    <t>https://www.rihga.co.jp/osaka</t>
    <phoneticPr fontId="3"/>
  </si>
  <si>
    <t>https://hotel-royalclassic.official-wedding.jp/company/</t>
  </si>
  <si>
    <t>https://wedding.senri-htl.co.jp/</t>
  </si>
  <si>
    <t>Mia Via（ミアヴィア）</t>
    <phoneticPr fontId="3"/>
  </si>
  <si>
    <t>GRAN AMO（グラン アーモ）</t>
    <phoneticPr fontId="3"/>
  </si>
  <si>
    <t>https://gran-amo.jp/company/</t>
  </si>
  <si>
    <t>大阪・天満橋</t>
    <phoneticPr fontId="3"/>
  </si>
  <si>
    <t>https://www.agorazion.com/facilities/</t>
  </si>
  <si>
    <t>http://nakanoshimaterrace.com/</t>
  </si>
  <si>
    <t>実数</t>
    <rPh sb="0" eb="2">
      <t>ジッスウ</t>
    </rPh>
    <phoneticPr fontId="3"/>
  </si>
  <si>
    <t>Q2</t>
    <phoneticPr fontId="3"/>
  </si>
  <si>
    <t>Q13</t>
    <phoneticPr fontId="3"/>
  </si>
  <si>
    <t>演算誤差</t>
    <rPh sb="0" eb="2">
      <t>エンザン</t>
    </rPh>
    <rPh sb="2" eb="4">
      <t>ゴサ</t>
    </rPh>
    <phoneticPr fontId="3"/>
  </si>
  <si>
    <t>固定小数</t>
    <rPh sb="0" eb="2">
      <t>コテイ</t>
    </rPh>
    <rPh sb="2" eb="4">
      <t>ショウスウ</t>
    </rPh>
    <phoneticPr fontId="3"/>
  </si>
  <si>
    <t>Z</t>
    <phoneticPr fontId="3"/>
  </si>
  <si>
    <t>X</t>
    <phoneticPr fontId="3"/>
  </si>
  <si>
    <t>Y</t>
    <phoneticPr fontId="3"/>
  </si>
  <si>
    <t>項</t>
    <rPh sb="0" eb="1">
      <t>コウ</t>
    </rPh>
    <phoneticPr fontId="3"/>
  </si>
  <si>
    <t>分解能[QX]</t>
    <rPh sb="0" eb="3">
      <t>ブンカイノウ</t>
    </rPh>
    <phoneticPr fontId="3"/>
  </si>
  <si>
    <t>分解能[1/2^X]</t>
    <rPh sb="0" eb="3">
      <t>ブンカイノウ</t>
    </rPh>
    <phoneticPr fontId="3"/>
  </si>
  <si>
    <t>…</t>
    <phoneticPr fontId="3"/>
  </si>
  <si>
    <t xml:space="preserve">              ui_x = 65535(0xffff)</t>
  </si>
  <si>
    <t xml:space="preserve">              ui_y = 65534(0xfffe)</t>
  </si>
  <si>
    <t>(signed short)ui_x = -1(0xffffffff)</t>
  </si>
  <si>
    <t>(signed short)ui_x = -2(0xfffffffe)</t>
  </si>
  <si>
    <t>int main()</t>
  </si>
  <si>
    <t>{</t>
  </si>
  <si>
    <t>}</t>
  </si>
  <si>
    <t xml:space="preserve">    unsigned short ui_x = 65535;</t>
  </si>
  <si>
    <t xml:space="preserve">    unsigned short ui_y = 65534;</t>
  </si>
  <si>
    <t xml:space="preserve">    printf("              ui_x = %d(0x%04x)\n", ui_x, ui_x);</t>
  </si>
  <si>
    <t xml:space="preserve">    printf("              ui_y = %d(0x%04x)\n", ui_y, ui_y);</t>
  </si>
  <si>
    <t xml:space="preserve">    printf("(signed short)ui_x = %d(0x%04x)\n", (signed short)ui_x, (signed short)ui_x);</t>
  </si>
  <si>
    <t xml:space="preserve">    printf("(signed short)ui_x = %d(0x%04x)\n", (signed short)ui_y, (signed short)ui_y);</t>
  </si>
  <si>
    <t>コード</t>
    <phoneticPr fontId="3"/>
  </si>
  <si>
    <t>出力結果</t>
    <rPh sb="0" eb="2">
      <t>シュツリョク</t>
    </rPh>
    <rPh sb="2" eb="4">
      <t>ケッカ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</si>
</sst>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00000_ "/>
    <numFmt numFmtId="177" formatCode="0.0000000000_);[Red]\(0.0000000000\)"/>
  </numFmts>
  <fonts count="9" x14ac:knownFonts="1">
    <font>
      <sz val="9"/>
      <color theme="1"/>
      <name val="ＭＳ 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6"/>
      <name val="ＭＳ ゴシック"/>
      <family val="3"/>
      <charset val="128"/>
    </font>
    <font>
      <u/>
      <sz val="9"/>
      <color theme="1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rgb="FF00B050"/>
      <name val="ＭＳ ゴシック"/>
      <family val="3"/>
      <charset val="128"/>
    </font>
    <font>
      <sz val="9"/>
      <color rgb="FF0070C0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top"/>
    </xf>
    <xf numFmtId="0" fontId="2" fillId="0" borderId="0"/>
    <xf numFmtId="0" fontId="1" fillId="0" borderId="0">
      <alignment vertical="center"/>
    </xf>
    <xf numFmtId="0" fontId="4" fillId="0" borderId="0" applyNumberFormat="0" applyFill="0" applyBorder="0" applyAlignment="0" applyProtection="0">
      <alignment vertical="top"/>
    </xf>
  </cellStyleXfs>
  <cellXfs count="14">
    <xf numFmtId="0" fontId="0" fillId="0" borderId="0" xfId="0">
      <alignment vertical="top"/>
    </xf>
    <xf numFmtId="0" fontId="4" fillId="0" borderId="0" xfId="3" applyFont="1">
      <alignment vertical="top"/>
    </xf>
    <xf numFmtId="0" fontId="0" fillId="0" borderId="0" xfId="0" applyFont="1">
      <alignment vertical="top"/>
    </xf>
    <xf numFmtId="0" fontId="6" fillId="0" borderId="0" xfId="0" applyFont="1">
      <alignment vertical="top"/>
    </xf>
    <xf numFmtId="0" fontId="4" fillId="0" borderId="0" xfId="3">
      <alignment vertical="top"/>
    </xf>
    <xf numFmtId="3" fontId="0" fillId="0" borderId="0" xfId="0" applyNumberFormat="1">
      <alignment vertical="top"/>
    </xf>
    <xf numFmtId="0" fontId="0" fillId="0" borderId="0" xfId="0" applyBorder="1">
      <alignment vertical="top"/>
    </xf>
    <xf numFmtId="0" fontId="0" fillId="0" borderId="0" xfId="0" applyAlignment="1">
      <alignment horizontal="right" vertical="top"/>
    </xf>
    <xf numFmtId="0" fontId="0" fillId="0" borderId="0" xfId="0" applyFill="1" applyBorder="1">
      <alignment vertical="top"/>
    </xf>
    <xf numFmtId="176" fontId="0" fillId="0" borderId="0" xfId="0" applyNumberFormat="1" applyFill="1" applyBorder="1">
      <alignment vertical="top"/>
    </xf>
    <xf numFmtId="177" fontId="0" fillId="0" borderId="0" xfId="0" applyNumberFormat="1" applyFill="1" applyBorder="1">
      <alignment vertical="top"/>
    </xf>
    <xf numFmtId="0" fontId="0" fillId="0" borderId="0" xfId="0" applyFill="1" applyBorder="1" applyAlignment="1">
      <alignment horizontal="center" vertical="top"/>
    </xf>
    <xf numFmtId="176" fontId="0" fillId="0" borderId="0" xfId="0" applyNumberFormat="1" applyFill="1" applyBorder="1" applyAlignment="1">
      <alignment horizontal="center" vertical="top"/>
    </xf>
    <xf numFmtId="176" fontId="0" fillId="0" borderId="0" xfId="0" applyNumberFormat="1" applyFill="1" applyBorder="1" applyAlignment="1">
      <alignment vertical="top"/>
    </xf>
  </cellXfs>
  <cellStyles count="4">
    <cellStyle name="ハイパーリンク" xfId="3" builtinId="8"/>
    <cellStyle name="標準" xfId="0" builtinId="0" customBuiltin="1"/>
    <cellStyle name="標準 2" xfId="1" xr:uid="{00000000-0005-0000-0000-000001000000}"/>
    <cellStyle name="標準 3" xfId="2" xr:uid="{DBBD7441-F933-4A0E-810A-D4E2860F610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0</xdr:colOff>
      <xdr:row>13</xdr:row>
      <xdr:rowOff>0</xdr:rowOff>
    </xdr:from>
    <xdr:to>
      <xdr:col>57</xdr:col>
      <xdr:colOff>68580</xdr:colOff>
      <xdr:row>14</xdr:row>
      <xdr:rowOff>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59808C67-16F5-4128-81AC-AFBFF42A0541}"/>
            </a:ext>
          </a:extLst>
        </xdr:cNvPr>
        <xdr:cNvSpPr/>
      </xdr:nvSpPr>
      <xdr:spPr>
        <a:xfrm>
          <a:off x="6172200" y="1783080"/>
          <a:ext cx="411480" cy="137160"/>
        </a:xfrm>
        <a:prstGeom prst="rect">
          <a:avLst/>
        </a:prstGeom>
        <a:solidFill>
          <a:srgbClr val="FF0000">
            <a:alpha val="10000"/>
          </a:srgbClr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l"/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60</xdr:col>
      <xdr:colOff>0</xdr:colOff>
      <xdr:row>14</xdr:row>
      <xdr:rowOff>0</xdr:rowOff>
    </xdr:from>
    <xdr:to>
      <xdr:col>63</xdr:col>
      <xdr:colOff>68580</xdr:colOff>
      <xdr:row>15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442F0258-E418-4C53-BF44-69452AC70FFC}"/>
            </a:ext>
          </a:extLst>
        </xdr:cNvPr>
        <xdr:cNvSpPr/>
      </xdr:nvSpPr>
      <xdr:spPr>
        <a:xfrm>
          <a:off x="6858000" y="1920240"/>
          <a:ext cx="411480" cy="137160"/>
        </a:xfrm>
        <a:prstGeom prst="rect">
          <a:avLst/>
        </a:prstGeom>
        <a:solidFill>
          <a:srgbClr val="FF0000">
            <a:alpha val="10000"/>
          </a:srgbClr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l"/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57</xdr:col>
      <xdr:colOff>68580</xdr:colOff>
      <xdr:row>13</xdr:row>
      <xdr:rowOff>69056</xdr:rowOff>
    </xdr:from>
    <xdr:to>
      <xdr:col>60</xdr:col>
      <xdr:colOff>0</xdr:colOff>
      <xdr:row>14</xdr:row>
      <xdr:rowOff>69057</xdr:rowOff>
    </xdr:to>
    <xdr:cxnSp macro="">
      <xdr:nvCxnSpPr>
        <xdr:cNvPr id="5" name="カギ線コネクタ 180">
          <a:extLst>
            <a:ext uri="{FF2B5EF4-FFF2-40B4-BE49-F238E27FC236}">
              <a16:creationId xmlns:a16="http://schemas.microsoft.com/office/drawing/2014/main" id="{ABE0EC99-31EF-43D8-BADA-EC2BC6DCECAE}"/>
            </a:ext>
          </a:extLst>
        </xdr:cNvPr>
        <xdr:cNvCxnSpPr>
          <a:stCxn id="3" idx="3"/>
          <a:endCxn id="4" idx="1"/>
        </xdr:cNvCxnSpPr>
      </xdr:nvCxnSpPr>
      <xdr:spPr>
        <a:xfrm>
          <a:off x="6583680" y="1852136"/>
          <a:ext cx="274320" cy="137161"/>
        </a:xfrm>
        <a:prstGeom prst="bentConnector3">
          <a:avLst>
            <a:gd name="adj1" fmla="val 50000"/>
          </a:avLst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15</xdr:row>
      <xdr:rowOff>7620</xdr:rowOff>
    </xdr:from>
    <xdr:to>
      <xdr:col>57</xdr:col>
      <xdr:colOff>68580</xdr:colOff>
      <xdr:row>16</xdr:row>
      <xdr:rowOff>7620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518AA911-D123-4EB5-A6C4-B30CF384440C}"/>
            </a:ext>
          </a:extLst>
        </xdr:cNvPr>
        <xdr:cNvSpPr/>
      </xdr:nvSpPr>
      <xdr:spPr>
        <a:xfrm>
          <a:off x="6172200" y="2065020"/>
          <a:ext cx="411480" cy="137160"/>
        </a:xfrm>
        <a:prstGeom prst="rect">
          <a:avLst/>
        </a:prstGeom>
        <a:solidFill>
          <a:schemeClr val="accent2">
            <a:alpha val="1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l"/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60</xdr:col>
      <xdr:colOff>0</xdr:colOff>
      <xdr:row>16</xdr:row>
      <xdr:rowOff>7620</xdr:rowOff>
    </xdr:from>
    <xdr:to>
      <xdr:col>63</xdr:col>
      <xdr:colOff>68580</xdr:colOff>
      <xdr:row>17</xdr:row>
      <xdr:rowOff>7620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D40FB326-5887-4BB1-AFF2-6EA27FB43D41}"/>
            </a:ext>
          </a:extLst>
        </xdr:cNvPr>
        <xdr:cNvSpPr/>
      </xdr:nvSpPr>
      <xdr:spPr>
        <a:xfrm>
          <a:off x="6858000" y="2202180"/>
          <a:ext cx="411480" cy="137160"/>
        </a:xfrm>
        <a:prstGeom prst="rect">
          <a:avLst/>
        </a:prstGeom>
        <a:solidFill>
          <a:schemeClr val="accent2">
            <a:alpha val="1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l"/>
          <a:endParaRPr kumimoji="1" lang="ja-JP" altLang="en-US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57</xdr:col>
      <xdr:colOff>68580</xdr:colOff>
      <xdr:row>15</xdr:row>
      <xdr:rowOff>75028</xdr:rowOff>
    </xdr:from>
    <xdr:to>
      <xdr:col>60</xdr:col>
      <xdr:colOff>0</xdr:colOff>
      <xdr:row>16</xdr:row>
      <xdr:rowOff>75028</xdr:rowOff>
    </xdr:to>
    <xdr:cxnSp macro="">
      <xdr:nvCxnSpPr>
        <xdr:cNvPr id="8" name="カギ線コネクタ 180">
          <a:extLst>
            <a:ext uri="{FF2B5EF4-FFF2-40B4-BE49-F238E27FC236}">
              <a16:creationId xmlns:a16="http://schemas.microsoft.com/office/drawing/2014/main" id="{CB957D52-5687-40C3-8CC4-C79AD752EF6D}"/>
            </a:ext>
          </a:extLst>
        </xdr:cNvPr>
        <xdr:cNvCxnSpPr>
          <a:stCxn id="6" idx="3"/>
          <a:endCxn id="7" idx="1"/>
        </xdr:cNvCxnSpPr>
      </xdr:nvCxnSpPr>
      <xdr:spPr>
        <a:xfrm>
          <a:off x="6583680" y="2132428"/>
          <a:ext cx="274320" cy="137160"/>
        </a:xfrm>
        <a:prstGeom prst="straightConnector1">
          <a:avLst/>
        </a:prstGeom>
        <a:ln w="12700">
          <a:solidFill>
            <a:schemeClr val="accent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8</xdr:row>
      <xdr:rowOff>0</xdr:rowOff>
    </xdr:from>
    <xdr:to>
      <xdr:col>5</xdr:col>
      <xdr:colOff>0</xdr:colOff>
      <xdr:row>23</xdr:row>
      <xdr:rowOff>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D030FB4-D5BB-4683-9A41-A59984EA3A30}"/>
            </a:ext>
          </a:extLst>
        </xdr:cNvPr>
        <xdr:cNvSpPr txBox="1"/>
      </xdr:nvSpPr>
      <xdr:spPr>
        <a:xfrm rot="5400000">
          <a:off x="1314450" y="2007870"/>
          <a:ext cx="2057400" cy="23622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ctr"/>
        <a:lstStyle/>
        <a:p>
          <a:r>
            <a:rPr kumimoji="1" lang="ja-JP" altLang="en-US" sz="800">
              <a:latin typeface="ＭＳ ゴシック" panose="020B0609070205080204" pitchFamily="49" charset="-128"/>
              <a:ea typeface="ＭＳ ゴシック" panose="020B0609070205080204" pitchFamily="49" charset="-128"/>
            </a:rPr>
            <a:t>←        </a:t>
          </a:r>
          <a:r>
            <a:rPr kumimoji="1" lang="en-US" altLang="ja-JP" sz="800">
              <a:latin typeface="ＭＳ ゴシック" panose="020B0609070205080204" pitchFamily="49" charset="-128"/>
              <a:ea typeface="ＭＳ ゴシック" panose="020B0609070205080204" pitchFamily="49" charset="-128"/>
            </a:rPr>
            <a:t>Signed</a:t>
          </a:r>
          <a:r>
            <a:rPr kumimoji="1" lang="ja-JP" altLang="en-US" sz="800">
              <a:latin typeface="ＭＳ ゴシック" panose="020B0609070205080204" pitchFamily="49" charset="-128"/>
              <a:ea typeface="ＭＳ ゴシック" panose="020B0609070205080204" pitchFamily="49" charset="-128"/>
            </a:rPr>
            <a:t>型表現範囲</a:t>
          </a:r>
          <a:r>
            <a:rPr kumimoji="1" lang="ja-JP" altLang="en-US" sz="800" baseline="0">
              <a:latin typeface="ＭＳ ゴシック" panose="020B0609070205080204" pitchFamily="49" charset="-128"/>
              <a:ea typeface="ＭＳ ゴシック" panose="020B0609070205080204" pitchFamily="49" charset="-128"/>
            </a:rPr>
            <a:t>        </a:t>
          </a:r>
          <a:r>
            <a:rPr kumimoji="1" lang="ja-JP" altLang="en-US" sz="800">
              <a:latin typeface="ＭＳ ゴシック" panose="020B0609070205080204" pitchFamily="49" charset="-128"/>
              <a:ea typeface="ＭＳ ゴシック" panose="020B0609070205080204" pitchFamily="49" charset="-128"/>
            </a:rPr>
            <a:t>→</a:t>
          </a:r>
        </a:p>
      </xdr:txBody>
    </xdr:sp>
    <xdr:clientData/>
  </xdr:twoCellAnchor>
  <xdr:twoCellAnchor>
    <xdr:from>
      <xdr:col>5</xdr:col>
      <xdr:colOff>0</xdr:colOff>
      <xdr:row>4</xdr:row>
      <xdr:rowOff>0</xdr:rowOff>
    </xdr:from>
    <xdr:to>
      <xdr:col>6</xdr:col>
      <xdr:colOff>0</xdr:colOff>
      <xdr:row>16</xdr:row>
      <xdr:rowOff>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4DEC9A8-8DCD-47D6-BF0F-E8451744808D}"/>
            </a:ext>
          </a:extLst>
        </xdr:cNvPr>
        <xdr:cNvSpPr txBox="1"/>
      </xdr:nvSpPr>
      <xdr:spPr>
        <a:xfrm rot="5400000">
          <a:off x="1756410" y="1253490"/>
          <a:ext cx="1645920" cy="23622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ctr"/>
        <a:lstStyle/>
        <a:p>
          <a:r>
            <a:rPr kumimoji="1" lang="ja-JP" altLang="en-US" sz="800">
              <a:latin typeface="ＭＳ ゴシック" panose="020B0609070205080204" pitchFamily="49" charset="-128"/>
              <a:ea typeface="ＭＳ ゴシック" panose="020B0609070205080204" pitchFamily="49" charset="-128"/>
            </a:rPr>
            <a:t>←   </a:t>
          </a:r>
          <a:r>
            <a:rPr kumimoji="1" lang="en-US" altLang="ja-JP" sz="800">
              <a:latin typeface="ＭＳ ゴシック" panose="020B0609070205080204" pitchFamily="49" charset="-128"/>
              <a:ea typeface="ＭＳ ゴシック" panose="020B0609070205080204" pitchFamily="49" charset="-128"/>
            </a:rPr>
            <a:t>UnSigned</a:t>
          </a:r>
          <a:r>
            <a:rPr kumimoji="1" lang="ja-JP" altLang="en-US" sz="800">
              <a:latin typeface="ＭＳ ゴシック" panose="020B0609070205080204" pitchFamily="49" charset="-128"/>
              <a:ea typeface="ＭＳ ゴシック" panose="020B0609070205080204" pitchFamily="49" charset="-128"/>
            </a:rPr>
            <a:t>型表現範囲</a:t>
          </a:r>
          <a:r>
            <a:rPr kumimoji="1" lang="ja-JP" altLang="en-US" sz="800" baseline="0">
              <a:latin typeface="ＭＳ ゴシック" panose="020B0609070205080204" pitchFamily="49" charset="-128"/>
              <a:ea typeface="ＭＳ ゴシック" panose="020B0609070205080204" pitchFamily="49" charset="-128"/>
            </a:rPr>
            <a:t>    </a:t>
          </a:r>
          <a:r>
            <a:rPr kumimoji="1" lang="ja-JP" altLang="en-US" sz="800">
              <a:latin typeface="ＭＳ ゴシック" panose="020B0609070205080204" pitchFamily="49" charset="-128"/>
              <a:ea typeface="ＭＳ ゴシック" panose="020B0609070205080204" pitchFamily="49" charset="-128"/>
            </a:rPr>
            <a:t>→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banana-juice.com/tech/articles/replace-without-format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hotelmonterey.co.jp/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www.hankyu-hotel.com/wedding/osaka/" TargetMode="External"/><Relationship Id="rId7" Type="http://schemas.openxmlformats.org/officeDocument/2006/relationships/hyperlink" Target="https://wedding.senri-htl.co.jp/" TargetMode="External"/><Relationship Id="rId12" Type="http://schemas.openxmlformats.org/officeDocument/2006/relationships/hyperlink" Target="http://nakanoshimaterrace.com/" TargetMode="External"/><Relationship Id="rId2" Type="http://schemas.openxmlformats.org/officeDocument/2006/relationships/hyperlink" Target="https://www.rihga.co.jp/osaka" TargetMode="External"/><Relationship Id="rId1" Type="http://schemas.openxmlformats.org/officeDocument/2006/relationships/hyperlink" Target="https://www.hotelmonterey.co.jp/" TargetMode="External"/><Relationship Id="rId6" Type="http://schemas.openxmlformats.org/officeDocument/2006/relationships/hyperlink" Target="https://hotel-royalclassic.official-wedding.jp/company/" TargetMode="External"/><Relationship Id="rId11" Type="http://schemas.openxmlformats.org/officeDocument/2006/relationships/hyperlink" Target="https://www.agorazion.com/facilities/" TargetMode="External"/><Relationship Id="rId5" Type="http://schemas.openxmlformats.org/officeDocument/2006/relationships/hyperlink" Target="https://www.tsukada-global.holdings/business/bridal.html" TargetMode="External"/><Relationship Id="rId10" Type="http://schemas.openxmlformats.org/officeDocument/2006/relationships/hyperlink" Target="https://gran-amo.jp/company/" TargetMode="External"/><Relationship Id="rId4" Type="http://schemas.openxmlformats.org/officeDocument/2006/relationships/hyperlink" Target="https://www.tsukada-global.holdings/business/bridal.html" TargetMode="External"/><Relationship Id="rId9" Type="http://schemas.openxmlformats.org/officeDocument/2006/relationships/hyperlink" Target="https://www.hotelmonterey.co.jp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178DE-3CC6-44B7-9199-E9A3AAB6D1E2}">
  <sheetPr codeName="Sheet2"/>
  <dimension ref="C2:L36"/>
  <sheetViews>
    <sheetView workbookViewId="0">
      <selection activeCell="K18" sqref="K18"/>
    </sheetView>
  </sheetViews>
  <sheetFormatPr defaultColWidth="1.875" defaultRowHeight="10.8" customHeight="1" x14ac:dyDescent="0.15"/>
  <cols>
    <col min="1" max="16384" width="1.875" style="2"/>
  </cols>
  <sheetData>
    <row r="2" spans="3:12" ht="10.8" customHeight="1" x14ac:dyDescent="0.15">
      <c r="C2" s="1" t="s">
        <v>0</v>
      </c>
    </row>
    <row r="4" spans="3:12" ht="10.8" customHeight="1" x14ac:dyDescent="0.15">
      <c r="C4" s="2" t="s">
        <v>1</v>
      </c>
    </row>
    <row r="5" spans="3:12" ht="10.8" customHeight="1" x14ac:dyDescent="0.15">
      <c r="C5" s="2" t="s">
        <v>2</v>
      </c>
    </row>
    <row r="9" spans="3:12" ht="10.8" customHeight="1" x14ac:dyDescent="0.15">
      <c r="H9" s="2" t="s">
        <v>19</v>
      </c>
    </row>
    <row r="10" spans="3:12" ht="10.8" customHeight="1" x14ac:dyDescent="0.15">
      <c r="H10" s="2" t="s">
        <v>20</v>
      </c>
    </row>
    <row r="11" spans="3:12" s="3" customFormat="1" ht="10.8" customHeight="1" x14ac:dyDescent="0.15">
      <c r="H11" s="3" t="s">
        <v>21</v>
      </c>
    </row>
    <row r="13" spans="3:12" ht="10.8" customHeight="1" x14ac:dyDescent="0.15">
      <c r="H13" s="2" t="s">
        <v>8</v>
      </c>
    </row>
    <row r="14" spans="3:12" ht="10.8" customHeight="1" x14ac:dyDescent="0.15">
      <c r="I14" s="2" t="s">
        <v>17</v>
      </c>
    </row>
    <row r="15" spans="3:12" ht="10.8" customHeight="1" x14ac:dyDescent="0.15">
      <c r="K15" s="2" t="s">
        <v>3</v>
      </c>
    </row>
    <row r="16" spans="3:12" ht="10.8" customHeight="1" x14ac:dyDescent="0.15">
      <c r="L16" s="2" t="s">
        <v>5</v>
      </c>
    </row>
    <row r="17" spans="8:12" ht="10.8" customHeight="1" x14ac:dyDescent="0.15">
      <c r="L17" s="2" t="s">
        <v>6</v>
      </c>
    </row>
    <row r="19" spans="8:12" ht="10.8" customHeight="1" x14ac:dyDescent="0.15">
      <c r="K19" s="2" t="s">
        <v>4</v>
      </c>
    </row>
    <row r="20" spans="8:12" ht="10.8" customHeight="1" x14ac:dyDescent="0.15">
      <c r="L20" s="2" t="s">
        <v>5</v>
      </c>
    </row>
    <row r="21" spans="8:12" ht="10.8" customHeight="1" x14ac:dyDescent="0.15">
      <c r="L21" s="2" t="s">
        <v>7</v>
      </c>
    </row>
    <row r="23" spans="8:12" ht="10.8" customHeight="1" x14ac:dyDescent="0.15">
      <c r="H23" s="2" t="s">
        <v>9</v>
      </c>
    </row>
    <row r="24" spans="8:12" ht="10.8" customHeight="1" x14ac:dyDescent="0.15">
      <c r="I24" s="2" t="s">
        <v>15</v>
      </c>
    </row>
    <row r="25" spans="8:12" ht="10.8" customHeight="1" x14ac:dyDescent="0.15">
      <c r="J25" s="2" t="s">
        <v>18</v>
      </c>
    </row>
    <row r="26" spans="8:12" ht="10.8" customHeight="1" x14ac:dyDescent="0.15">
      <c r="I26" s="2" t="s">
        <v>16</v>
      </c>
    </row>
    <row r="28" spans="8:12" ht="10.8" customHeight="1" x14ac:dyDescent="0.15">
      <c r="K28" s="2" t="s">
        <v>3</v>
      </c>
    </row>
    <row r="29" spans="8:12" ht="10.8" customHeight="1" x14ac:dyDescent="0.15">
      <c r="L29" s="2" t="s">
        <v>13</v>
      </c>
    </row>
    <row r="30" spans="8:12" ht="10.8" customHeight="1" x14ac:dyDescent="0.15">
      <c r="L30" s="2" t="s">
        <v>14</v>
      </c>
    </row>
    <row r="31" spans="8:12" ht="10.8" customHeight="1" x14ac:dyDescent="0.15">
      <c r="K31" s="2" t="s">
        <v>4</v>
      </c>
    </row>
    <row r="32" spans="8:12" ht="10.8" customHeight="1" x14ac:dyDescent="0.15">
      <c r="L32" s="2" t="s">
        <v>13</v>
      </c>
    </row>
    <row r="33" spans="11:12" ht="10.8" customHeight="1" x14ac:dyDescent="0.15">
      <c r="L33" s="2" t="s">
        <v>10</v>
      </c>
    </row>
    <row r="34" spans="11:12" ht="10.8" customHeight="1" x14ac:dyDescent="0.15">
      <c r="K34" s="2" t="s">
        <v>11</v>
      </c>
    </row>
    <row r="35" spans="11:12" ht="10.8" customHeight="1" x14ac:dyDescent="0.15">
      <c r="L35" s="2" t="s">
        <v>13</v>
      </c>
    </row>
    <row r="36" spans="11:12" ht="10.8" customHeight="1" x14ac:dyDescent="0.15">
      <c r="L36" s="2" t="s">
        <v>12</v>
      </c>
    </row>
  </sheetData>
  <phoneticPr fontId="3"/>
  <hyperlinks>
    <hyperlink ref="C2" r:id="rId1" xr:uid="{27EAB926-8A6B-43FA-B8D1-72426DE58E9A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C9C92-EC6E-4954-9086-002AAA033186}">
  <sheetPr codeName="Sheet4"/>
  <dimension ref="B4:F63"/>
  <sheetViews>
    <sheetView workbookViewId="0">
      <selection activeCell="A7" sqref="A7"/>
    </sheetView>
  </sheetViews>
  <sheetFormatPr defaultRowHeight="10.8" x14ac:dyDescent="0.15"/>
  <cols>
    <col min="2" max="2" width="3.5" bestFit="1" customWidth="1"/>
    <col min="3" max="3" width="27.25" bestFit="1" customWidth="1"/>
    <col min="4" max="4" width="86" bestFit="1" customWidth="1"/>
    <col min="5" max="5" width="31.625" bestFit="1" customWidth="1"/>
  </cols>
  <sheetData>
    <row r="4" spans="2:6" x14ac:dyDescent="0.15">
      <c r="C4" t="s">
        <v>22</v>
      </c>
      <c r="D4" t="s">
        <v>79</v>
      </c>
      <c r="E4" t="s">
        <v>78</v>
      </c>
    </row>
    <row r="5" spans="2:6" x14ac:dyDescent="0.15">
      <c r="C5" t="s">
        <v>31</v>
      </c>
      <c r="D5" t="s">
        <v>32</v>
      </c>
    </row>
    <row r="6" spans="2:6" x14ac:dyDescent="0.15">
      <c r="B6" t="s">
        <v>33</v>
      </c>
      <c r="C6" t="s">
        <v>27</v>
      </c>
      <c r="D6" t="s">
        <v>28</v>
      </c>
      <c r="E6" t="s">
        <v>29</v>
      </c>
      <c r="F6" s="4" t="s">
        <v>124</v>
      </c>
    </row>
    <row r="7" spans="2:6" x14ac:dyDescent="0.15">
      <c r="B7" t="s">
        <v>33</v>
      </c>
      <c r="C7" t="s">
        <v>27</v>
      </c>
      <c r="D7" t="s">
        <v>30</v>
      </c>
      <c r="E7" t="s">
        <v>30</v>
      </c>
      <c r="F7" s="4" t="s">
        <v>130</v>
      </c>
    </row>
    <row r="8" spans="2:6" x14ac:dyDescent="0.15">
      <c r="B8" t="s">
        <v>33</v>
      </c>
      <c r="C8" t="s">
        <v>34</v>
      </c>
      <c r="D8" t="s">
        <v>35</v>
      </c>
      <c r="E8" t="s">
        <v>36</v>
      </c>
      <c r="F8" s="4" t="s">
        <v>128</v>
      </c>
    </row>
    <row r="9" spans="2:6" x14ac:dyDescent="0.15">
      <c r="B9" t="s">
        <v>33</v>
      </c>
      <c r="C9" t="s">
        <v>37</v>
      </c>
      <c r="D9" t="s">
        <v>38</v>
      </c>
      <c r="E9" t="s">
        <v>127</v>
      </c>
      <c r="F9" s="4" t="s">
        <v>126</v>
      </c>
    </row>
    <row r="10" spans="2:6" x14ac:dyDescent="0.15">
      <c r="B10" t="s">
        <v>33</v>
      </c>
      <c r="C10" t="s">
        <v>39</v>
      </c>
      <c r="D10" t="s">
        <v>125</v>
      </c>
      <c r="F10" s="4" t="s">
        <v>129</v>
      </c>
    </row>
    <row r="11" spans="2:6" x14ac:dyDescent="0.15">
      <c r="B11" t="s">
        <v>33</v>
      </c>
      <c r="C11" t="s">
        <v>39</v>
      </c>
      <c r="D11" t="s">
        <v>106</v>
      </c>
      <c r="F11" s="4" t="s">
        <v>136</v>
      </c>
    </row>
    <row r="12" spans="2:6" x14ac:dyDescent="0.15">
      <c r="B12" t="s">
        <v>33</v>
      </c>
      <c r="C12" t="s">
        <v>39</v>
      </c>
      <c r="D12" t="s">
        <v>112</v>
      </c>
      <c r="F12" s="4" t="s">
        <v>137</v>
      </c>
    </row>
    <row r="13" spans="2:6" x14ac:dyDescent="0.15">
      <c r="C13" t="s">
        <v>40</v>
      </c>
      <c r="D13" t="s">
        <v>41</v>
      </c>
      <c r="F13" s="4" t="s">
        <v>131</v>
      </c>
    </row>
    <row r="14" spans="2:6" x14ac:dyDescent="0.15">
      <c r="C14" t="s">
        <v>45</v>
      </c>
      <c r="D14" t="s">
        <v>46</v>
      </c>
      <c r="E14" t="s">
        <v>36</v>
      </c>
      <c r="F14" s="4" t="s">
        <v>128</v>
      </c>
    </row>
    <row r="15" spans="2:6" x14ac:dyDescent="0.15">
      <c r="C15" t="s">
        <v>45</v>
      </c>
      <c r="D15" t="s">
        <v>47</v>
      </c>
    </row>
    <row r="16" spans="2:6" x14ac:dyDescent="0.15">
      <c r="C16" t="s">
        <v>48</v>
      </c>
      <c r="D16" t="s">
        <v>49</v>
      </c>
    </row>
    <row r="17" spans="3:6" x14ac:dyDescent="0.15">
      <c r="C17" t="s">
        <v>50</v>
      </c>
      <c r="D17" t="s">
        <v>51</v>
      </c>
    </row>
    <row r="19" spans="3:6" x14ac:dyDescent="0.15">
      <c r="C19" t="s">
        <v>80</v>
      </c>
      <c r="D19" t="s">
        <v>81</v>
      </c>
      <c r="E19" t="s">
        <v>29</v>
      </c>
      <c r="F19" s="4" t="s">
        <v>124</v>
      </c>
    </row>
    <row r="20" spans="3:6" x14ac:dyDescent="0.15">
      <c r="C20" t="s">
        <v>83</v>
      </c>
      <c r="D20" t="s">
        <v>84</v>
      </c>
      <c r="E20" t="s">
        <v>29</v>
      </c>
      <c r="F20" s="4" t="s">
        <v>124</v>
      </c>
    </row>
    <row r="21" spans="3:6" x14ac:dyDescent="0.15">
      <c r="C21" t="s">
        <v>37</v>
      </c>
      <c r="D21" t="s">
        <v>133</v>
      </c>
      <c r="F21" s="4" t="s">
        <v>134</v>
      </c>
    </row>
    <row r="22" spans="3:6" x14ac:dyDescent="0.15">
      <c r="C22" t="s">
        <v>91</v>
      </c>
      <c r="D22" t="s">
        <v>92</v>
      </c>
    </row>
    <row r="23" spans="3:6" x14ac:dyDescent="0.15">
      <c r="C23" t="s">
        <v>93</v>
      </c>
      <c r="D23" t="s">
        <v>94</v>
      </c>
    </row>
    <row r="24" spans="3:6" x14ac:dyDescent="0.15">
      <c r="C24" t="s">
        <v>96</v>
      </c>
      <c r="D24" t="s">
        <v>132</v>
      </c>
    </row>
    <row r="25" spans="3:6" x14ac:dyDescent="0.15">
      <c r="C25" t="s">
        <v>135</v>
      </c>
      <c r="D25" t="s">
        <v>90</v>
      </c>
    </row>
    <row r="26" spans="3:6" x14ac:dyDescent="0.15">
      <c r="C26" t="s">
        <v>97</v>
      </c>
      <c r="D26" t="s">
        <v>98</v>
      </c>
    </row>
    <row r="27" spans="3:6" x14ac:dyDescent="0.15">
      <c r="C27" t="s">
        <v>99</v>
      </c>
      <c r="D27" t="s">
        <v>100</v>
      </c>
    </row>
    <row r="28" spans="3:6" x14ac:dyDescent="0.15">
      <c r="C28" t="s">
        <v>103</v>
      </c>
      <c r="D28" t="s">
        <v>104</v>
      </c>
    </row>
    <row r="29" spans="3:6" x14ac:dyDescent="0.15">
      <c r="C29" t="s">
        <v>110</v>
      </c>
      <c r="D29" t="s">
        <v>111</v>
      </c>
    </row>
    <row r="30" spans="3:6" x14ac:dyDescent="0.15">
      <c r="C30" t="s">
        <v>115</v>
      </c>
      <c r="D30" t="s">
        <v>116</v>
      </c>
    </row>
    <row r="31" spans="3:6" x14ac:dyDescent="0.15">
      <c r="C31" t="s">
        <v>85</v>
      </c>
      <c r="D31" t="s">
        <v>86</v>
      </c>
    </row>
    <row r="32" spans="3:6" x14ac:dyDescent="0.15">
      <c r="C32" t="s">
        <v>88</v>
      </c>
      <c r="D32" t="s">
        <v>89</v>
      </c>
    </row>
    <row r="33" spans="3:4" x14ac:dyDescent="0.15">
      <c r="C33" t="s">
        <v>101</v>
      </c>
      <c r="D33" t="s">
        <v>102</v>
      </c>
    </row>
    <row r="34" spans="3:4" x14ac:dyDescent="0.15">
      <c r="C34" t="s">
        <v>48</v>
      </c>
      <c r="D34" t="s">
        <v>105</v>
      </c>
    </row>
    <row r="35" spans="3:4" x14ac:dyDescent="0.15">
      <c r="C35" t="s">
        <v>48</v>
      </c>
      <c r="D35" t="s">
        <v>107</v>
      </c>
    </row>
    <row r="36" spans="3:4" x14ac:dyDescent="0.15">
      <c r="C36" t="s">
        <v>108</v>
      </c>
      <c r="D36" t="s">
        <v>109</v>
      </c>
    </row>
    <row r="37" spans="3:4" x14ac:dyDescent="0.15">
      <c r="C37" t="s">
        <v>113</v>
      </c>
      <c r="D37" t="s">
        <v>114</v>
      </c>
    </row>
    <row r="38" spans="3:4" x14ac:dyDescent="0.15">
      <c r="C38" t="s">
        <v>67</v>
      </c>
      <c r="D38" t="s">
        <v>117</v>
      </c>
    </row>
    <row r="39" spans="3:4" x14ac:dyDescent="0.15">
      <c r="C39" t="s">
        <v>118</v>
      </c>
      <c r="D39" t="s">
        <v>119</v>
      </c>
    </row>
    <row r="40" spans="3:4" x14ac:dyDescent="0.15">
      <c r="C40" t="s">
        <v>120</v>
      </c>
      <c r="D40" t="s">
        <v>121</v>
      </c>
    </row>
    <row r="41" spans="3:4" x14ac:dyDescent="0.15">
      <c r="C41" t="s">
        <v>122</v>
      </c>
      <c r="D41" t="s">
        <v>123</v>
      </c>
    </row>
    <row r="43" spans="3:4" x14ac:dyDescent="0.15">
      <c r="C43" t="s">
        <v>42</v>
      </c>
      <c r="D43" t="s">
        <v>43</v>
      </c>
    </row>
    <row r="44" spans="3:4" x14ac:dyDescent="0.15">
      <c r="C44" t="s">
        <v>42</v>
      </c>
      <c r="D44" t="s">
        <v>44</v>
      </c>
    </row>
    <row r="45" spans="3:4" x14ac:dyDescent="0.15">
      <c r="C45" t="s">
        <v>23</v>
      </c>
      <c r="D45" t="s">
        <v>24</v>
      </c>
    </row>
    <row r="46" spans="3:4" x14ac:dyDescent="0.15">
      <c r="C46" t="s">
        <v>23</v>
      </c>
      <c r="D46" t="s">
        <v>87</v>
      </c>
    </row>
    <row r="47" spans="3:4" x14ac:dyDescent="0.15">
      <c r="C47" t="s">
        <v>23</v>
      </c>
      <c r="D47" t="s">
        <v>95</v>
      </c>
    </row>
    <row r="48" spans="3:4" x14ac:dyDescent="0.15">
      <c r="C48" t="s">
        <v>25</v>
      </c>
      <c r="D48" t="s">
        <v>26</v>
      </c>
    </row>
    <row r="49" spans="3:5" x14ac:dyDescent="0.15">
      <c r="C49" t="s">
        <v>52</v>
      </c>
      <c r="D49" t="s">
        <v>53</v>
      </c>
      <c r="E49" t="s">
        <v>77</v>
      </c>
    </row>
    <row r="50" spans="3:5" x14ac:dyDescent="0.15">
      <c r="C50" t="s">
        <v>54</v>
      </c>
      <c r="D50" t="s">
        <v>55</v>
      </c>
      <c r="E50" t="s">
        <v>36</v>
      </c>
    </row>
    <row r="51" spans="3:5" x14ac:dyDescent="0.15">
      <c r="C51" t="s">
        <v>54</v>
      </c>
      <c r="D51" t="s">
        <v>82</v>
      </c>
    </row>
    <row r="52" spans="3:5" x14ac:dyDescent="0.15">
      <c r="C52" t="s">
        <v>56</v>
      </c>
      <c r="D52" t="s">
        <v>57</v>
      </c>
      <c r="E52" t="s">
        <v>57</v>
      </c>
    </row>
    <row r="53" spans="3:5" x14ac:dyDescent="0.15">
      <c r="C53" t="s">
        <v>37</v>
      </c>
      <c r="D53" t="s">
        <v>58</v>
      </c>
      <c r="E53" t="s">
        <v>59</v>
      </c>
    </row>
    <row r="54" spans="3:5" x14ac:dyDescent="0.15">
      <c r="C54" t="s">
        <v>37</v>
      </c>
      <c r="D54" t="s">
        <v>60</v>
      </c>
      <c r="E54" t="s">
        <v>59</v>
      </c>
    </row>
    <row r="55" spans="3:5" x14ac:dyDescent="0.15">
      <c r="C55" t="s">
        <v>61</v>
      </c>
      <c r="D55" t="s">
        <v>62</v>
      </c>
      <c r="E55" t="s">
        <v>59</v>
      </c>
    </row>
    <row r="56" spans="3:5" x14ac:dyDescent="0.15">
      <c r="C56" t="s">
        <v>37</v>
      </c>
      <c r="D56" t="s">
        <v>63</v>
      </c>
      <c r="E56" t="s">
        <v>64</v>
      </c>
    </row>
    <row r="57" spans="3:5" x14ac:dyDescent="0.15">
      <c r="C57" t="s">
        <v>65</v>
      </c>
      <c r="D57" t="s">
        <v>66</v>
      </c>
      <c r="E57" t="s">
        <v>64</v>
      </c>
    </row>
    <row r="58" spans="3:5" x14ac:dyDescent="0.15">
      <c r="C58" t="s">
        <v>67</v>
      </c>
      <c r="D58" t="s">
        <v>68</v>
      </c>
      <c r="E58" t="s">
        <v>64</v>
      </c>
    </row>
    <row r="59" spans="3:5" x14ac:dyDescent="0.15">
      <c r="C59" t="s">
        <v>67</v>
      </c>
      <c r="D59" t="s">
        <v>69</v>
      </c>
      <c r="E59" t="s">
        <v>64</v>
      </c>
    </row>
    <row r="60" spans="3:5" x14ac:dyDescent="0.15">
      <c r="C60" t="s">
        <v>70</v>
      </c>
      <c r="D60" t="s">
        <v>71</v>
      </c>
      <c r="E60" t="s">
        <v>64</v>
      </c>
    </row>
    <row r="61" spans="3:5" x14ac:dyDescent="0.15">
      <c r="C61" t="s">
        <v>72</v>
      </c>
      <c r="D61" t="s">
        <v>73</v>
      </c>
      <c r="E61" t="s">
        <v>64</v>
      </c>
    </row>
    <row r="62" spans="3:5" x14ac:dyDescent="0.15">
      <c r="C62" t="s">
        <v>34</v>
      </c>
      <c r="D62" t="s">
        <v>74</v>
      </c>
      <c r="E62" t="s">
        <v>64</v>
      </c>
    </row>
    <row r="63" spans="3:5" x14ac:dyDescent="0.15">
      <c r="C63" t="s">
        <v>75</v>
      </c>
      <c r="D63" t="s">
        <v>76</v>
      </c>
      <c r="E63" t="s">
        <v>64</v>
      </c>
    </row>
  </sheetData>
  <phoneticPr fontId="3"/>
  <hyperlinks>
    <hyperlink ref="F6" r:id="rId1" xr:uid="{C7D0C9FD-2564-4D24-9BBF-8EC5A8FAC32A}"/>
    <hyperlink ref="F10" r:id="rId2" xr:uid="{6C668F40-9B9D-4FF1-85D4-C5EBE2B23D65}"/>
    <hyperlink ref="F9" r:id="rId3" xr:uid="{5BC99103-69E7-4AD8-B3A7-6C3ECE9F133E}"/>
    <hyperlink ref="F8" r:id="rId4" xr:uid="{DF6E0364-861C-4F3F-B84F-4A2F313F218B}"/>
    <hyperlink ref="F14" r:id="rId5" xr:uid="{7E63CEA7-6550-440E-957F-570B2B764AE7}"/>
    <hyperlink ref="F7" r:id="rId6" xr:uid="{EED7894A-59E9-43CB-ADE7-2937630A13AA}"/>
    <hyperlink ref="F13" r:id="rId7" xr:uid="{250F6904-C19D-4367-957F-DD6E56403C4A}"/>
    <hyperlink ref="F19" r:id="rId8" xr:uid="{D01AA2E3-A014-4FAF-9D6A-CE0F8DD82638}"/>
    <hyperlink ref="F20" r:id="rId9" xr:uid="{90FE6DC9-82E3-4F30-9597-F0782AE2EF24}"/>
    <hyperlink ref="F21" r:id="rId10" xr:uid="{B6730145-25AF-4EA3-8F4B-B8D12362764C}"/>
    <hyperlink ref="F11" r:id="rId11" xr:uid="{56042052-5412-49F0-A002-6353696839FB}"/>
    <hyperlink ref="F12" r:id="rId12" xr:uid="{FA4F85CE-AE96-4E2A-95A8-6BAF134ECDFD}"/>
  </hyperlinks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D7909-3F46-4128-A3FD-755AE34D59DC}">
  <dimension ref="C4:H26"/>
  <sheetViews>
    <sheetView workbookViewId="0">
      <selection activeCell="A4" sqref="A4"/>
    </sheetView>
  </sheetViews>
  <sheetFormatPr defaultRowHeight="10.8" x14ac:dyDescent="0.15"/>
  <cols>
    <col min="4" max="4" width="9.5" bestFit="1" customWidth="1"/>
    <col min="5" max="6" width="3.875" style="6" customWidth="1"/>
  </cols>
  <sheetData>
    <row r="4" spans="3:8" x14ac:dyDescent="0.15">
      <c r="C4" s="5">
        <v>65536</v>
      </c>
      <c r="D4" t="str">
        <f>RIGHT(DEC2HEX(C4,8),8)</f>
        <v>00010000</v>
      </c>
      <c r="H4" t="s">
        <v>163</v>
      </c>
    </row>
    <row r="5" spans="3:8" x14ac:dyDescent="0.15">
      <c r="C5" s="5">
        <v>65535</v>
      </c>
      <c r="D5" t="str">
        <f>RIGHT(DEC2HEX(C5,8),8)</f>
        <v>0000FFFF</v>
      </c>
      <c r="H5" t="s">
        <v>154</v>
      </c>
    </row>
    <row r="6" spans="3:8" x14ac:dyDescent="0.15">
      <c r="C6" s="5">
        <v>65534</v>
      </c>
      <c r="D6" t="str">
        <f>RIGHT(DEC2HEX(C6,8),8)</f>
        <v>0000FFFE</v>
      </c>
      <c r="H6" t="s">
        <v>155</v>
      </c>
    </row>
    <row r="7" spans="3:8" x14ac:dyDescent="0.15">
      <c r="C7" s="7" t="s">
        <v>149</v>
      </c>
      <c r="H7" t="s">
        <v>157</v>
      </c>
    </row>
    <row r="8" spans="3:8" x14ac:dyDescent="0.15">
      <c r="C8" s="5">
        <v>32768</v>
      </c>
      <c r="D8" t="str">
        <f t="shared" ref="D8:D10" si="0">RIGHT(DEC2HEX(C8,8),8)</f>
        <v>00008000</v>
      </c>
      <c r="H8" t="s">
        <v>158</v>
      </c>
    </row>
    <row r="9" spans="3:8" x14ac:dyDescent="0.15">
      <c r="C9" s="5">
        <v>32767</v>
      </c>
      <c r="D9" t="str">
        <f t="shared" si="0"/>
        <v>00007FFF</v>
      </c>
      <c r="H9" t="s">
        <v>159</v>
      </c>
    </row>
    <row r="10" spans="3:8" x14ac:dyDescent="0.15">
      <c r="C10" s="5">
        <v>32766</v>
      </c>
      <c r="D10" t="str">
        <f t="shared" si="0"/>
        <v>00007FFE</v>
      </c>
      <c r="H10" t="s">
        <v>160</v>
      </c>
    </row>
    <row r="11" spans="3:8" x14ac:dyDescent="0.15">
      <c r="C11" s="7" t="s">
        <v>149</v>
      </c>
      <c r="H11" t="s">
        <v>161</v>
      </c>
    </row>
    <row r="12" spans="3:8" x14ac:dyDescent="0.15">
      <c r="C12" s="5">
        <v>10000</v>
      </c>
      <c r="D12" t="str">
        <f>RIGHT(DEC2HEX(C12,8),8)</f>
        <v>00002710</v>
      </c>
      <c r="H12" t="s">
        <v>162</v>
      </c>
    </row>
    <row r="13" spans="3:8" x14ac:dyDescent="0.15">
      <c r="C13" s="7" t="s">
        <v>149</v>
      </c>
      <c r="H13" t="s">
        <v>156</v>
      </c>
    </row>
    <row r="14" spans="3:8" x14ac:dyDescent="0.15">
      <c r="C14" s="5">
        <v>2</v>
      </c>
      <c r="D14" t="str">
        <f t="shared" ref="D14:D18" si="1">RIGHT(DEC2HEX(C14,8),8)</f>
        <v>00000002</v>
      </c>
    </row>
    <row r="15" spans="3:8" x14ac:dyDescent="0.15">
      <c r="C15" s="5">
        <v>1</v>
      </c>
      <c r="D15" t="str">
        <f t="shared" si="1"/>
        <v>00000001</v>
      </c>
      <c r="H15" t="s">
        <v>164</v>
      </c>
    </row>
    <row r="16" spans="3:8" x14ac:dyDescent="0.15">
      <c r="C16" s="5">
        <v>0</v>
      </c>
      <c r="D16" t="str">
        <f t="shared" si="1"/>
        <v>00000000</v>
      </c>
      <c r="H16" t="s">
        <v>150</v>
      </c>
    </row>
    <row r="17" spans="3:8" x14ac:dyDescent="0.15">
      <c r="C17" s="5">
        <v>-1</v>
      </c>
      <c r="D17" t="str">
        <f t="shared" si="1"/>
        <v>FFFFFFFF</v>
      </c>
      <c r="H17" t="s">
        <v>151</v>
      </c>
    </row>
    <row r="18" spans="3:8" x14ac:dyDescent="0.15">
      <c r="C18" s="5">
        <v>-2</v>
      </c>
      <c r="D18" t="str">
        <f t="shared" si="1"/>
        <v>FFFFFFFE</v>
      </c>
      <c r="H18" t="s">
        <v>152</v>
      </c>
    </row>
    <row r="19" spans="3:8" x14ac:dyDescent="0.15">
      <c r="C19" s="7" t="s">
        <v>149</v>
      </c>
      <c r="H19" t="s">
        <v>153</v>
      </c>
    </row>
    <row r="20" spans="3:8" x14ac:dyDescent="0.15">
      <c r="C20" s="5">
        <v>-10000</v>
      </c>
      <c r="D20" t="str">
        <f>RIGHT(DEC2HEX(C20,8),8)</f>
        <v>FFFFD8F0</v>
      </c>
    </row>
    <row r="21" spans="3:8" x14ac:dyDescent="0.15">
      <c r="C21" s="7" t="s">
        <v>149</v>
      </c>
    </row>
    <row r="22" spans="3:8" x14ac:dyDescent="0.15">
      <c r="C22" s="5">
        <v>-32767</v>
      </c>
      <c r="D22" t="str">
        <f t="shared" ref="D22:D24" si="2">RIGHT(DEC2HEX(C22,8),8)</f>
        <v>FFFF8001</v>
      </c>
    </row>
    <row r="23" spans="3:8" x14ac:dyDescent="0.15">
      <c r="C23" s="5">
        <v>-32768</v>
      </c>
      <c r="D23" t="str">
        <f t="shared" si="2"/>
        <v>FFFF8000</v>
      </c>
    </row>
    <row r="24" spans="3:8" x14ac:dyDescent="0.15">
      <c r="C24" s="5">
        <v>-32769</v>
      </c>
      <c r="D24" t="str">
        <f t="shared" si="2"/>
        <v>FFFF7FFF</v>
      </c>
    </row>
    <row r="26" spans="3:8" x14ac:dyDescent="0.15">
      <c r="C26" s="5"/>
    </row>
  </sheetData>
  <phoneticPr fontId="3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A5BD5-FC32-4037-8A35-43A024636BAF}">
  <sheetPr>
    <outlinePr summaryRight="0"/>
  </sheetPr>
  <dimension ref="B2:H11"/>
  <sheetViews>
    <sheetView tabSelected="1" workbookViewId="0">
      <selection activeCell="B2" sqref="B2"/>
    </sheetView>
  </sheetViews>
  <sheetFormatPr defaultRowHeight="10.8" outlineLevelCol="1" x14ac:dyDescent="0.15"/>
  <cols>
    <col min="1" max="2" width="9" style="8"/>
    <col min="3" max="3" width="11.625" style="8" bestFit="1" customWidth="1"/>
    <col min="4" max="4" width="23.5" style="8" customWidth="1" outlineLevel="1"/>
    <col min="5" max="6" width="23.75" style="8" customWidth="1"/>
    <col min="7" max="7" width="16.375" style="9" customWidth="1"/>
    <col min="8" max="8" width="17.25" style="8" customWidth="1"/>
    <col min="9" max="9" width="15" style="8" bestFit="1" customWidth="1"/>
    <col min="10" max="16384" width="9" style="8"/>
  </cols>
  <sheetData>
    <row r="2" spans="2:8" x14ac:dyDescent="0.15">
      <c r="B2" s="8" t="str">
        <f>"Z = X * Y; /* "&amp;C7&amp;"="&amp;C5&amp;"+"&amp;C6&amp;" */"</f>
        <v>Z = X * Y; /* Q15=Q13+Q2 */</v>
      </c>
      <c r="D2" s="9"/>
      <c r="F2" s="10"/>
      <c r="G2" s="8"/>
      <c r="H2" s="10"/>
    </row>
    <row r="4" spans="2:8" s="11" customFormat="1" x14ac:dyDescent="0.15">
      <c r="B4" s="11" t="s">
        <v>146</v>
      </c>
      <c r="C4" s="11" t="s">
        <v>147</v>
      </c>
      <c r="D4" s="11" t="s">
        <v>148</v>
      </c>
      <c r="E4" s="11" t="s">
        <v>138</v>
      </c>
      <c r="F4" s="11" t="s">
        <v>142</v>
      </c>
    </row>
    <row r="5" spans="2:8" x14ac:dyDescent="0.15">
      <c r="B5" s="8" t="s">
        <v>144</v>
      </c>
      <c r="C5" s="8" t="s">
        <v>140</v>
      </c>
      <c r="D5" s="10">
        <f>1/(2^SUBSTITUTE($C5,"Q",""))</f>
        <v>1.220703125E-4</v>
      </c>
      <c r="E5" s="10">
        <v>0.1234567</v>
      </c>
      <c r="F5" s="10">
        <f>TRUNC($E5*(2^SUBSTITUTE($C5,"Q","")))</f>
        <v>1011</v>
      </c>
      <c r="G5" s="8"/>
    </row>
    <row r="6" spans="2:8" x14ac:dyDescent="0.15">
      <c r="B6" s="8" t="s">
        <v>145</v>
      </c>
      <c r="C6" s="8" t="s">
        <v>139</v>
      </c>
      <c r="D6" s="10">
        <f t="shared" ref="D6:D7" si="0">1/(2^SUBSTITUTE($C6,"Q",""))</f>
        <v>0.25</v>
      </c>
      <c r="E6" s="10">
        <v>1.11111111</v>
      </c>
      <c r="F6" s="10">
        <f>TRUNC($E6*(2^SUBSTITUTE($C6,"Q","")))</f>
        <v>4</v>
      </c>
      <c r="G6" s="8"/>
    </row>
    <row r="7" spans="2:8" x14ac:dyDescent="0.15">
      <c r="B7" s="8" t="s">
        <v>143</v>
      </c>
      <c r="C7" s="8" t="str">
        <f>"Q"&amp;SUBSTITUTE($C5,"Q","")+SUBSTITUTE($C6,"Q","")</f>
        <v>Q15</v>
      </c>
      <c r="D7" s="10">
        <f t="shared" si="0"/>
        <v>3.0517578125E-5</v>
      </c>
      <c r="E7" s="10">
        <f>E5*E6</f>
        <v>0.137174110973937</v>
      </c>
      <c r="F7" s="10">
        <f>(F5*F6)/(2^SUBSTITUTE($C7,"Q",""))</f>
        <v>0.1234130859375</v>
      </c>
    </row>
    <row r="8" spans="2:8" x14ac:dyDescent="0.15">
      <c r="D8" s="9"/>
      <c r="G8" s="8"/>
    </row>
    <row r="9" spans="2:8" x14ac:dyDescent="0.15">
      <c r="E9" s="8" t="s">
        <v>141</v>
      </c>
      <c r="F9" s="10">
        <f>ABS(E7-F7)</f>
        <v>1.3761025036437002E-2</v>
      </c>
    </row>
    <row r="10" spans="2:8" x14ac:dyDescent="0.15">
      <c r="D10" s="12"/>
      <c r="E10" s="13" t="str">
        <f>"許容誤差"&amp;C5&amp;"の場合"</f>
        <v>許容誤差Q13の場合</v>
      </c>
      <c r="F10" s="8" t="str">
        <f>IF(F$9&lt;$D5,"OK","NG")</f>
        <v>NG</v>
      </c>
    </row>
    <row r="11" spans="2:8" x14ac:dyDescent="0.15">
      <c r="E11" s="13" t="str">
        <f>"許容誤差"&amp;C6&amp;"の場合"</f>
        <v>許容誤差Q2の場合</v>
      </c>
      <c r="F11" s="8" t="str">
        <f>IF(F$9&lt;$D6,"OK","NG")</f>
        <v>OK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書式維持置換</vt:lpstr>
      <vt:lpstr>Sheet4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cp:lastPrinted>2019-06-01T05:01:32Z</cp:lastPrinted>
  <dcterms:created xsi:type="dcterms:W3CDTF">2017-09-21T10:32:10Z</dcterms:created>
  <dcterms:modified xsi:type="dcterms:W3CDTF">2019-11-22T08:47:05Z</dcterms:modified>
</cp:coreProperties>
</file>