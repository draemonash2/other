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ther\temporary\"/>
    </mc:Choice>
  </mc:AlternateContent>
  <xr:revisionPtr revIDLastSave="0" documentId="13_ncr:1_{928AD4A0-1443-4220-8732-76FB8E0E1453}" xr6:coauthVersionLast="45" xr6:coauthVersionMax="45" xr10:uidLastSave="{00000000-0000-0000-0000-000000000000}"/>
  <bookViews>
    <workbookView xWindow="-108" yWindow="-108" windowWidth="21684" windowHeight="13176" activeTab="3" xr2:uid="{00000000-000D-0000-FFFF-FFFF00000000}"/>
  </bookViews>
  <sheets>
    <sheet name="書式維持置換" sheetId="42" r:id="rId1"/>
    <sheet name="Sheet3" sheetId="49" r:id="rId2"/>
    <sheet name="Sheet3 (2)" sheetId="51" r:id="rId3"/>
    <sheet name="項目シート" sheetId="50" r:id="rId4"/>
    <sheet name="Sheet2" sheetId="48" r:id="rId5"/>
    <sheet name="Sheet1" sheetId="47" r:id="rId6"/>
    <sheet name="Sheet4" sheetId="46" r:id="rId7"/>
  </sheets>
  <externalReferences>
    <externalReference r:id="rId8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51" l="1"/>
  <c r="G2" i="51" s="1"/>
  <c r="H2" i="51" s="1"/>
  <c r="I2" i="51" s="1"/>
  <c r="J2" i="51" s="1"/>
  <c r="K2" i="51" s="1"/>
  <c r="L2" i="51" s="1"/>
  <c r="M2" i="51" s="1"/>
  <c r="N2" i="51" s="1"/>
  <c r="O2" i="51" s="1"/>
  <c r="P2" i="51" s="1"/>
  <c r="Q2" i="51" s="1"/>
  <c r="R2" i="51" s="1"/>
  <c r="S2" i="51" s="1"/>
  <c r="T2" i="51" s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M2" i="49" l="1"/>
  <c r="N2" i="49" s="1"/>
  <c r="O2" i="49" s="1"/>
  <c r="P2" i="49" s="1"/>
  <c r="Q2" i="49" s="1"/>
  <c r="R2" i="49" s="1"/>
  <c r="S2" i="49" s="1"/>
  <c r="T2" i="49" s="1"/>
  <c r="U2" i="49" s="1"/>
  <c r="V2" i="49" s="1"/>
  <c r="W2" i="49" s="1"/>
  <c r="X2" i="49" s="1"/>
  <c r="Y2" i="49" s="1"/>
  <c r="Z2" i="49" s="1"/>
  <c r="AA2" i="49" s="1"/>
  <c r="AB2" i="49" s="1"/>
  <c r="AC2" i="49" s="1"/>
  <c r="AD2" i="49" s="1"/>
  <c r="AE2" i="49" s="1"/>
  <c r="AF2" i="49" s="1"/>
  <c r="AG2" i="49" s="1"/>
  <c r="AH2" i="49" s="1"/>
  <c r="AI2" i="49" s="1"/>
  <c r="AJ2" i="49" s="1"/>
  <c r="AK2" i="49" s="1"/>
  <c r="AL2" i="49" s="1"/>
  <c r="AM2" i="49" s="1"/>
  <c r="AN2" i="49" s="1"/>
  <c r="AO2" i="49" s="1"/>
  <c r="AP2" i="49" s="1"/>
  <c r="AQ2" i="49" s="1"/>
  <c r="AR2" i="49" s="1"/>
  <c r="AS2" i="49" s="1"/>
  <c r="AT2" i="49" s="1"/>
  <c r="AU2" i="49" s="1"/>
  <c r="AV2" i="49" s="1"/>
  <c r="AW2" i="49" s="1"/>
  <c r="AX2" i="49" s="1"/>
  <c r="AY2" i="49" s="1"/>
  <c r="L30" i="48" l="1"/>
  <c r="L32" i="48"/>
  <c r="L31" i="48"/>
  <c r="N29" i="48"/>
  <c r="N25" i="48"/>
  <c r="N30" i="48"/>
  <c r="O29" i="48"/>
  <c r="N26" i="48"/>
  <c r="N31" i="48"/>
  <c r="N27" i="48"/>
  <c r="O27" i="48"/>
  <c r="O32" i="48"/>
  <c r="O26" i="48"/>
  <c r="O30" i="48"/>
  <c r="O28" i="48"/>
  <c r="N32" i="48"/>
  <c r="O31" i="48"/>
  <c r="N28" i="48"/>
  <c r="L29" i="48" l="1"/>
  <c r="L28" i="48"/>
  <c r="L27" i="48"/>
  <c r="L26" i="48"/>
  <c r="L25" i="48"/>
  <c r="O25" i="48"/>
</calcChain>
</file>

<file path=xl/sharedStrings.xml><?xml version="1.0" encoding="utf-8"?>
<sst xmlns="http://schemas.openxmlformats.org/spreadsheetml/2006/main" count="532" uniqueCount="236">
  <si>
    <t>https://www.banana-juice.com/tech/articles/replace-without-format</t>
  </si>
  <si>
    <t>各文字位置の書式を保持</t>
    <rPh sb="0" eb="1">
      <t>カク</t>
    </rPh>
    <rPh sb="1" eb="3">
      <t>モジ</t>
    </rPh>
    <rPh sb="3" eb="5">
      <t>イチ</t>
    </rPh>
    <rPh sb="6" eb="8">
      <t>ショシキ</t>
    </rPh>
    <rPh sb="9" eb="11">
      <t>ホジ</t>
    </rPh>
    <phoneticPr fontId="3"/>
  </si>
  <si>
    <t>置換後の文字位置に保持した書式を展開</t>
    <rPh sb="0" eb="2">
      <t>チカン</t>
    </rPh>
    <rPh sb="2" eb="3">
      <t>ゴ</t>
    </rPh>
    <rPh sb="4" eb="6">
      <t>モジ</t>
    </rPh>
    <rPh sb="6" eb="8">
      <t>イチ</t>
    </rPh>
    <rPh sb="9" eb="11">
      <t>ホジ</t>
    </rPh>
    <rPh sb="13" eb="15">
      <t>ショシキ</t>
    </rPh>
    <rPh sb="16" eb="18">
      <t>テンカイ</t>
    </rPh>
    <phoneticPr fontId="3"/>
  </si>
  <si>
    <t>cde→1234</t>
    <phoneticPr fontId="3"/>
  </si>
  <si>
    <t>cde→12</t>
    <phoneticPr fontId="3"/>
  </si>
  <si>
    <r>
      <t>ab</t>
    </r>
    <r>
      <rPr>
        <sz val="9"/>
        <color rgb="FFFF0000"/>
        <rFont val="ＭＳ ゴシック"/>
        <family val="3"/>
        <charset val="128"/>
      </rPr>
      <t>cde</t>
    </r>
    <r>
      <rPr>
        <sz val="9"/>
        <color theme="1"/>
        <rFont val="ＭＳ ゴシック"/>
        <family val="3"/>
        <charset val="128"/>
      </rPr>
      <t>fgh</t>
    </r>
    <phoneticPr fontId="3"/>
  </si>
  <si>
    <r>
      <t>ab</t>
    </r>
    <r>
      <rPr>
        <sz val="9"/>
        <color rgb="FFFF0000"/>
        <rFont val="ＭＳ ゴシック"/>
        <family val="3"/>
        <charset val="128"/>
      </rPr>
      <t>1234</t>
    </r>
    <r>
      <rPr>
        <sz val="9"/>
        <color theme="1"/>
        <rFont val="ＭＳ ゴシック"/>
        <family val="3"/>
        <charset val="128"/>
      </rPr>
      <t>fgh</t>
    </r>
    <phoneticPr fontId="3"/>
  </si>
  <si>
    <r>
      <t>ab</t>
    </r>
    <r>
      <rPr>
        <sz val="9"/>
        <color rgb="FFFF0000"/>
        <rFont val="ＭＳ ゴシック"/>
        <family val="3"/>
        <charset val="128"/>
      </rPr>
      <t>12</t>
    </r>
    <r>
      <rPr>
        <sz val="9"/>
        <color theme="1"/>
        <rFont val="ＭＳ ゴシック"/>
        <family val="3"/>
        <charset val="128"/>
      </rPr>
      <t>fgh</t>
    </r>
    <phoneticPr fontId="3"/>
  </si>
  <si>
    <t>◇置換元文字列内がすべて同じ書式</t>
    <rPh sb="1" eb="3">
      <t>チカン</t>
    </rPh>
    <rPh sb="3" eb="4">
      <t>モト</t>
    </rPh>
    <rPh sb="4" eb="7">
      <t>モジレツ</t>
    </rPh>
    <rPh sb="7" eb="8">
      <t>ナイ</t>
    </rPh>
    <rPh sb="12" eb="13">
      <t>オナ</t>
    </rPh>
    <rPh sb="14" eb="16">
      <t>ショシキ</t>
    </rPh>
    <phoneticPr fontId="3"/>
  </si>
  <si>
    <t>◇置換元文字列内に別の書式がある場合</t>
    <rPh sb="1" eb="3">
      <t>チカン</t>
    </rPh>
    <rPh sb="3" eb="4">
      <t>モト</t>
    </rPh>
    <rPh sb="4" eb="7">
      <t>モジレツ</t>
    </rPh>
    <rPh sb="7" eb="8">
      <t>ナイ</t>
    </rPh>
    <rPh sb="9" eb="10">
      <t>ベツ</t>
    </rPh>
    <rPh sb="11" eb="13">
      <t>ショシキ</t>
    </rPh>
    <rPh sb="16" eb="18">
      <t>バアイ</t>
    </rPh>
    <phoneticPr fontId="3"/>
  </si>
  <si>
    <r>
      <t>ab</t>
    </r>
    <r>
      <rPr>
        <sz val="9"/>
        <color rgb="FFFF0000"/>
        <rFont val="ＭＳ ゴシック"/>
        <family val="3"/>
        <charset val="128"/>
      </rPr>
      <t>1</t>
    </r>
    <r>
      <rPr>
        <sz val="9"/>
        <color rgb="FF0070C0"/>
        <rFont val="ＭＳ ゴシック"/>
        <family val="3"/>
        <charset val="128"/>
      </rPr>
      <t>2</t>
    </r>
    <r>
      <rPr>
        <sz val="9"/>
        <color theme="1"/>
        <rFont val="ＭＳ ゴシック"/>
        <family val="3"/>
        <charset val="128"/>
      </rPr>
      <t>fgh</t>
    </r>
    <phoneticPr fontId="3"/>
  </si>
  <si>
    <t>cde→1</t>
    <phoneticPr fontId="3"/>
  </si>
  <si>
    <r>
      <t>ab</t>
    </r>
    <r>
      <rPr>
        <sz val="9"/>
        <color rgb="FFFF0000"/>
        <rFont val="ＭＳ ゴシック"/>
        <family val="3"/>
        <charset val="128"/>
      </rPr>
      <t>1</t>
    </r>
    <r>
      <rPr>
        <sz val="9"/>
        <color theme="1"/>
        <rFont val="ＭＳ ゴシック"/>
        <family val="3"/>
        <charset val="128"/>
      </rPr>
      <t>fgh</t>
    </r>
    <phoneticPr fontId="3"/>
  </si>
  <si>
    <r>
      <t>ab</t>
    </r>
    <r>
      <rPr>
        <sz val="9"/>
        <color rgb="FFFF0000"/>
        <rFont val="ＭＳ ゴシック"/>
        <family val="3"/>
        <charset val="128"/>
      </rPr>
      <t>c</t>
    </r>
    <r>
      <rPr>
        <sz val="9"/>
        <color rgb="FF0070C0"/>
        <rFont val="ＭＳ ゴシック"/>
        <family val="3"/>
        <charset val="128"/>
      </rPr>
      <t>d</t>
    </r>
    <r>
      <rPr>
        <sz val="9"/>
        <color rgb="FF00B050"/>
        <rFont val="ＭＳ ゴシック"/>
        <family val="3"/>
        <charset val="128"/>
      </rPr>
      <t>e</t>
    </r>
    <r>
      <rPr>
        <sz val="9"/>
        <color theme="1"/>
        <rFont val="ＭＳ ゴシック"/>
        <family val="3"/>
        <charset val="128"/>
      </rPr>
      <t>fgh</t>
    </r>
  </si>
  <si>
    <r>
      <t>ab</t>
    </r>
    <r>
      <rPr>
        <sz val="9"/>
        <color rgb="FFFF0000"/>
        <rFont val="ＭＳ ゴシック"/>
        <family val="3"/>
        <charset val="128"/>
      </rPr>
      <t>1</t>
    </r>
    <r>
      <rPr>
        <sz val="9"/>
        <color rgb="FF0070C0"/>
        <rFont val="ＭＳ ゴシック"/>
        <family val="3"/>
        <charset val="128"/>
      </rPr>
      <t>2</t>
    </r>
    <r>
      <rPr>
        <sz val="9"/>
        <color rgb="FF00B050"/>
        <rFont val="ＭＳ ゴシック"/>
        <family val="3"/>
        <charset val="128"/>
      </rPr>
      <t>34</t>
    </r>
    <r>
      <rPr>
        <sz val="9"/>
        <color theme="1"/>
        <rFont val="ＭＳ ゴシック"/>
        <family val="3"/>
        <charset val="128"/>
      </rPr>
      <t>fgh</t>
    </r>
    <phoneticPr fontId="3"/>
  </si>
  <si>
    <t>◇置換元文字列文字数＞置換先文字列文字数</t>
    <rPh sb="1" eb="3">
      <t>チカン</t>
    </rPh>
    <rPh sb="3" eb="4">
      <t>モト</t>
    </rPh>
    <rPh sb="4" eb="7">
      <t>モジレツ</t>
    </rPh>
    <rPh sb="7" eb="10">
      <t>モジスウ</t>
    </rPh>
    <rPh sb="13" eb="14">
      <t>サキ</t>
    </rPh>
    <phoneticPr fontId="3"/>
  </si>
  <si>
    <t>◇置換元文字列文字数≦置換先文字列文字数</t>
    <rPh sb="1" eb="3">
      <t>チカン</t>
    </rPh>
    <rPh sb="3" eb="4">
      <t>モト</t>
    </rPh>
    <rPh sb="4" eb="7">
      <t>モジレツ</t>
    </rPh>
    <rPh sb="7" eb="10">
      <t>モジスウ</t>
    </rPh>
    <rPh sb="13" eb="14">
      <t>サキ</t>
    </rPh>
    <phoneticPr fontId="3"/>
  </si>
  <si>
    <t>・置換元文字列１文字目の書式を置換先文字列全文字に展開</t>
    <rPh sb="1" eb="3">
      <t>チカン</t>
    </rPh>
    <rPh sb="3" eb="4">
      <t>モト</t>
    </rPh>
    <rPh sb="4" eb="7">
      <t>モジレツ</t>
    </rPh>
    <rPh sb="8" eb="11">
      <t>モジメ</t>
    </rPh>
    <rPh sb="12" eb="14">
      <t>ショシキ</t>
    </rPh>
    <rPh sb="15" eb="17">
      <t>チカン</t>
    </rPh>
    <rPh sb="17" eb="18">
      <t>サキ</t>
    </rPh>
    <rPh sb="18" eb="21">
      <t>モジレツ</t>
    </rPh>
    <rPh sb="21" eb="22">
      <t>ゼン</t>
    </rPh>
    <rPh sb="22" eb="24">
      <t>モジ</t>
    </rPh>
    <rPh sb="25" eb="27">
      <t>テンカイ</t>
    </rPh>
    <phoneticPr fontId="3"/>
  </si>
  <si>
    <t>・置換元末尾文字の書式を展開</t>
    <rPh sb="1" eb="3">
      <t>チカン</t>
    </rPh>
    <rPh sb="3" eb="4">
      <t>モト</t>
    </rPh>
    <rPh sb="4" eb="6">
      <t>マツビ</t>
    </rPh>
    <rPh sb="6" eb="8">
      <t>モジ</t>
    </rPh>
    <rPh sb="9" eb="11">
      <t>ショシキ</t>
    </rPh>
    <rPh sb="12" eb="14">
      <t>テンカイ</t>
    </rPh>
    <phoneticPr fontId="3"/>
  </si>
  <si>
    <t>・置換元文字列の書式を保存</t>
    <rPh sb="1" eb="3">
      <t>チカン</t>
    </rPh>
    <rPh sb="3" eb="4">
      <t>モト</t>
    </rPh>
    <rPh sb="4" eb="7">
      <t>モジレツ</t>
    </rPh>
    <rPh sb="8" eb="10">
      <t>ショシキ</t>
    </rPh>
    <rPh sb="11" eb="13">
      <t>ホゾン</t>
    </rPh>
    <phoneticPr fontId="3"/>
  </si>
  <si>
    <t>・一致文字の位置を保持</t>
    <rPh sb="1" eb="3">
      <t>イッチ</t>
    </rPh>
    <rPh sb="3" eb="5">
      <t>モジ</t>
    </rPh>
    <rPh sb="6" eb="8">
      <t>イチ</t>
    </rPh>
    <rPh sb="9" eb="11">
      <t>ホジ</t>
    </rPh>
    <phoneticPr fontId="3"/>
  </si>
  <si>
    <t>・ずらした結果の書式を保持</t>
    <rPh sb="5" eb="7">
      <t>ケッカ</t>
    </rPh>
    <rPh sb="8" eb="10">
      <t>ショシキ</t>
    </rPh>
    <rPh sb="11" eb="13">
      <t>ホジ</t>
    </rPh>
    <phoneticPr fontId="3"/>
  </si>
  <si>
    <t>大阪・大阪城西の丸</t>
  </si>
  <si>
    <t>大阪・ユニバーサルシティ</t>
  </si>
  <si>
    <t>ノートルダム大阪ONE</t>
  </si>
  <si>
    <t>大阪・高石</t>
  </si>
  <si>
    <t>ブランスイート大阪</t>
  </si>
  <si>
    <t>大阪・なんば</t>
  </si>
  <si>
    <t>ホテルモントレ グラスミア大阪</t>
  </si>
  <si>
    <t>ホテルモントレグループ</t>
  </si>
  <si>
    <t>ホテルロイヤルクラシック大阪</t>
  </si>
  <si>
    <t>大阪・大阪城北詰</t>
  </si>
  <si>
    <t>太閤園</t>
  </si>
  <si>
    <t>★</t>
  </si>
  <si>
    <t>大阪・本町</t>
  </si>
  <si>
    <t>セントグレースヴィラ</t>
  </si>
  <si>
    <t>ベストブライダルグループ</t>
  </si>
  <si>
    <t>大阪・梅田</t>
  </si>
  <si>
    <t>ホテル阪急インターナショナル</t>
  </si>
  <si>
    <t>大阪・中之島</t>
  </si>
  <si>
    <t>大阪・千里中央</t>
  </si>
  <si>
    <t>千里阪急ホテル CLASSIC GARDEN</t>
  </si>
  <si>
    <t>兵庫・ポートアイランド</t>
  </si>
  <si>
    <t>デゼーロ（deuxzero）</t>
  </si>
  <si>
    <t>Lumierange Garden （ルミエランジェ・ガーデン）</t>
  </si>
  <si>
    <t>兵庫・芦屋</t>
  </si>
  <si>
    <t>アートグレイス ネクスト アシヤ</t>
  </si>
  <si>
    <t>メゾン・ド・タカ 芦屋　Maison de Taka Ashiya</t>
  </si>
  <si>
    <t>兵庫・北野</t>
  </si>
  <si>
    <t>北野クラブ ソラ　KITANO CLUB sola</t>
  </si>
  <si>
    <t>兵庫・メリケンパーク</t>
  </si>
  <si>
    <t>神戸メリケンパークオリエンタルホテル</t>
  </si>
  <si>
    <t>大阪・大阪城公園</t>
  </si>
  <si>
    <t>THE LANDMARK SQUARE OSAKA</t>
  </si>
  <si>
    <t>大阪・南港</t>
  </si>
  <si>
    <t>アートグレイス・ウエディングコースト</t>
  </si>
  <si>
    <t>兵庫・神戸空港島</t>
  </si>
  <si>
    <t>ラヴィマーナ神戸</t>
  </si>
  <si>
    <t>ラグナヴェール大阪</t>
  </si>
  <si>
    <t>エスクリグループ</t>
  </si>
  <si>
    <t>ラグナヴェール プレミア</t>
  </si>
  <si>
    <t>兵庫・六甲アイランド</t>
  </si>
  <si>
    <t>ア・ラ・モード パレ＆ザ・リゾート</t>
  </si>
  <si>
    <t>アルモニーアンブラッセ ウエディングホテル（HARMONIE EMBRASSEE WEDDING HOTEL）</t>
  </si>
  <si>
    <t>T＆G</t>
  </si>
  <si>
    <t>大阪・心斎橋</t>
  </si>
  <si>
    <t>アルモニーアンブラッセ イットハウス（HARMONIE EMBRASSEE it HOUSE）</t>
  </si>
  <si>
    <t>兵庫・姫路</t>
  </si>
  <si>
    <t>アーヴェリール迎賓館 姫路</t>
  </si>
  <si>
    <t>アルモニーアッシュ（HARMONIE H at State Himeji Bank）</t>
  </si>
  <si>
    <t>大阪・肥後橋</t>
  </si>
  <si>
    <t>アーセンティア迎賓館</t>
  </si>
  <si>
    <t>大阪・堺筋本町</t>
  </si>
  <si>
    <t>アクアガーデンテラス（AQUA GARDEN TERRACE）</t>
  </si>
  <si>
    <t>アーフェリーク迎賓館（大阪）</t>
  </si>
  <si>
    <t>兵庫・三宮</t>
  </si>
  <si>
    <t>山手迎賓館</t>
  </si>
  <si>
    <t>Positive Dream Person</t>
    <phoneticPr fontId="3"/>
  </si>
  <si>
    <t>バリューマネジメントグループ</t>
  </si>
  <si>
    <t>大阪城西の丸庭園 大阪迎賓館</t>
    <phoneticPr fontId="3"/>
  </si>
  <si>
    <t>大阪・西梅田</t>
  </si>
  <si>
    <t>ホテルモントレ大阪</t>
  </si>
  <si>
    <t>ハイアット リージェンシー 大阪</t>
  </si>
  <si>
    <t>大阪・京橋</t>
  </si>
  <si>
    <t>ホテルモントレ ラ・スール大阪</t>
  </si>
  <si>
    <t>兵庫・御影</t>
  </si>
  <si>
    <t>THE GARDEN PLACE SOSHUEN（蘇州園）</t>
  </si>
  <si>
    <t>アルカンシエルベリテ大阪</t>
  </si>
  <si>
    <t>兵庫・新神戸</t>
  </si>
  <si>
    <t>ANAクラウンプラザホテル神戸</t>
  </si>
  <si>
    <t>帝国ホテル 大阪</t>
  </si>
  <si>
    <t>大阪・新大阪</t>
  </si>
  <si>
    <t>アルカンシエル luxe mariage 大阪</t>
  </si>
  <si>
    <t>大阪・万博記念公園</t>
  </si>
  <si>
    <t>迎賓館</t>
  </si>
  <si>
    <t>アヴァンセ リアン 大阪</t>
  </si>
  <si>
    <t>大阪・江坂</t>
  </si>
  <si>
    <t>大阪・天満橋</t>
  </si>
  <si>
    <t>RIVER BANK OSAKA（リバーバンク大阪）</t>
  </si>
  <si>
    <t>大阪・鶴見緑地</t>
  </si>
  <si>
    <t>鶴見ノ森 迎賓館</t>
  </si>
  <si>
    <t>兵庫・元町</t>
  </si>
  <si>
    <t>THE SORAKUEN（相楽園）</t>
  </si>
  <si>
    <t>大阪・上本町</t>
  </si>
  <si>
    <t>シェラトン都ホテル大阪</t>
  </si>
  <si>
    <t>ホテル北野クラブ　HOTEL KITANO CLUB</t>
  </si>
  <si>
    <t>アゴラシオン</t>
  </si>
  <si>
    <t>ENCUEIL（アンクィール）</t>
  </si>
  <si>
    <t>兵庫・旧居留地</t>
  </si>
  <si>
    <t>レニージョエル</t>
  </si>
  <si>
    <t>大阪・りんくうタウン</t>
  </si>
  <si>
    <t>ザ・ジョージアンテラス（THE GEORGIAN TERRACE）</t>
  </si>
  <si>
    <t>NAKANOSHIMA TERRACE # AND ME</t>
  </si>
  <si>
    <t>兵庫・尼崎</t>
  </si>
  <si>
    <t>ルシアスガーデン（Amagasaki Bridal LUSCIOUS GARDEN）</t>
  </si>
  <si>
    <t>大阪・岸和田</t>
  </si>
  <si>
    <t>リヴァージュブラン（RIVAGE BLANC）</t>
  </si>
  <si>
    <t>SORANIWA</t>
  </si>
  <si>
    <t>兵庫・竹田</t>
  </si>
  <si>
    <t>竹田城城下町ホテルEN（えん）</t>
  </si>
  <si>
    <t>兵庫・篠山</t>
  </si>
  <si>
    <t>篠山城下町 ホテルNIPPONIA</t>
  </si>
  <si>
    <t>兵庫・豊岡</t>
  </si>
  <si>
    <t>オーベルジュ豊岡1925</t>
  </si>
  <si>
    <t>https://www.hotelmonterey.co.jp/</t>
  </si>
  <si>
    <t>リーガロイヤルホテル</t>
    <phoneticPr fontId="3"/>
  </si>
  <si>
    <t>https://www.hankyu-hotel.com/wedding/osaka/</t>
  </si>
  <si>
    <t>阪急阪神第一ホテルグループ</t>
    <phoneticPr fontId="3"/>
  </si>
  <si>
    <t>https://www.tsukada-global.holdings/business/bridal.html</t>
  </si>
  <si>
    <t>https://www.rihga.co.jp/osaka</t>
    <phoneticPr fontId="3"/>
  </si>
  <si>
    <t>https://hotel-royalclassic.official-wedding.jp/company/</t>
  </si>
  <si>
    <t>https://wedding.senri-htl.co.jp/</t>
  </si>
  <si>
    <t>Mia Via（ミアヴィア）</t>
    <phoneticPr fontId="3"/>
  </si>
  <si>
    <t>GRAN AMO（グラン アーモ）</t>
    <phoneticPr fontId="3"/>
  </si>
  <si>
    <t>https://gran-amo.jp/company/</t>
  </si>
  <si>
    <t>大阪・天満橋</t>
    <phoneticPr fontId="3"/>
  </si>
  <si>
    <t>https://www.agorazion.com/facilities/</t>
  </si>
  <si>
    <t>http://nakanoshimaterrace.com/</t>
  </si>
  <si>
    <t>売掛金 ¥598,752</t>
    <phoneticPr fontId="3"/>
  </si>
  <si>
    <t>借方</t>
    <rPh sb="0" eb="1">
      <t>カ</t>
    </rPh>
    <rPh sb="1" eb="2">
      <t>カタ</t>
    </rPh>
    <phoneticPr fontId="3"/>
  </si>
  <si>
    <t>貸方</t>
    <rPh sb="0" eb="2">
      <t>カシカタ</t>
    </rPh>
    <phoneticPr fontId="3"/>
  </si>
  <si>
    <t>日付</t>
    <rPh sb="0" eb="2">
      <t>ヒヅケ</t>
    </rPh>
    <phoneticPr fontId="3"/>
  </si>
  <si>
    <t>事業主貸 ¥34,320
（所得税積立金,共済会費）</t>
    <phoneticPr fontId="3"/>
  </si>
  <si>
    <t>普通預金 ¥579,055</t>
    <phoneticPr fontId="3"/>
  </si>
  <si>
    <t>売上高 ¥598,752</t>
    <phoneticPr fontId="3"/>
  </si>
  <si>
    <t>◇変数</t>
    <rPh sb="1" eb="3">
      <t>ヘンスウ</t>
    </rPh>
    <phoneticPr fontId="3"/>
  </si>
  <si>
    <t>RAMシート出力()</t>
    <rPh sb="6" eb="8">
      <t>シュツリョク</t>
    </rPh>
    <phoneticPr fontId="3"/>
  </si>
  <si>
    <t>浮動小数()</t>
    <phoneticPr fontId="3"/>
  </si>
  <si>
    <t>固定小数()</t>
    <rPh sb="0" eb="2">
      <t>コテイ</t>
    </rPh>
    <rPh sb="2" eb="4">
      <t>ショウスウ</t>
    </rPh>
    <phoneticPr fontId="3"/>
  </si>
  <si>
    <t>構造体()</t>
    <rPh sb="0" eb="3">
      <t>コウゾウタイ</t>
    </rPh>
    <phoneticPr fontId="3"/>
  </si>
  <si>
    <t>◇対象ブック</t>
    <rPh sb="1" eb="3">
      <t>タイショウ</t>
    </rPh>
    <phoneticPr fontId="3"/>
  </si>
  <si>
    <t>ブックリスト作成()</t>
    <rPh sb="6" eb="8">
      <t>サクセイ</t>
    </rPh>
    <phoneticPr fontId="3"/>
  </si>
  <si>
    <t>ビットフラグ()</t>
    <phoneticPr fontId="3"/>
  </si>
  <si>
    <t>aaaa</t>
    <phoneticPr fontId="3"/>
  </si>
  <si>
    <t>bbbbbb</t>
    <phoneticPr fontId="3"/>
  </si>
  <si>
    <t>ccccc</t>
    <phoneticPr fontId="3"/>
  </si>
  <si>
    <t>bbbbbbcccc</t>
    <phoneticPr fontId="3"/>
  </si>
  <si>
    <t>xxxxxxxxyyyyyyyy</t>
    <phoneticPr fontId="3"/>
  </si>
  <si>
    <t>bbbbbbcc</t>
    <phoneticPr fontId="3"/>
  </si>
  <si>
    <t>bbbbbbc</t>
    <phoneticPr fontId="3"/>
  </si>
  <si>
    <t>bbbbbbccc</t>
    <phoneticPr fontId="3"/>
  </si>
  <si>
    <t>D</t>
    <phoneticPr fontId="3"/>
  </si>
  <si>
    <t>E</t>
    <phoneticPr fontId="3"/>
  </si>
  <si>
    <t>S</t>
    <phoneticPr fontId="3"/>
  </si>
  <si>
    <t>C</t>
    <phoneticPr fontId="3"/>
  </si>
  <si>
    <t>:</t>
    <phoneticPr fontId="3"/>
  </si>
  <si>
    <t>L</t>
    <phoneticPr fontId="3"/>
  </si>
  <si>
    <t>B</t>
    <phoneticPr fontId="3"/>
  </si>
  <si>
    <t>F</t>
    <phoneticPr fontId="3"/>
  </si>
  <si>
    <t>O</t>
    <phoneticPr fontId="3"/>
  </si>
  <si>
    <t>R</t>
    <phoneticPr fontId="3"/>
  </si>
  <si>
    <t>M</t>
    <phoneticPr fontId="3"/>
  </si>
  <si>
    <t>A</t>
    <phoneticPr fontId="3"/>
  </si>
  <si>
    <t>a</t>
    <phoneticPr fontId="3"/>
  </si>
  <si>
    <t>d</t>
    <phoneticPr fontId="3"/>
  </si>
  <si>
    <t>N</t>
    <phoneticPr fontId="3"/>
  </si>
  <si>
    <t>DESC:</t>
  </si>
  <si>
    <t>LSB:</t>
  </si>
  <si>
    <t>FORM:</t>
  </si>
  <si>
    <t>ALLOC:</t>
  </si>
  <si>
    <t>END:</t>
  </si>
  <si>
    <t>MONI:</t>
  </si>
  <si>
    <t>MONI:</t>
    <phoneticPr fontId="3"/>
  </si>
  <si>
    <t>セルをソート</t>
    <phoneticPr fontId="3"/>
  </si>
  <si>
    <t>セル位置検索</t>
    <rPh sb="2" eb="4">
      <t>イチ</t>
    </rPh>
    <rPh sb="4" eb="6">
      <t>ケンサク</t>
    </rPh>
    <phoneticPr fontId="3"/>
  </si>
  <si>
    <t>lenリスト作成</t>
    <rPh sb="6" eb="8">
      <t>サクセイ</t>
    </rPh>
    <phoneticPr fontId="3"/>
  </si>
  <si>
    <t>for 対象文字列</t>
    <rPh sb="4" eb="6">
      <t>タイショウ</t>
    </rPh>
    <rPh sb="6" eb="9">
      <t>モジレツ</t>
    </rPh>
    <phoneticPr fontId="3"/>
  </si>
  <si>
    <t>書き出し</t>
    <rPh sb="0" eb="1">
      <t>カ</t>
    </rPh>
    <rPh sb="2" eb="3">
      <t>ダ</t>
    </rPh>
    <phoneticPr fontId="3"/>
  </si>
  <si>
    <t>ソート用セルクリア</t>
    <rPh sb="3" eb="4">
      <t>ヨウ</t>
    </rPh>
    <phoneticPr fontId="3"/>
  </si>
  <si>
    <t>ソート用シート追加</t>
    <rPh sb="3" eb="4">
      <t>ヨウ</t>
    </rPh>
    <rPh sb="7" eb="9">
      <t>ツイカ</t>
    </rPh>
    <phoneticPr fontId="3"/>
  </si>
  <si>
    <t>ソート用シート削除</t>
    <rPh sb="7" eb="9">
      <t>サクジョ</t>
    </rPh>
    <phoneticPr fontId="3"/>
  </si>
  <si>
    <t>for 項目数</t>
    <rPh sb="6" eb="7">
      <t>スウ</t>
    </rPh>
    <phoneticPr fontId="3"/>
  </si>
  <si>
    <t>InStr＆セル記入</t>
    <rPh sb="8" eb="10">
      <t>キニュウ</t>
    </rPh>
    <phoneticPr fontId="3"/>
  </si>
  <si>
    <t>ItemIdx</t>
    <phoneticPr fontId="3"/>
  </si>
  <si>
    <t>StrIdx</t>
    <phoneticPr fontId="3"/>
  </si>
  <si>
    <t>LenList</t>
    <phoneticPr fontId="3"/>
  </si>
  <si>
    <t xml:space="preserve"> </t>
    <phoneticPr fontId="3"/>
  </si>
  <si>
    <t>DESC:aBC FORM:d AL LSB:12 ALLOC:aaa END:</t>
  </si>
  <si>
    <t>if 一つもなかった</t>
    <rPh sb="3" eb="4">
      <t>ヒト</t>
    </rPh>
    <phoneticPr fontId="3"/>
  </si>
  <si>
    <t>else</t>
    <phoneticPr fontId="3"/>
  </si>
  <si>
    <t>DESC:にいれる</t>
    <phoneticPr fontId="3"/>
  </si>
  <si>
    <t>文字列</t>
    <rPh sb="0" eb="3">
      <t>モジレツ</t>
    </rPh>
    <phoneticPr fontId="3"/>
  </si>
  <si>
    <t>MIN:</t>
    <phoneticPr fontId="3"/>
  </si>
  <si>
    <t>MAX:</t>
    <phoneticPr fontId="3"/>
  </si>
  <si>
    <t>LSB:12 DESC:aBC FORM:d AL ALLOC:aaa END:</t>
    <phoneticPr fontId="3"/>
  </si>
  <si>
    <t>確定項目(前回)=確定項目(今回)</t>
    <rPh sb="14" eb="16">
      <t>コンカイ</t>
    </rPh>
    <phoneticPr fontId="3"/>
  </si>
  <si>
    <t>for 項目数</t>
    <rPh sb="4" eb="6">
      <t>コウモク</t>
    </rPh>
    <rPh sb="6" eb="7">
      <t>スウ</t>
    </rPh>
    <phoneticPr fontId="3"/>
  </si>
  <si>
    <t>確定項目(今回)</t>
    <rPh sb="0" eb="2">
      <t>カクテイ</t>
    </rPh>
    <rPh sb="2" eb="4">
      <t>コウモク</t>
    </rPh>
    <rPh sb="5" eb="7">
      <t>コンカイ</t>
    </rPh>
    <phoneticPr fontId="3"/>
  </si>
  <si>
    <t>if 確定項目(今回) &lt;&gt; 空</t>
    <rPh sb="15" eb="16">
      <t>カラ</t>
    </rPh>
    <phoneticPr fontId="3"/>
  </si>
  <si>
    <t>break</t>
    <phoneticPr fontId="3"/>
  </si>
  <si>
    <t>確定項目(今回)=空</t>
    <rPh sb="9" eb="10">
      <t>カラ</t>
    </rPh>
    <phoneticPr fontId="3"/>
  </si>
  <si>
    <t>for 文字数</t>
    <rPh sb="4" eb="7">
      <t>モジスウ</t>
    </rPh>
    <phoneticPr fontId="3"/>
  </si>
  <si>
    <t>←</t>
    <phoneticPr fontId="3"/>
  </si>
  <si>
    <t>確定項目(今回)=ItemIdx</t>
    <rPh sb="0" eb="2">
      <t>カクテイ</t>
    </rPh>
    <rPh sb="2" eb="4">
      <t>コウモク</t>
    </rPh>
    <rPh sb="5" eb="7">
      <t>コンカイ</t>
    </rPh>
    <phoneticPr fontId="3"/>
  </si>
  <si>
    <t>else</t>
    <phoneticPr fontId="3"/>
  </si>
  <si>
    <t>if 確定項目(今回) &lt;&gt; 空</t>
    <rPh sb="3" eb="5">
      <t>カクテイ</t>
    </rPh>
    <rPh sb="5" eb="7">
      <t>コウモク</t>
    </rPh>
    <rPh sb="8" eb="10">
      <t>コンカイ</t>
    </rPh>
    <rPh sb="15" eb="16">
      <t>カラ</t>
    </rPh>
    <phoneticPr fontId="3"/>
  </si>
  <si>
    <t>何もしない</t>
    <rPh sb="0" eb="1">
      <t>ナニ</t>
    </rPh>
    <phoneticPr fontId="3"/>
  </si>
  <si>
    <t>if 確定項目(前回) &lt;&gt; 空</t>
    <phoneticPr fontId="3"/>
  </si>
  <si>
    <t>確定項目(前回)開始位置=CurIdx</t>
    <rPh sb="0" eb="2">
      <t>カクテイ</t>
    </rPh>
    <rPh sb="2" eb="4">
      <t>コウモク</t>
    </rPh>
    <rPh sb="5" eb="7">
      <t>ゼンカイ</t>
    </rPh>
    <rPh sb="8" eb="10">
      <t>カイシ</t>
    </rPh>
    <rPh sb="10" eb="12">
      <t>イチ</t>
    </rPh>
    <phoneticPr fontId="3"/>
  </si>
  <si>
    <t>/* 確定判定 */</t>
    <rPh sb="3" eb="5">
      <t>カクテイ</t>
    </rPh>
    <rPh sb="5" eb="7">
      <t>ハンテイ</t>
    </rPh>
    <phoneticPr fontId="3"/>
  </si>
  <si>
    <t>確定項目(前回)</t>
    <rPh sb="0" eb="2">
      <t>カクテイ</t>
    </rPh>
    <rPh sb="2" eb="4">
      <t>コウモク</t>
    </rPh>
    <rPh sb="5" eb="7">
      <t>ゼンカイ</t>
    </rPh>
    <phoneticPr fontId="3"/>
  </si>
  <si>
    <t>確定項目(前回)開始位置</t>
  </si>
  <si>
    <t>一致状態(0:未確定,1:疑い中,2:不一致確定,3:一致確定)</t>
    <rPh sb="0" eb="2">
      <t>イッチ</t>
    </rPh>
    <rPh sb="2" eb="4">
      <t>ジョウタイ</t>
    </rPh>
    <rPh sb="7" eb="10">
      <t>ミカクテイ</t>
    </rPh>
    <rPh sb="13" eb="14">
      <t>ウタガ</t>
    </rPh>
    <rPh sb="15" eb="16">
      <t>チュウ</t>
    </rPh>
    <rPh sb="19" eb="22">
      <t>フイッチ</t>
    </rPh>
    <rPh sb="22" eb="24">
      <t>カクテイ</t>
    </rPh>
    <phoneticPr fontId="3"/>
  </si>
  <si>
    <t>全 疑いフラグ = 未確定</t>
  </si>
  <si>
    <t>項目一致文字数</t>
  </si>
  <si>
    <t>if 項目文字数 = 項目一致文字数</t>
    <rPh sb="3" eb="5">
      <t>コウモク</t>
    </rPh>
    <rPh sb="5" eb="8">
      <t>モジスウ</t>
    </rPh>
    <phoneticPr fontId="3"/>
  </si>
  <si>
    <t>項目一致文字数++</t>
  </si>
  <si>
    <t>項目一致文字数 = 0</t>
  </si>
  <si>
    <t>全 項目一致文字数 = 0</t>
  </si>
  <si>
    <t>全 項目一致文字数 = 0</t>
    <rPh sb="0" eb="1">
      <t>ゼン</t>
    </rPh>
    <phoneticPr fontId="3"/>
  </si>
  <si>
    <t>if 項目[項目一致文字数+1] = 現在文字</t>
    <phoneticPr fontId="3"/>
  </si>
  <si>
    <t>確定項目(前回)開始位置～(文字位置-len(確定項目(今回))) をセルに書き出し</t>
    <rPh sb="14" eb="16">
      <t>モジ</t>
    </rPh>
    <rPh sb="16" eb="18">
      <t>イチ</t>
    </rPh>
    <rPh sb="23" eb="25">
      <t>カクテイ</t>
    </rPh>
    <rPh sb="25" eb="27">
      <t>コウモク</t>
    </rPh>
    <rPh sb="28" eb="30">
      <t>コンカイ</t>
    </rPh>
    <rPh sb="38" eb="39">
      <t>カ</t>
    </rPh>
    <rPh sb="40" eb="41">
      <t>ダ</t>
    </rPh>
    <phoneticPr fontId="3"/>
  </si>
  <si>
    <t>/* 確定後事後処理 */</t>
    <rPh sb="3" eb="5">
      <t>カクテイ</t>
    </rPh>
    <rPh sb="5" eb="6">
      <t>ゴ</t>
    </rPh>
    <rPh sb="6" eb="8">
      <t>ジゴ</t>
    </rPh>
    <rPh sb="8" eb="10">
      <t>ショリ</t>
    </rPh>
    <phoneticPr fontId="3"/>
  </si>
  <si>
    <t>ByVal 文字列</t>
    <rPh sb="6" eb="9">
      <t>モジレツ</t>
    </rPh>
    <phoneticPr fontId="3"/>
  </si>
  <si>
    <t>ByRef 項目リスト()</t>
    <rPh sb="6" eb="8">
      <t>コウモク</t>
    </rPh>
    <phoneticPr fontId="3"/>
  </si>
  <si>
    <t>ByRef 文字列リスト()</t>
    <rPh sb="6" eb="9">
      <t>モジレツ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</si>
</sst>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9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top"/>
    </xf>
    <xf numFmtId="0" fontId="2" fillId="0" borderId="0"/>
    <xf numFmtId="0" fontId="1" fillId="0" borderId="0">
      <alignment vertical="center"/>
    </xf>
    <xf numFmtId="0" fontId="4" fillId="0" borderId="0" applyNumberFormat="0" applyFill="0" applyBorder="0" applyAlignment="0" applyProtection="0">
      <alignment vertical="top"/>
    </xf>
  </cellStyleXfs>
  <cellXfs count="13">
    <xf numFmtId="0" fontId="0" fillId="0" borderId="0" xfId="0">
      <alignment vertical="top"/>
    </xf>
    <xf numFmtId="0" fontId="4" fillId="0" borderId="0" xfId="3" applyFont="1">
      <alignment vertical="top"/>
    </xf>
    <xf numFmtId="0" fontId="0" fillId="0" borderId="0" xfId="0" applyFont="1">
      <alignment vertical="top"/>
    </xf>
    <xf numFmtId="0" fontId="6" fillId="0" borderId="0" xfId="0" applyFont="1">
      <alignment vertical="top"/>
    </xf>
    <xf numFmtId="0" fontId="4" fillId="0" borderId="0" xfId="3">
      <alignment vertical="top"/>
    </xf>
    <xf numFmtId="0" fontId="0" fillId="0" borderId="0" xfId="0" applyNumberFormat="1" applyFont="1">
      <alignment vertical="top"/>
    </xf>
    <xf numFmtId="0" fontId="0" fillId="0" borderId="1" xfId="0" applyFont="1" applyBorder="1" applyAlignment="1">
      <alignment horizontal="center" vertical="top"/>
    </xf>
    <xf numFmtId="56" fontId="0" fillId="0" borderId="1" xfId="0" applyNumberFormat="1" applyFont="1" applyBorder="1">
      <alignment vertical="top"/>
    </xf>
    <xf numFmtId="0" fontId="0" fillId="0" borderId="1" xfId="0" applyFont="1" applyBorder="1">
      <alignment vertical="top"/>
    </xf>
    <xf numFmtId="0" fontId="0" fillId="0" borderId="1" xfId="0" applyFont="1" applyBorder="1" applyAlignment="1">
      <alignment vertical="top" wrapText="1"/>
    </xf>
    <xf numFmtId="0" fontId="0" fillId="0" borderId="0" xfId="0" applyAlignment="1">
      <alignment horizontal="center" vertical="top"/>
    </xf>
    <xf numFmtId="0" fontId="6" fillId="2" borderId="0" xfId="0" applyFont="1" applyFill="1">
      <alignment vertical="top"/>
    </xf>
    <xf numFmtId="0" fontId="9" fillId="0" borderId="0" xfId="0" applyFont="1">
      <alignment vertical="top"/>
    </xf>
  </cellXfs>
  <cellStyles count="4">
    <cellStyle name="ハイパーリンク" xfId="3" builtinId="8"/>
    <cellStyle name="標準" xfId="0" builtinId="0" customBuiltin="1"/>
    <cellStyle name="標準 2" xfId="1" xr:uid="{00000000-0005-0000-0000-000001000000}"/>
    <cellStyle name="標準 3" xfId="2" xr:uid="{DBBD7441-F933-4A0E-810A-D4E2860F610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13</xdr:row>
      <xdr:rowOff>0</xdr:rowOff>
    </xdr:from>
    <xdr:to>
      <xdr:col>57</xdr:col>
      <xdr:colOff>68580</xdr:colOff>
      <xdr:row>14</xdr:row>
      <xdr:rowOff>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9808C67-16F5-4128-81AC-AFBFF42A0541}"/>
            </a:ext>
          </a:extLst>
        </xdr:cNvPr>
        <xdr:cNvSpPr/>
      </xdr:nvSpPr>
      <xdr:spPr>
        <a:xfrm>
          <a:off x="6172200" y="1783080"/>
          <a:ext cx="411480" cy="137160"/>
        </a:xfrm>
        <a:prstGeom prst="rect">
          <a:avLst/>
        </a:prstGeom>
        <a:solidFill>
          <a:srgbClr val="FF0000">
            <a:alpha val="10000"/>
          </a:srgbClr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60</xdr:col>
      <xdr:colOff>0</xdr:colOff>
      <xdr:row>14</xdr:row>
      <xdr:rowOff>0</xdr:rowOff>
    </xdr:from>
    <xdr:to>
      <xdr:col>63</xdr:col>
      <xdr:colOff>68580</xdr:colOff>
      <xdr:row>15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442F0258-E418-4C53-BF44-69452AC70FFC}"/>
            </a:ext>
          </a:extLst>
        </xdr:cNvPr>
        <xdr:cNvSpPr/>
      </xdr:nvSpPr>
      <xdr:spPr>
        <a:xfrm>
          <a:off x="6858000" y="1920240"/>
          <a:ext cx="411480" cy="137160"/>
        </a:xfrm>
        <a:prstGeom prst="rect">
          <a:avLst/>
        </a:prstGeom>
        <a:solidFill>
          <a:srgbClr val="FF0000">
            <a:alpha val="10000"/>
          </a:srgbClr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57</xdr:col>
      <xdr:colOff>68580</xdr:colOff>
      <xdr:row>13</xdr:row>
      <xdr:rowOff>69056</xdr:rowOff>
    </xdr:from>
    <xdr:to>
      <xdr:col>60</xdr:col>
      <xdr:colOff>0</xdr:colOff>
      <xdr:row>14</xdr:row>
      <xdr:rowOff>69057</xdr:rowOff>
    </xdr:to>
    <xdr:cxnSp macro="">
      <xdr:nvCxnSpPr>
        <xdr:cNvPr id="5" name="カギ線コネクタ 180">
          <a:extLst>
            <a:ext uri="{FF2B5EF4-FFF2-40B4-BE49-F238E27FC236}">
              <a16:creationId xmlns:a16="http://schemas.microsoft.com/office/drawing/2014/main" id="{ABE0EC99-31EF-43D8-BADA-EC2BC6DCECAE}"/>
            </a:ext>
          </a:extLst>
        </xdr:cNvPr>
        <xdr:cNvCxnSpPr>
          <a:stCxn id="3" idx="3"/>
          <a:endCxn id="4" idx="1"/>
        </xdr:cNvCxnSpPr>
      </xdr:nvCxnSpPr>
      <xdr:spPr>
        <a:xfrm>
          <a:off x="6583680" y="1852136"/>
          <a:ext cx="274320" cy="137161"/>
        </a:xfrm>
        <a:prstGeom prst="bentConnector3">
          <a:avLst>
            <a:gd name="adj1" fmla="val 50000"/>
          </a:avLst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7620</xdr:rowOff>
    </xdr:from>
    <xdr:to>
      <xdr:col>57</xdr:col>
      <xdr:colOff>68580</xdr:colOff>
      <xdr:row>16</xdr:row>
      <xdr:rowOff>7620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518AA911-D123-4EB5-A6C4-B30CF384440C}"/>
            </a:ext>
          </a:extLst>
        </xdr:cNvPr>
        <xdr:cNvSpPr/>
      </xdr:nvSpPr>
      <xdr:spPr>
        <a:xfrm>
          <a:off x="6172200" y="2065020"/>
          <a:ext cx="411480" cy="137160"/>
        </a:xfrm>
        <a:prstGeom prst="rect">
          <a:avLst/>
        </a:prstGeom>
        <a:solidFill>
          <a:schemeClr val="accent2">
            <a:alpha val="1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60</xdr:col>
      <xdr:colOff>0</xdr:colOff>
      <xdr:row>16</xdr:row>
      <xdr:rowOff>7620</xdr:rowOff>
    </xdr:from>
    <xdr:to>
      <xdr:col>63</xdr:col>
      <xdr:colOff>68580</xdr:colOff>
      <xdr:row>17</xdr:row>
      <xdr:rowOff>7620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D40FB326-5887-4BB1-AFF2-6EA27FB43D41}"/>
            </a:ext>
          </a:extLst>
        </xdr:cNvPr>
        <xdr:cNvSpPr/>
      </xdr:nvSpPr>
      <xdr:spPr>
        <a:xfrm>
          <a:off x="6858000" y="2202180"/>
          <a:ext cx="411480" cy="137160"/>
        </a:xfrm>
        <a:prstGeom prst="rect">
          <a:avLst/>
        </a:prstGeom>
        <a:solidFill>
          <a:schemeClr val="accent2">
            <a:alpha val="1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57</xdr:col>
      <xdr:colOff>68580</xdr:colOff>
      <xdr:row>15</xdr:row>
      <xdr:rowOff>75028</xdr:rowOff>
    </xdr:from>
    <xdr:to>
      <xdr:col>60</xdr:col>
      <xdr:colOff>0</xdr:colOff>
      <xdr:row>16</xdr:row>
      <xdr:rowOff>75028</xdr:rowOff>
    </xdr:to>
    <xdr:cxnSp macro="">
      <xdr:nvCxnSpPr>
        <xdr:cNvPr id="8" name="カギ線コネクタ 180">
          <a:extLst>
            <a:ext uri="{FF2B5EF4-FFF2-40B4-BE49-F238E27FC236}">
              <a16:creationId xmlns:a16="http://schemas.microsoft.com/office/drawing/2014/main" id="{CB957D52-5687-40C3-8CC4-C79AD752EF6D}"/>
            </a:ext>
          </a:extLst>
        </xdr:cNvPr>
        <xdr:cNvCxnSpPr>
          <a:stCxn id="6" idx="3"/>
          <a:endCxn id="7" idx="1"/>
        </xdr:cNvCxnSpPr>
      </xdr:nvCxnSpPr>
      <xdr:spPr>
        <a:xfrm>
          <a:off x="6583680" y="2132428"/>
          <a:ext cx="274320" cy="137160"/>
        </a:xfrm>
        <a:prstGeom prst="straightConnector1">
          <a:avLst/>
        </a:prstGeom>
        <a:ln w="12700">
          <a:solidFill>
            <a:schemeClr val="accent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117228</xdr:colOff>
      <xdr:row>16</xdr:row>
      <xdr:rowOff>123093</xdr:rowOff>
    </xdr:from>
    <xdr:to>
      <xdr:col>51</xdr:col>
      <xdr:colOff>37214</xdr:colOff>
      <xdr:row>20</xdr:row>
      <xdr:rowOff>136212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324C7B73-78B1-4B0C-98E5-B38A9CDEA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6459" y="2280139"/>
          <a:ext cx="1209524" cy="5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26895</xdr:rowOff>
    </xdr:from>
    <xdr:to>
      <xdr:col>61</xdr:col>
      <xdr:colOff>88070</xdr:colOff>
      <xdr:row>15</xdr:row>
      <xdr:rowOff>52534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3FD62B7-C57E-4CCD-9945-1A7AF6DB7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9247" y="430307"/>
          <a:ext cx="9169317" cy="16392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18</xdr:col>
      <xdr:colOff>96419</xdr:colOff>
      <xdr:row>29</xdr:row>
      <xdr:rowOff>87369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F175843-C5B6-4E0C-BF5C-D13FF73D3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8457" y="2264229"/>
          <a:ext cx="1533333" cy="2219048"/>
        </a:xfrm>
        <a:prstGeom prst="rect">
          <a:avLst/>
        </a:prstGeom>
      </xdr:spPr>
    </xdr:pic>
    <xdr:clientData/>
  </xdr:twoCellAnchor>
  <xdr:twoCellAnchor editAs="oneCell">
    <xdr:from>
      <xdr:col>23</xdr:col>
      <xdr:colOff>17866</xdr:colOff>
      <xdr:row>16</xdr:row>
      <xdr:rowOff>58856</xdr:rowOff>
    </xdr:from>
    <xdr:to>
      <xdr:col>35</xdr:col>
      <xdr:colOff>0</xdr:colOff>
      <xdr:row>33</xdr:row>
      <xdr:rowOff>125506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E8ECD3B2-2984-4A3C-A1FA-4BAA5BEC9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71952" y="2323085"/>
          <a:ext cx="1419048" cy="2771429"/>
        </a:xfrm>
        <a:prstGeom prst="rect">
          <a:avLst/>
        </a:prstGeom>
      </xdr:spPr>
    </xdr:pic>
    <xdr:clientData/>
  </xdr:twoCellAnchor>
  <xdr:twoCellAnchor editAs="oneCell">
    <xdr:from>
      <xdr:col>16</xdr:col>
      <xdr:colOff>46807</xdr:colOff>
      <xdr:row>16</xdr:row>
      <xdr:rowOff>43541</xdr:rowOff>
    </xdr:from>
    <xdr:to>
      <xdr:col>22</xdr:col>
      <xdr:colOff>99779</xdr:colOff>
      <xdr:row>29</xdr:row>
      <xdr:rowOff>113766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C70095C-6D37-452E-8C90-5D4AB19C6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62693" y="2307770"/>
          <a:ext cx="771429" cy="2201904"/>
        </a:xfrm>
        <a:prstGeom prst="rect">
          <a:avLst/>
        </a:prstGeom>
      </xdr:spPr>
    </xdr:pic>
    <xdr:clientData/>
  </xdr:twoCellAnchor>
  <xdr:twoCellAnchor editAs="oneCell">
    <xdr:from>
      <xdr:col>34</xdr:col>
      <xdr:colOff>6980</xdr:colOff>
      <xdr:row>16</xdr:row>
      <xdr:rowOff>115205</xdr:rowOff>
    </xdr:from>
    <xdr:to>
      <xdr:col>40</xdr:col>
      <xdr:colOff>88523</xdr:colOff>
      <xdr:row>33</xdr:row>
      <xdr:rowOff>112708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F5B1E14F-2F75-47C4-8C94-82AB3014D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69380" y="2266734"/>
          <a:ext cx="780790" cy="2561409"/>
        </a:xfrm>
        <a:prstGeom prst="rect">
          <a:avLst/>
        </a:prstGeom>
      </xdr:spPr>
    </xdr:pic>
    <xdr:clientData/>
  </xdr:twoCellAnchor>
  <xdr:twoCellAnchor>
    <xdr:from>
      <xdr:col>23</xdr:col>
      <xdr:colOff>80681</xdr:colOff>
      <xdr:row>31</xdr:row>
      <xdr:rowOff>69029</xdr:rowOff>
    </xdr:from>
    <xdr:to>
      <xdr:col>40</xdr:col>
      <xdr:colOff>8964</xdr:colOff>
      <xdr:row>33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46A4FE90-2911-439A-A029-6EEFD78EC35D}"/>
            </a:ext>
          </a:extLst>
        </xdr:cNvPr>
        <xdr:cNvSpPr/>
      </xdr:nvSpPr>
      <xdr:spPr>
        <a:xfrm>
          <a:off x="2761128" y="4515523"/>
          <a:ext cx="1909483" cy="199912"/>
        </a:xfrm>
        <a:prstGeom prst="rect">
          <a:avLst/>
        </a:prstGeom>
        <a:solidFill>
          <a:srgbClr val="0070C0">
            <a:alpha val="10000"/>
          </a:srgbClr>
        </a:solidFill>
        <a:ln w="127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53</xdr:col>
      <xdr:colOff>0</xdr:colOff>
      <xdr:row>20</xdr:row>
      <xdr:rowOff>0</xdr:rowOff>
    </xdr:from>
    <xdr:to>
      <xdr:col>54</xdr:col>
      <xdr:colOff>0</xdr:colOff>
      <xdr:row>21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BF51E593-6905-4422-A78D-6837DA01E865}"/>
            </a:ext>
          </a:extLst>
        </xdr:cNvPr>
        <xdr:cNvSpPr/>
      </xdr:nvSpPr>
      <xdr:spPr>
        <a:xfrm>
          <a:off x="6606988" y="2689412"/>
          <a:ext cx="1299883" cy="412376"/>
        </a:xfrm>
        <a:prstGeom prst="rect">
          <a:avLst/>
        </a:prstGeom>
        <a:solidFill>
          <a:srgbClr val="0070C0">
            <a:alpha val="10000"/>
          </a:srgbClr>
        </a:solidFill>
        <a:ln w="127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40</xdr:col>
      <xdr:colOff>8964</xdr:colOff>
      <xdr:row>20</xdr:row>
      <xdr:rowOff>206188</xdr:rowOff>
    </xdr:from>
    <xdr:to>
      <xdr:col>53</xdr:col>
      <xdr:colOff>0</xdr:colOff>
      <xdr:row>32</xdr:row>
      <xdr:rowOff>34514</xdr:rowOff>
    </xdr:to>
    <xdr:cxnSp macro="">
      <xdr:nvCxnSpPr>
        <xdr:cNvPr id="13" name="カギ線コネクタ 180">
          <a:extLst>
            <a:ext uri="{FF2B5EF4-FFF2-40B4-BE49-F238E27FC236}">
              <a16:creationId xmlns:a16="http://schemas.microsoft.com/office/drawing/2014/main" id="{ABFF86F1-4BA7-4912-BB83-33FC4BE30DF5}"/>
            </a:ext>
          </a:extLst>
        </xdr:cNvPr>
        <xdr:cNvCxnSpPr>
          <a:stCxn id="11" idx="3"/>
          <a:endCxn id="12" idx="1"/>
        </xdr:cNvCxnSpPr>
      </xdr:nvCxnSpPr>
      <xdr:spPr>
        <a:xfrm flipV="1">
          <a:off x="4670611" y="2895600"/>
          <a:ext cx="1936377" cy="1719879"/>
        </a:xfrm>
        <a:prstGeom prst="straightConnector1">
          <a:avLst/>
        </a:prstGeom>
        <a:ln w="12700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50683</xdr:colOff>
      <xdr:row>17</xdr:row>
      <xdr:rowOff>35859</xdr:rowOff>
    </xdr:from>
    <xdr:to>
      <xdr:col>50</xdr:col>
      <xdr:colOff>113435</xdr:colOff>
      <xdr:row>20</xdr:row>
      <xdr:rowOff>125506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230B1475-4A28-4922-8210-4B5464043817}"/>
            </a:ext>
          </a:extLst>
        </xdr:cNvPr>
        <xdr:cNvSpPr/>
      </xdr:nvSpPr>
      <xdr:spPr>
        <a:xfrm>
          <a:off x="4857145" y="2327721"/>
          <a:ext cx="1117828" cy="494093"/>
        </a:xfrm>
        <a:prstGeom prst="rect">
          <a:avLst/>
        </a:prstGeom>
        <a:solidFill>
          <a:schemeClr val="accent3">
            <a:alpha val="10000"/>
          </a:schemeClr>
        </a:solidFill>
        <a:ln w="12700"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53</xdr:col>
      <xdr:colOff>0</xdr:colOff>
      <xdr:row>19</xdr:row>
      <xdr:rowOff>0</xdr:rowOff>
    </xdr:from>
    <xdr:to>
      <xdr:col>54</xdr:col>
      <xdr:colOff>-1</xdr:colOff>
      <xdr:row>20</xdr:row>
      <xdr:rowOff>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5C01E423-48B1-4D92-AF54-5DD9E578985D}"/>
            </a:ext>
          </a:extLst>
        </xdr:cNvPr>
        <xdr:cNvSpPr/>
      </xdr:nvSpPr>
      <xdr:spPr>
        <a:xfrm>
          <a:off x="6606988" y="2554941"/>
          <a:ext cx="1299882" cy="134471"/>
        </a:xfrm>
        <a:prstGeom prst="rect">
          <a:avLst/>
        </a:prstGeom>
        <a:solidFill>
          <a:schemeClr val="accent3">
            <a:alpha val="10000"/>
          </a:schemeClr>
        </a:solidFill>
        <a:ln w="12700"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50</xdr:col>
      <xdr:colOff>113435</xdr:colOff>
      <xdr:row>19</xdr:row>
      <xdr:rowOff>13276</xdr:rowOff>
    </xdr:from>
    <xdr:to>
      <xdr:col>53</xdr:col>
      <xdr:colOff>0</xdr:colOff>
      <xdr:row>19</xdr:row>
      <xdr:rowOff>67408</xdr:rowOff>
    </xdr:to>
    <xdr:cxnSp macro="">
      <xdr:nvCxnSpPr>
        <xdr:cNvPr id="22" name="カギ線コネクタ 180">
          <a:extLst>
            <a:ext uri="{FF2B5EF4-FFF2-40B4-BE49-F238E27FC236}">
              <a16:creationId xmlns:a16="http://schemas.microsoft.com/office/drawing/2014/main" id="{22B5FC68-E85B-4B22-B028-A0CBE885F554}"/>
            </a:ext>
          </a:extLst>
        </xdr:cNvPr>
        <xdr:cNvCxnSpPr>
          <a:stCxn id="20" idx="3"/>
          <a:endCxn id="21" idx="1"/>
        </xdr:cNvCxnSpPr>
      </xdr:nvCxnSpPr>
      <xdr:spPr>
        <a:xfrm>
          <a:off x="5974973" y="2574768"/>
          <a:ext cx="672012" cy="54132"/>
        </a:xfrm>
        <a:prstGeom prst="straightConnector1">
          <a:avLst/>
        </a:prstGeom>
        <a:ln w="12700">
          <a:solidFill>
            <a:schemeClr val="accent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9</xdr:row>
      <xdr:rowOff>131781</xdr:rowOff>
    </xdr:from>
    <xdr:to>
      <xdr:col>60</xdr:col>
      <xdr:colOff>53788</xdr:colOff>
      <xdr:row>11</xdr:row>
      <xdr:rowOff>116542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949842DF-DDBA-43AD-A722-93A063CAB576}"/>
            </a:ext>
          </a:extLst>
        </xdr:cNvPr>
        <xdr:cNvSpPr/>
      </xdr:nvSpPr>
      <xdr:spPr>
        <a:xfrm>
          <a:off x="9081247" y="1342016"/>
          <a:ext cx="636494" cy="253702"/>
        </a:xfrm>
        <a:prstGeom prst="rect">
          <a:avLst/>
        </a:prstGeom>
        <a:solidFill>
          <a:schemeClr val="accent6">
            <a:alpha val="10000"/>
          </a:schemeClr>
        </a:solidFill>
        <a:ln w="127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53</xdr:col>
      <xdr:colOff>0</xdr:colOff>
      <xdr:row>17</xdr:row>
      <xdr:rowOff>131781</xdr:rowOff>
    </xdr:from>
    <xdr:to>
      <xdr:col>55</xdr:col>
      <xdr:colOff>0</xdr:colOff>
      <xdr:row>20</xdr:row>
      <xdr:rowOff>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BB856831-36A7-42CC-B8F2-C98C48D64B94}"/>
            </a:ext>
          </a:extLst>
        </xdr:cNvPr>
        <xdr:cNvSpPr/>
      </xdr:nvSpPr>
      <xdr:spPr>
        <a:xfrm>
          <a:off x="6646985" y="2423643"/>
          <a:ext cx="2473569" cy="272665"/>
        </a:xfrm>
        <a:custGeom>
          <a:avLst/>
          <a:gdLst>
            <a:gd name="connsiteX0" fmla="*/ 0 w 2473569"/>
            <a:gd name="connsiteY0" fmla="*/ 0 h 137849"/>
            <a:gd name="connsiteX1" fmla="*/ 2473569 w 2473569"/>
            <a:gd name="connsiteY1" fmla="*/ 0 h 137849"/>
            <a:gd name="connsiteX2" fmla="*/ 2473569 w 2473569"/>
            <a:gd name="connsiteY2" fmla="*/ 137849 h 137849"/>
            <a:gd name="connsiteX3" fmla="*/ 0 w 2473569"/>
            <a:gd name="connsiteY3" fmla="*/ 137849 h 137849"/>
            <a:gd name="connsiteX4" fmla="*/ 0 w 2473569"/>
            <a:gd name="connsiteY4" fmla="*/ 0 h 137849"/>
            <a:gd name="connsiteX0" fmla="*/ 0 w 2473569"/>
            <a:gd name="connsiteY0" fmla="*/ 0 h 272665"/>
            <a:gd name="connsiteX1" fmla="*/ 2473569 w 2473569"/>
            <a:gd name="connsiteY1" fmla="*/ 0 h 272665"/>
            <a:gd name="connsiteX2" fmla="*/ 2473569 w 2473569"/>
            <a:gd name="connsiteY2" fmla="*/ 272665 h 272665"/>
            <a:gd name="connsiteX3" fmla="*/ 0 w 2473569"/>
            <a:gd name="connsiteY3" fmla="*/ 137849 h 272665"/>
            <a:gd name="connsiteX4" fmla="*/ 0 w 2473569"/>
            <a:gd name="connsiteY4" fmla="*/ 0 h 272665"/>
            <a:gd name="connsiteX0" fmla="*/ 0 w 2473569"/>
            <a:gd name="connsiteY0" fmla="*/ 0 h 272665"/>
            <a:gd name="connsiteX1" fmla="*/ 2473569 w 2473569"/>
            <a:gd name="connsiteY1" fmla="*/ 0 h 272665"/>
            <a:gd name="connsiteX2" fmla="*/ 2473569 w 2473569"/>
            <a:gd name="connsiteY2" fmla="*/ 272665 h 272665"/>
            <a:gd name="connsiteX3" fmla="*/ 1307123 w 2473569"/>
            <a:gd name="connsiteY3" fmla="*/ 196465 h 272665"/>
            <a:gd name="connsiteX4" fmla="*/ 0 w 2473569"/>
            <a:gd name="connsiteY4" fmla="*/ 137849 h 272665"/>
            <a:gd name="connsiteX5" fmla="*/ 0 w 2473569"/>
            <a:gd name="connsiteY5" fmla="*/ 0 h 272665"/>
            <a:gd name="connsiteX0" fmla="*/ 0 w 2473569"/>
            <a:gd name="connsiteY0" fmla="*/ 0 h 272665"/>
            <a:gd name="connsiteX1" fmla="*/ 2473569 w 2473569"/>
            <a:gd name="connsiteY1" fmla="*/ 0 h 272665"/>
            <a:gd name="connsiteX2" fmla="*/ 2473569 w 2473569"/>
            <a:gd name="connsiteY2" fmla="*/ 272665 h 272665"/>
            <a:gd name="connsiteX3" fmla="*/ 1301261 w 2473569"/>
            <a:gd name="connsiteY3" fmla="*/ 272665 h 272665"/>
            <a:gd name="connsiteX4" fmla="*/ 0 w 2473569"/>
            <a:gd name="connsiteY4" fmla="*/ 137849 h 272665"/>
            <a:gd name="connsiteX5" fmla="*/ 0 w 2473569"/>
            <a:gd name="connsiteY5" fmla="*/ 0 h 272665"/>
            <a:gd name="connsiteX0" fmla="*/ 0 w 2473569"/>
            <a:gd name="connsiteY0" fmla="*/ 0 h 272665"/>
            <a:gd name="connsiteX1" fmla="*/ 2473569 w 2473569"/>
            <a:gd name="connsiteY1" fmla="*/ 0 h 272665"/>
            <a:gd name="connsiteX2" fmla="*/ 2473569 w 2473569"/>
            <a:gd name="connsiteY2" fmla="*/ 272665 h 272665"/>
            <a:gd name="connsiteX3" fmla="*/ 1301261 w 2473569"/>
            <a:gd name="connsiteY3" fmla="*/ 272665 h 272665"/>
            <a:gd name="connsiteX4" fmla="*/ 762000 w 2473569"/>
            <a:gd name="connsiteY4" fmla="*/ 225772 h 272665"/>
            <a:gd name="connsiteX5" fmla="*/ 0 w 2473569"/>
            <a:gd name="connsiteY5" fmla="*/ 137849 h 272665"/>
            <a:gd name="connsiteX6" fmla="*/ 0 w 2473569"/>
            <a:gd name="connsiteY6" fmla="*/ 0 h 272665"/>
            <a:gd name="connsiteX0" fmla="*/ 0 w 2473569"/>
            <a:gd name="connsiteY0" fmla="*/ 0 h 272665"/>
            <a:gd name="connsiteX1" fmla="*/ 2473569 w 2473569"/>
            <a:gd name="connsiteY1" fmla="*/ 0 h 272665"/>
            <a:gd name="connsiteX2" fmla="*/ 2473569 w 2473569"/>
            <a:gd name="connsiteY2" fmla="*/ 272665 h 272665"/>
            <a:gd name="connsiteX3" fmla="*/ 1301261 w 2473569"/>
            <a:gd name="connsiteY3" fmla="*/ 272665 h 272665"/>
            <a:gd name="connsiteX4" fmla="*/ 1301261 w 2473569"/>
            <a:gd name="connsiteY4" fmla="*/ 137849 h 272665"/>
            <a:gd name="connsiteX5" fmla="*/ 0 w 2473569"/>
            <a:gd name="connsiteY5" fmla="*/ 137849 h 272665"/>
            <a:gd name="connsiteX6" fmla="*/ 0 w 2473569"/>
            <a:gd name="connsiteY6" fmla="*/ 0 h 27266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2473569" h="272665">
              <a:moveTo>
                <a:pt x="0" y="0"/>
              </a:moveTo>
              <a:lnTo>
                <a:pt x="2473569" y="0"/>
              </a:lnTo>
              <a:lnTo>
                <a:pt x="2473569" y="272665"/>
              </a:lnTo>
              <a:lnTo>
                <a:pt x="1301261" y="272665"/>
              </a:lnTo>
              <a:lnTo>
                <a:pt x="1301261" y="137849"/>
              </a:lnTo>
              <a:lnTo>
                <a:pt x="0" y="137849"/>
              </a:lnTo>
              <a:lnTo>
                <a:pt x="0" y="0"/>
              </a:lnTo>
              <a:close/>
            </a:path>
          </a:pathLst>
        </a:custGeom>
        <a:solidFill>
          <a:schemeClr val="accent6">
            <a:alpha val="10000"/>
          </a:schemeClr>
        </a:solidFill>
        <a:ln w="127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55</xdr:col>
      <xdr:colOff>0</xdr:colOff>
      <xdr:row>10</xdr:row>
      <xdr:rowOff>124161</xdr:rowOff>
    </xdr:from>
    <xdr:to>
      <xdr:col>60</xdr:col>
      <xdr:colOff>53788</xdr:colOff>
      <xdr:row>17</xdr:row>
      <xdr:rowOff>131781</xdr:rowOff>
    </xdr:to>
    <xdr:cxnSp macro="">
      <xdr:nvCxnSpPr>
        <xdr:cNvPr id="30" name="カギ線コネクタ 180">
          <a:extLst>
            <a:ext uri="{FF2B5EF4-FFF2-40B4-BE49-F238E27FC236}">
              <a16:creationId xmlns:a16="http://schemas.microsoft.com/office/drawing/2014/main" id="{3D49AF80-822B-4A60-87A6-5AB785E68B85}"/>
            </a:ext>
          </a:extLst>
        </xdr:cNvPr>
        <xdr:cNvCxnSpPr>
          <a:stCxn id="28" idx="3"/>
          <a:endCxn id="29" idx="1"/>
        </xdr:cNvCxnSpPr>
      </xdr:nvCxnSpPr>
      <xdr:spPr>
        <a:xfrm flipH="1">
          <a:off x="9120554" y="1472315"/>
          <a:ext cx="639942" cy="951328"/>
        </a:xfrm>
        <a:prstGeom prst="straightConnector1">
          <a:avLst/>
        </a:prstGeom>
        <a:ln w="12700"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80682</xdr:colOff>
      <xdr:row>27</xdr:row>
      <xdr:rowOff>51098</xdr:rowOff>
    </xdr:from>
    <xdr:to>
      <xdr:col>22</xdr:col>
      <xdr:colOff>62753</xdr:colOff>
      <xdr:row>28</xdr:row>
      <xdr:rowOff>125506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1EBEFACF-B3A3-4099-BF05-4E99F82EA7F5}"/>
            </a:ext>
          </a:extLst>
        </xdr:cNvPr>
        <xdr:cNvSpPr/>
      </xdr:nvSpPr>
      <xdr:spPr>
        <a:xfrm>
          <a:off x="779929" y="3959710"/>
          <a:ext cx="1846730" cy="208878"/>
        </a:xfrm>
        <a:prstGeom prst="rect">
          <a:avLst/>
        </a:prstGeom>
        <a:solidFill>
          <a:schemeClr val="accent6">
            <a:alpha val="10000"/>
          </a:schemeClr>
        </a:solidFill>
        <a:ln w="127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22</xdr:col>
      <xdr:colOff>62753</xdr:colOff>
      <xdr:row>19</xdr:row>
      <xdr:rowOff>0</xdr:rowOff>
    </xdr:from>
    <xdr:to>
      <xdr:col>53</xdr:col>
      <xdr:colOff>0</xdr:colOff>
      <xdr:row>28</xdr:row>
      <xdr:rowOff>20895</xdr:rowOff>
    </xdr:to>
    <xdr:cxnSp macro="">
      <xdr:nvCxnSpPr>
        <xdr:cNvPr id="41" name="カギ線コネクタ 180">
          <a:extLst>
            <a:ext uri="{FF2B5EF4-FFF2-40B4-BE49-F238E27FC236}">
              <a16:creationId xmlns:a16="http://schemas.microsoft.com/office/drawing/2014/main" id="{7D9D09D7-AD02-4F38-81D8-AAA5C30E6C4C}"/>
            </a:ext>
          </a:extLst>
        </xdr:cNvPr>
        <xdr:cNvCxnSpPr>
          <a:stCxn id="29" idx="5"/>
          <a:endCxn id="35" idx="3"/>
        </xdr:cNvCxnSpPr>
      </xdr:nvCxnSpPr>
      <xdr:spPr>
        <a:xfrm flipH="1">
          <a:off x="2641830" y="2561492"/>
          <a:ext cx="4005155" cy="1509726"/>
        </a:xfrm>
        <a:prstGeom prst="straightConnector1">
          <a:avLst/>
        </a:prstGeom>
        <a:ln w="12700"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AppData/Local/Packages/Microsoft.Office.Desktop_8wekyb3d8bbwe/LocalCache/Roaming/Microsoft/AddIns/UserDefFunc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"/>
    </sheetNames>
    <definedNames>
      <definedName name="CalcPaddingTabWidth"/>
      <definedName name="CalcPaddingWidth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banana-juice.com/tech/articles/replace-without-forma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hotelmonterey.co.jp/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https://www.hankyu-hotel.com/wedding/osaka/" TargetMode="External"/><Relationship Id="rId7" Type="http://schemas.openxmlformats.org/officeDocument/2006/relationships/hyperlink" Target="https://wedding.senri-htl.co.jp/" TargetMode="External"/><Relationship Id="rId12" Type="http://schemas.openxmlformats.org/officeDocument/2006/relationships/hyperlink" Target="http://nakanoshimaterrace.com/" TargetMode="External"/><Relationship Id="rId2" Type="http://schemas.openxmlformats.org/officeDocument/2006/relationships/hyperlink" Target="https://www.rihga.co.jp/osaka" TargetMode="External"/><Relationship Id="rId1" Type="http://schemas.openxmlformats.org/officeDocument/2006/relationships/hyperlink" Target="https://www.hotelmonterey.co.jp/" TargetMode="External"/><Relationship Id="rId6" Type="http://schemas.openxmlformats.org/officeDocument/2006/relationships/hyperlink" Target="https://hotel-royalclassic.official-wedding.jp/company/" TargetMode="External"/><Relationship Id="rId11" Type="http://schemas.openxmlformats.org/officeDocument/2006/relationships/hyperlink" Target="https://www.agorazion.com/facilities/" TargetMode="External"/><Relationship Id="rId5" Type="http://schemas.openxmlformats.org/officeDocument/2006/relationships/hyperlink" Target="https://www.tsukada-global.holdings/business/bridal.html" TargetMode="External"/><Relationship Id="rId10" Type="http://schemas.openxmlformats.org/officeDocument/2006/relationships/hyperlink" Target="https://gran-amo.jp/company/" TargetMode="External"/><Relationship Id="rId4" Type="http://schemas.openxmlformats.org/officeDocument/2006/relationships/hyperlink" Target="https://www.tsukada-global.holdings/business/bridal.html" TargetMode="External"/><Relationship Id="rId9" Type="http://schemas.openxmlformats.org/officeDocument/2006/relationships/hyperlink" Target="https://www.hotelmonterey.co.j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178DE-3CC6-44B7-9199-E9A3AAB6D1E2}">
  <sheetPr codeName="Sheet2"/>
  <dimension ref="C2:L36"/>
  <sheetViews>
    <sheetView workbookViewId="0">
      <selection activeCell="AT33" sqref="AT33"/>
    </sheetView>
  </sheetViews>
  <sheetFormatPr defaultColWidth="1.875" defaultRowHeight="10.8" customHeight="1" x14ac:dyDescent="0.15"/>
  <cols>
    <col min="1" max="16384" width="1.875" style="2"/>
  </cols>
  <sheetData>
    <row r="2" spans="3:12" ht="10.8" customHeight="1" x14ac:dyDescent="0.15">
      <c r="C2" s="1" t="s">
        <v>0</v>
      </c>
    </row>
    <row r="4" spans="3:12" ht="10.8" customHeight="1" x14ac:dyDescent="0.15">
      <c r="C4" s="2" t="s">
        <v>1</v>
      </c>
    </row>
    <row r="5" spans="3:12" ht="10.8" customHeight="1" x14ac:dyDescent="0.15">
      <c r="C5" s="2" t="s">
        <v>2</v>
      </c>
    </row>
    <row r="9" spans="3:12" ht="10.8" customHeight="1" x14ac:dyDescent="0.15">
      <c r="H9" s="2" t="s">
        <v>19</v>
      </c>
    </row>
    <row r="10" spans="3:12" ht="10.8" customHeight="1" x14ac:dyDescent="0.15">
      <c r="H10" s="2" t="s">
        <v>20</v>
      </c>
    </row>
    <row r="11" spans="3:12" s="3" customFormat="1" ht="10.8" customHeight="1" x14ac:dyDescent="0.15">
      <c r="H11" s="3" t="s">
        <v>21</v>
      </c>
    </row>
    <row r="13" spans="3:12" ht="10.8" customHeight="1" x14ac:dyDescent="0.15">
      <c r="H13" s="2" t="s">
        <v>8</v>
      </c>
    </row>
    <row r="14" spans="3:12" ht="10.8" customHeight="1" x14ac:dyDescent="0.15">
      <c r="I14" s="2" t="s">
        <v>17</v>
      </c>
    </row>
    <row r="15" spans="3:12" ht="10.8" customHeight="1" x14ac:dyDescent="0.15">
      <c r="K15" s="2" t="s">
        <v>3</v>
      </c>
    </row>
    <row r="16" spans="3:12" ht="10.8" customHeight="1" x14ac:dyDescent="0.15">
      <c r="L16" s="2" t="s">
        <v>5</v>
      </c>
    </row>
    <row r="17" spans="8:12" ht="10.8" customHeight="1" x14ac:dyDescent="0.15">
      <c r="L17" s="2" t="s">
        <v>6</v>
      </c>
    </row>
    <row r="19" spans="8:12" ht="10.8" customHeight="1" x14ac:dyDescent="0.15">
      <c r="K19" s="2" t="s">
        <v>4</v>
      </c>
    </row>
    <row r="20" spans="8:12" ht="10.8" customHeight="1" x14ac:dyDescent="0.15">
      <c r="L20" s="2" t="s">
        <v>5</v>
      </c>
    </row>
    <row r="21" spans="8:12" ht="10.8" customHeight="1" x14ac:dyDescent="0.15">
      <c r="L21" s="2" t="s">
        <v>7</v>
      </c>
    </row>
    <row r="23" spans="8:12" ht="10.8" customHeight="1" x14ac:dyDescent="0.15">
      <c r="H23" s="2" t="s">
        <v>9</v>
      </c>
    </row>
    <row r="24" spans="8:12" ht="10.8" customHeight="1" x14ac:dyDescent="0.15">
      <c r="I24" s="2" t="s">
        <v>15</v>
      </c>
    </row>
    <row r="25" spans="8:12" ht="10.8" customHeight="1" x14ac:dyDescent="0.15">
      <c r="J25" s="2" t="s">
        <v>18</v>
      </c>
    </row>
    <row r="26" spans="8:12" ht="10.8" customHeight="1" x14ac:dyDescent="0.15">
      <c r="I26" s="2" t="s">
        <v>16</v>
      </c>
    </row>
    <row r="28" spans="8:12" ht="10.8" customHeight="1" x14ac:dyDescent="0.15">
      <c r="K28" s="2" t="s">
        <v>3</v>
      </c>
    </row>
    <row r="29" spans="8:12" ht="10.8" customHeight="1" x14ac:dyDescent="0.15">
      <c r="L29" s="2" t="s">
        <v>13</v>
      </c>
    </row>
    <row r="30" spans="8:12" ht="10.8" customHeight="1" x14ac:dyDescent="0.15">
      <c r="L30" s="2" t="s">
        <v>14</v>
      </c>
    </row>
    <row r="31" spans="8:12" ht="10.8" customHeight="1" x14ac:dyDescent="0.15">
      <c r="K31" s="2" t="s">
        <v>4</v>
      </c>
    </row>
    <row r="32" spans="8:12" ht="10.8" customHeight="1" x14ac:dyDescent="0.15">
      <c r="L32" s="2" t="s">
        <v>13</v>
      </c>
    </row>
    <row r="33" spans="11:12" ht="10.8" customHeight="1" x14ac:dyDescent="0.15">
      <c r="L33" s="2" t="s">
        <v>10</v>
      </c>
    </row>
    <row r="34" spans="11:12" ht="10.8" customHeight="1" x14ac:dyDescent="0.15">
      <c r="K34" s="2" t="s">
        <v>11</v>
      </c>
    </row>
    <row r="35" spans="11:12" ht="10.8" customHeight="1" x14ac:dyDescent="0.15">
      <c r="L35" s="2" t="s">
        <v>13</v>
      </c>
    </row>
    <row r="36" spans="11:12" ht="10.8" customHeight="1" x14ac:dyDescent="0.15">
      <c r="L36" s="2" t="s">
        <v>12</v>
      </c>
    </row>
  </sheetData>
  <phoneticPr fontId="3"/>
  <hyperlinks>
    <hyperlink ref="C2" r:id="rId1" xr:uid="{27EAB926-8A6B-43FA-B8D1-72426DE58E9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6E66C-8A70-4BD2-84A6-CC9AD47A4A86}">
  <sheetPr codeName="Sheet5"/>
  <dimension ref="B2:AY35"/>
  <sheetViews>
    <sheetView workbookViewId="0">
      <selection activeCell="J3" sqref="J3"/>
    </sheetView>
  </sheetViews>
  <sheetFormatPr defaultColWidth="2.75" defaultRowHeight="10.8" customHeight="1" x14ac:dyDescent="0.15"/>
  <cols>
    <col min="1" max="2" width="2.75" style="2"/>
    <col min="3" max="3" width="3.5" style="2" bestFit="1" customWidth="1"/>
    <col min="4" max="5" width="2.75" style="2"/>
    <col min="6" max="6" width="7.5" style="2" bestFit="1" customWidth="1"/>
    <col min="7" max="7" width="6.5" style="2" bestFit="1" customWidth="1"/>
    <col min="8" max="9" width="2.75" style="2"/>
    <col min="10" max="10" width="39.375" style="2" bestFit="1" customWidth="1"/>
    <col min="11" max="11" width="3.5" style="2" bestFit="1" customWidth="1"/>
    <col min="12" max="50" width="2.75" style="2"/>
    <col min="51" max="51" width="3.5" style="2" bestFit="1" customWidth="1"/>
    <col min="52" max="16384" width="2.75" style="2"/>
  </cols>
  <sheetData>
    <row r="2" spans="2:51" ht="10.8" customHeight="1" x14ac:dyDescent="0.15">
      <c r="L2" s="2">
        <v>1</v>
      </c>
      <c r="M2" s="2">
        <f>L2+1</f>
        <v>2</v>
      </c>
      <c r="N2" s="2">
        <f t="shared" ref="N2:AY2" si="0">M2+1</f>
        <v>3</v>
      </c>
      <c r="O2" s="2">
        <f t="shared" si="0"/>
        <v>4</v>
      </c>
      <c r="P2" s="2">
        <f t="shared" si="0"/>
        <v>5</v>
      </c>
      <c r="Q2" s="2">
        <f t="shared" si="0"/>
        <v>6</v>
      </c>
      <c r="R2" s="2">
        <f t="shared" si="0"/>
        <v>7</v>
      </c>
      <c r="S2" s="2">
        <f t="shared" si="0"/>
        <v>8</v>
      </c>
      <c r="T2" s="2">
        <f t="shared" si="0"/>
        <v>9</v>
      </c>
      <c r="U2" s="2">
        <f t="shared" si="0"/>
        <v>10</v>
      </c>
      <c r="V2" s="2">
        <f t="shared" si="0"/>
        <v>11</v>
      </c>
      <c r="W2" s="2">
        <f t="shared" si="0"/>
        <v>12</v>
      </c>
      <c r="X2" s="2">
        <f t="shared" si="0"/>
        <v>13</v>
      </c>
      <c r="Y2" s="2">
        <f t="shared" si="0"/>
        <v>14</v>
      </c>
      <c r="Z2" s="2">
        <f t="shared" si="0"/>
        <v>15</v>
      </c>
      <c r="AA2" s="2">
        <f t="shared" si="0"/>
        <v>16</v>
      </c>
      <c r="AB2" s="2">
        <f t="shared" si="0"/>
        <v>17</v>
      </c>
      <c r="AC2" s="2">
        <f t="shared" si="0"/>
        <v>18</v>
      </c>
      <c r="AD2" s="2">
        <f t="shared" si="0"/>
        <v>19</v>
      </c>
      <c r="AE2" s="2">
        <f t="shared" si="0"/>
        <v>20</v>
      </c>
      <c r="AF2" s="2">
        <f t="shared" si="0"/>
        <v>21</v>
      </c>
      <c r="AG2" s="2">
        <f t="shared" si="0"/>
        <v>22</v>
      </c>
      <c r="AH2" s="2">
        <f t="shared" si="0"/>
        <v>23</v>
      </c>
      <c r="AI2" s="2">
        <f t="shared" si="0"/>
        <v>24</v>
      </c>
      <c r="AJ2" s="2">
        <f t="shared" si="0"/>
        <v>25</v>
      </c>
      <c r="AK2" s="2">
        <f t="shared" si="0"/>
        <v>26</v>
      </c>
      <c r="AL2" s="2">
        <f t="shared" si="0"/>
        <v>27</v>
      </c>
      <c r="AM2" s="2">
        <f t="shared" si="0"/>
        <v>28</v>
      </c>
      <c r="AN2" s="2">
        <f t="shared" si="0"/>
        <v>29</v>
      </c>
      <c r="AO2" s="2">
        <f t="shared" si="0"/>
        <v>30</v>
      </c>
      <c r="AP2" s="2">
        <f t="shared" si="0"/>
        <v>31</v>
      </c>
      <c r="AQ2" s="2">
        <f t="shared" si="0"/>
        <v>32</v>
      </c>
      <c r="AR2" s="2">
        <f t="shared" si="0"/>
        <v>33</v>
      </c>
      <c r="AS2" s="2">
        <f t="shared" si="0"/>
        <v>34</v>
      </c>
      <c r="AT2" s="2">
        <f t="shared" si="0"/>
        <v>35</v>
      </c>
      <c r="AU2" s="2">
        <f t="shared" si="0"/>
        <v>36</v>
      </c>
      <c r="AV2" s="2">
        <f t="shared" si="0"/>
        <v>37</v>
      </c>
      <c r="AW2" s="2">
        <f t="shared" si="0"/>
        <v>38</v>
      </c>
      <c r="AX2" s="2">
        <f t="shared" si="0"/>
        <v>39</v>
      </c>
      <c r="AY2" s="2">
        <f t="shared" si="0"/>
        <v>40</v>
      </c>
    </row>
    <row r="3" spans="2:51" ht="10.8" customHeight="1" x14ac:dyDescent="0.15">
      <c r="B3" s="2" t="s">
        <v>193</v>
      </c>
      <c r="F3" s="2" t="s">
        <v>194</v>
      </c>
      <c r="G3" s="2" t="s">
        <v>195</v>
      </c>
      <c r="J3" s="2" t="s">
        <v>197</v>
      </c>
      <c r="L3" s="2" t="s">
        <v>161</v>
      </c>
      <c r="M3" s="2" t="s">
        <v>162</v>
      </c>
      <c r="N3" s="2" t="s">
        <v>163</v>
      </c>
      <c r="O3" s="2" t="s">
        <v>164</v>
      </c>
      <c r="P3" s="2" t="s">
        <v>165</v>
      </c>
      <c r="Q3" s="2" t="s">
        <v>173</v>
      </c>
      <c r="R3" s="2" t="s">
        <v>167</v>
      </c>
      <c r="S3" s="2" t="s">
        <v>164</v>
      </c>
      <c r="T3" s="2" t="s">
        <v>196</v>
      </c>
      <c r="U3" s="2" t="s">
        <v>168</v>
      </c>
      <c r="V3" s="2" t="s">
        <v>169</v>
      </c>
      <c r="W3" s="2" t="s">
        <v>170</v>
      </c>
      <c r="X3" s="2" t="s">
        <v>171</v>
      </c>
      <c r="Y3" s="2" t="s">
        <v>165</v>
      </c>
      <c r="Z3" s="2" t="s">
        <v>174</v>
      </c>
      <c r="AA3" s="2" t="s">
        <v>196</v>
      </c>
      <c r="AB3" s="2" t="s">
        <v>172</v>
      </c>
      <c r="AC3" s="2" t="s">
        <v>166</v>
      </c>
      <c r="AD3" s="2" t="s">
        <v>196</v>
      </c>
      <c r="AE3" s="2" t="s">
        <v>166</v>
      </c>
      <c r="AF3" s="2" t="s">
        <v>163</v>
      </c>
      <c r="AG3" s="2" t="s">
        <v>167</v>
      </c>
      <c r="AH3" s="2" t="s">
        <v>165</v>
      </c>
      <c r="AI3" s="2">
        <v>1</v>
      </c>
      <c r="AJ3" s="2">
        <v>2</v>
      </c>
      <c r="AK3" s="2" t="s">
        <v>196</v>
      </c>
      <c r="AL3" s="2" t="s">
        <v>172</v>
      </c>
      <c r="AM3" s="2" t="s">
        <v>166</v>
      </c>
      <c r="AN3" s="2" t="s">
        <v>166</v>
      </c>
      <c r="AO3" s="2" t="s">
        <v>169</v>
      </c>
      <c r="AP3" s="2" t="s">
        <v>164</v>
      </c>
      <c r="AQ3" s="2" t="s">
        <v>165</v>
      </c>
      <c r="AR3" s="2" t="s">
        <v>173</v>
      </c>
      <c r="AS3" s="2" t="s">
        <v>173</v>
      </c>
      <c r="AT3" s="2" t="s">
        <v>173</v>
      </c>
      <c r="AU3" s="2" t="s">
        <v>196</v>
      </c>
      <c r="AV3" s="2" t="s">
        <v>162</v>
      </c>
      <c r="AW3" s="2" t="s">
        <v>175</v>
      </c>
      <c r="AX3" s="2" t="s">
        <v>161</v>
      </c>
      <c r="AY3" s="2" t="s">
        <v>165</v>
      </c>
    </row>
    <row r="4" spans="2:51" ht="10.8" customHeight="1" x14ac:dyDescent="0.15">
      <c r="B4" s="2">
        <v>1</v>
      </c>
      <c r="C4" s="2" t="s">
        <v>176</v>
      </c>
      <c r="F4" s="2">
        <v>1</v>
      </c>
      <c r="G4" s="2">
        <v>5</v>
      </c>
    </row>
    <row r="5" spans="2:51" ht="10.8" customHeight="1" x14ac:dyDescent="0.15">
      <c r="B5" s="2">
        <v>2</v>
      </c>
      <c r="C5" s="2" t="s">
        <v>177</v>
      </c>
      <c r="F5" s="2">
        <v>20</v>
      </c>
      <c r="G5" s="2">
        <v>4</v>
      </c>
    </row>
    <row r="6" spans="2:51" ht="10.8" customHeight="1" x14ac:dyDescent="0.15">
      <c r="B6" s="2">
        <v>3</v>
      </c>
      <c r="C6" s="2" t="s">
        <v>178</v>
      </c>
      <c r="F6" s="2">
        <v>10</v>
      </c>
      <c r="G6" s="2">
        <v>5</v>
      </c>
    </row>
    <row r="7" spans="2:51" ht="10.8" customHeight="1" x14ac:dyDescent="0.15">
      <c r="B7" s="2">
        <v>4</v>
      </c>
      <c r="C7" s="2" t="s">
        <v>182</v>
      </c>
      <c r="F7" s="2">
        <v>0</v>
      </c>
      <c r="G7" s="2">
        <v>5</v>
      </c>
    </row>
    <row r="8" spans="2:51" ht="10.8" customHeight="1" x14ac:dyDescent="0.15">
      <c r="B8" s="2">
        <v>5</v>
      </c>
      <c r="C8" s="2" t="s">
        <v>179</v>
      </c>
      <c r="F8" s="2">
        <v>27</v>
      </c>
      <c r="G8" s="2">
        <v>6</v>
      </c>
    </row>
    <row r="9" spans="2:51" ht="10.8" customHeight="1" x14ac:dyDescent="0.15">
      <c r="B9" s="2">
        <v>6</v>
      </c>
      <c r="C9" s="2" t="s">
        <v>180</v>
      </c>
      <c r="F9" s="2">
        <v>37</v>
      </c>
      <c r="G9" s="2">
        <v>4</v>
      </c>
    </row>
    <row r="12" spans="2:51" ht="10.8" customHeight="1" x14ac:dyDescent="0.15">
      <c r="B12" s="2">
        <v>1</v>
      </c>
      <c r="C12" s="2">
        <v>1</v>
      </c>
      <c r="E12" s="2">
        <v>1</v>
      </c>
      <c r="F12" s="2">
        <v>1</v>
      </c>
    </row>
    <row r="13" spans="2:51" ht="10.8" customHeight="1" x14ac:dyDescent="0.15">
      <c r="B13" s="2">
        <v>2</v>
      </c>
      <c r="C13" s="2">
        <v>20</v>
      </c>
      <c r="E13" s="2">
        <v>3</v>
      </c>
      <c r="F13" s="2">
        <v>10</v>
      </c>
    </row>
    <row r="14" spans="2:51" ht="10.8" customHeight="1" x14ac:dyDescent="0.15">
      <c r="B14" s="2">
        <v>3</v>
      </c>
      <c r="C14" s="2">
        <v>10</v>
      </c>
      <c r="E14" s="2">
        <v>2</v>
      </c>
      <c r="F14" s="2">
        <v>20</v>
      </c>
    </row>
    <row r="15" spans="2:51" ht="10.8" customHeight="1" x14ac:dyDescent="0.15">
      <c r="E15" s="2">
        <v>5</v>
      </c>
      <c r="F15" s="2">
        <v>27</v>
      </c>
    </row>
    <row r="16" spans="2:51" ht="10.8" customHeight="1" x14ac:dyDescent="0.15">
      <c r="B16" s="2">
        <v>5</v>
      </c>
      <c r="C16" s="2">
        <v>27</v>
      </c>
      <c r="E16" s="2">
        <v>6</v>
      </c>
      <c r="F16" s="2">
        <v>37</v>
      </c>
    </row>
    <row r="17" spans="2:5" ht="10.8" customHeight="1" x14ac:dyDescent="0.15">
      <c r="B17" s="2">
        <v>6</v>
      </c>
      <c r="C17" s="2">
        <v>37</v>
      </c>
    </row>
    <row r="21" spans="2:5" ht="10.8" customHeight="1" x14ac:dyDescent="0.15">
      <c r="B21" s="2" t="s">
        <v>189</v>
      </c>
    </row>
    <row r="22" spans="2:5" ht="10.8" customHeight="1" x14ac:dyDescent="0.15">
      <c r="B22" s="2" t="s">
        <v>191</v>
      </c>
    </row>
    <row r="23" spans="2:5" ht="10.8" customHeight="1" x14ac:dyDescent="0.15">
      <c r="C23" s="2" t="s">
        <v>185</v>
      </c>
    </row>
    <row r="24" spans="2:5" ht="10.8" customHeight="1" x14ac:dyDescent="0.15">
      <c r="B24" s="2" t="s">
        <v>186</v>
      </c>
    </row>
    <row r="25" spans="2:5" ht="10.8" customHeight="1" x14ac:dyDescent="0.15">
      <c r="C25" s="2" t="s">
        <v>191</v>
      </c>
    </row>
    <row r="26" spans="2:5" ht="10.8" customHeight="1" x14ac:dyDescent="0.15">
      <c r="D26" s="2" t="s">
        <v>192</v>
      </c>
    </row>
    <row r="27" spans="2:5" ht="10.8" customHeight="1" x14ac:dyDescent="0.15">
      <c r="C27" s="2" t="s">
        <v>198</v>
      </c>
    </row>
    <row r="28" spans="2:5" ht="10.8" customHeight="1" x14ac:dyDescent="0.15">
      <c r="D28" s="2" t="s">
        <v>200</v>
      </c>
    </row>
    <row r="29" spans="2:5" ht="10.8" customHeight="1" x14ac:dyDescent="0.15">
      <c r="C29" s="2" t="s">
        <v>199</v>
      </c>
    </row>
    <row r="30" spans="2:5" ht="10.8" customHeight="1" x14ac:dyDescent="0.15">
      <c r="D30" s="2" t="s">
        <v>183</v>
      </c>
    </row>
    <row r="31" spans="2:5" ht="10.8" customHeight="1" x14ac:dyDescent="0.15">
      <c r="D31" s="2" t="s">
        <v>191</v>
      </c>
    </row>
    <row r="32" spans="2:5" ht="10.8" customHeight="1" x14ac:dyDescent="0.15">
      <c r="E32" s="2" t="s">
        <v>184</v>
      </c>
    </row>
    <row r="33" spans="2:5" ht="10.8" customHeight="1" x14ac:dyDescent="0.15">
      <c r="E33" s="2" t="s">
        <v>187</v>
      </c>
    </row>
    <row r="34" spans="2:5" ht="10.8" customHeight="1" x14ac:dyDescent="0.15">
      <c r="C34" s="2" t="s">
        <v>188</v>
      </c>
    </row>
    <row r="35" spans="2:5" ht="10.8" customHeight="1" x14ac:dyDescent="0.15">
      <c r="B35" s="2" t="s">
        <v>190</v>
      </c>
    </row>
  </sheetData>
  <sortState ref="G12:H17">
    <sortCondition ref="H12:H17"/>
  </sortState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4164D-7EB8-4255-9156-B92108C3E148}">
  <sheetPr codeName="Sheet6"/>
  <dimension ref="B2:AR59"/>
  <sheetViews>
    <sheetView workbookViewId="0">
      <selection activeCell="L25" sqref="L25"/>
    </sheetView>
  </sheetViews>
  <sheetFormatPr defaultColWidth="2.75" defaultRowHeight="10.8" customHeight="1" x14ac:dyDescent="0.15"/>
  <cols>
    <col min="1" max="1" width="2.75" style="2"/>
    <col min="2" max="2" width="8.5" style="2" bestFit="1" customWidth="1"/>
    <col min="3" max="3" width="7.5" style="2" bestFit="1" customWidth="1"/>
    <col min="4" max="4" width="57.125" style="2" bestFit="1" customWidth="1"/>
    <col min="5" max="44" width="2.5" style="2" customWidth="1"/>
    <col min="45" max="16384" width="2.75" style="2"/>
  </cols>
  <sheetData>
    <row r="2" spans="2:44" ht="10.8" customHeight="1" x14ac:dyDescent="0.15">
      <c r="E2" s="12">
        <v>1</v>
      </c>
      <c r="F2" s="12">
        <f>E2+1</f>
        <v>2</v>
      </c>
      <c r="G2" s="12">
        <f t="shared" ref="G2:AR2" si="0">F2+1</f>
        <v>3</v>
      </c>
      <c r="H2" s="12">
        <f t="shared" si="0"/>
        <v>4</v>
      </c>
      <c r="I2" s="12">
        <f t="shared" si="0"/>
        <v>5</v>
      </c>
      <c r="J2" s="12">
        <f t="shared" si="0"/>
        <v>6</v>
      </c>
      <c r="K2" s="12">
        <f t="shared" si="0"/>
        <v>7</v>
      </c>
      <c r="L2" s="12">
        <f t="shared" si="0"/>
        <v>8</v>
      </c>
      <c r="M2" s="12">
        <f t="shared" si="0"/>
        <v>9</v>
      </c>
      <c r="N2" s="12">
        <f t="shared" si="0"/>
        <v>10</v>
      </c>
      <c r="O2" s="12">
        <f t="shared" si="0"/>
        <v>11</v>
      </c>
      <c r="P2" s="12">
        <f t="shared" si="0"/>
        <v>12</v>
      </c>
      <c r="Q2" s="12">
        <f t="shared" si="0"/>
        <v>13</v>
      </c>
      <c r="R2" s="12">
        <f t="shared" si="0"/>
        <v>14</v>
      </c>
      <c r="S2" s="12">
        <f t="shared" si="0"/>
        <v>15</v>
      </c>
      <c r="T2" s="12">
        <f t="shared" si="0"/>
        <v>16</v>
      </c>
      <c r="U2" s="12">
        <f t="shared" si="0"/>
        <v>17</v>
      </c>
      <c r="V2" s="12">
        <f t="shared" si="0"/>
        <v>18</v>
      </c>
      <c r="W2" s="12">
        <f t="shared" si="0"/>
        <v>19</v>
      </c>
      <c r="X2" s="12">
        <f t="shared" si="0"/>
        <v>20</v>
      </c>
      <c r="Y2" s="12">
        <f t="shared" si="0"/>
        <v>21</v>
      </c>
      <c r="Z2" s="12">
        <f t="shared" si="0"/>
        <v>22</v>
      </c>
      <c r="AA2" s="12">
        <f t="shared" si="0"/>
        <v>23</v>
      </c>
      <c r="AB2" s="12">
        <f t="shared" si="0"/>
        <v>24</v>
      </c>
      <c r="AC2" s="12">
        <f t="shared" si="0"/>
        <v>25</v>
      </c>
      <c r="AD2" s="12">
        <f t="shared" si="0"/>
        <v>26</v>
      </c>
      <c r="AE2" s="12">
        <f t="shared" si="0"/>
        <v>27</v>
      </c>
      <c r="AF2" s="12">
        <f t="shared" si="0"/>
        <v>28</v>
      </c>
      <c r="AG2" s="12">
        <f t="shared" si="0"/>
        <v>29</v>
      </c>
      <c r="AH2" s="12">
        <f t="shared" si="0"/>
        <v>30</v>
      </c>
      <c r="AI2" s="12">
        <f t="shared" si="0"/>
        <v>31</v>
      </c>
      <c r="AJ2" s="12">
        <f t="shared" si="0"/>
        <v>32</v>
      </c>
      <c r="AK2" s="12">
        <f t="shared" si="0"/>
        <v>33</v>
      </c>
      <c r="AL2" s="12">
        <f t="shared" si="0"/>
        <v>34</v>
      </c>
      <c r="AM2" s="12">
        <f t="shared" si="0"/>
        <v>35</v>
      </c>
      <c r="AN2" s="12">
        <f t="shared" si="0"/>
        <v>36</v>
      </c>
      <c r="AO2" s="12">
        <f t="shared" si="0"/>
        <v>37</v>
      </c>
      <c r="AP2" s="12">
        <f t="shared" si="0"/>
        <v>38</v>
      </c>
      <c r="AQ2" s="12">
        <f t="shared" si="0"/>
        <v>39</v>
      </c>
      <c r="AR2" s="12">
        <f t="shared" si="0"/>
        <v>40</v>
      </c>
    </row>
    <row r="3" spans="2:44" ht="10.8" customHeight="1" x14ac:dyDescent="0.15">
      <c r="B3" s="2" t="s">
        <v>193</v>
      </c>
      <c r="E3" s="2" t="s">
        <v>161</v>
      </c>
      <c r="F3" s="2" t="s">
        <v>162</v>
      </c>
      <c r="G3" s="2" t="s">
        <v>163</v>
      </c>
      <c r="H3" s="2" t="s">
        <v>164</v>
      </c>
      <c r="I3" s="2" t="s">
        <v>165</v>
      </c>
      <c r="J3" s="2" t="s">
        <v>173</v>
      </c>
      <c r="K3" s="2" t="s">
        <v>167</v>
      </c>
      <c r="L3" s="2" t="s">
        <v>164</v>
      </c>
      <c r="M3" s="2" t="s">
        <v>196</v>
      </c>
      <c r="N3" s="2" t="s">
        <v>168</v>
      </c>
      <c r="O3" s="2" t="s">
        <v>169</v>
      </c>
      <c r="P3" s="2" t="s">
        <v>170</v>
      </c>
      <c r="Q3" s="2" t="s">
        <v>171</v>
      </c>
      <c r="R3" s="2" t="s">
        <v>165</v>
      </c>
      <c r="S3" s="2" t="s">
        <v>174</v>
      </c>
      <c r="T3" s="2" t="s">
        <v>196</v>
      </c>
      <c r="U3" s="2" t="s">
        <v>172</v>
      </c>
      <c r="V3" s="2" t="s">
        <v>166</v>
      </c>
      <c r="W3" s="2" t="s">
        <v>196</v>
      </c>
      <c r="X3" s="2" t="s">
        <v>166</v>
      </c>
      <c r="Y3" s="2" t="s">
        <v>163</v>
      </c>
      <c r="Z3" s="2" t="s">
        <v>167</v>
      </c>
      <c r="AA3" s="2" t="s">
        <v>165</v>
      </c>
      <c r="AB3" s="2">
        <v>1</v>
      </c>
      <c r="AC3" s="2">
        <v>2</v>
      </c>
      <c r="AD3" s="2" t="s">
        <v>196</v>
      </c>
      <c r="AE3" s="2" t="s">
        <v>172</v>
      </c>
      <c r="AF3" s="2" t="s">
        <v>166</v>
      </c>
      <c r="AG3" s="2" t="s">
        <v>166</v>
      </c>
      <c r="AH3" s="2" t="s">
        <v>169</v>
      </c>
      <c r="AI3" s="2" t="s">
        <v>164</v>
      </c>
      <c r="AJ3" s="2" t="s">
        <v>165</v>
      </c>
      <c r="AK3" s="2" t="s">
        <v>173</v>
      </c>
      <c r="AL3" s="2" t="s">
        <v>173</v>
      </c>
      <c r="AM3" s="2" t="s">
        <v>173</v>
      </c>
      <c r="AN3" s="2" t="s">
        <v>196</v>
      </c>
      <c r="AO3" s="2" t="s">
        <v>162</v>
      </c>
      <c r="AP3" s="2" t="s">
        <v>175</v>
      </c>
      <c r="AQ3" s="2" t="s">
        <v>161</v>
      </c>
      <c r="AR3" s="2" t="s">
        <v>165</v>
      </c>
    </row>
    <row r="4" spans="2:44" ht="10.8" customHeight="1" x14ac:dyDescent="0.15">
      <c r="B4" s="2">
        <v>1</v>
      </c>
      <c r="C4" s="2" t="s">
        <v>176</v>
      </c>
      <c r="D4" s="2" t="s">
        <v>222</v>
      </c>
      <c r="E4" s="12">
        <v>1</v>
      </c>
      <c r="F4" s="12">
        <v>1</v>
      </c>
      <c r="G4" s="12">
        <v>1</v>
      </c>
      <c r="H4" s="12">
        <v>1</v>
      </c>
      <c r="I4" s="12">
        <v>3</v>
      </c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</row>
    <row r="5" spans="2:44" ht="10.8" customHeight="1" x14ac:dyDescent="0.15">
      <c r="B5" s="2">
        <v>2</v>
      </c>
      <c r="C5" s="2" t="s">
        <v>177</v>
      </c>
      <c r="D5" s="2" t="s">
        <v>222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</row>
    <row r="6" spans="2:44" ht="10.8" customHeight="1" x14ac:dyDescent="0.15">
      <c r="B6" s="2">
        <v>3</v>
      </c>
      <c r="C6" s="2" t="s">
        <v>178</v>
      </c>
      <c r="D6" s="2" t="s">
        <v>222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</row>
    <row r="7" spans="2:44" ht="10.8" customHeight="1" x14ac:dyDescent="0.15">
      <c r="B7" s="2">
        <v>4</v>
      </c>
      <c r="C7" s="2" t="s">
        <v>182</v>
      </c>
      <c r="D7" s="2" t="s">
        <v>222</v>
      </c>
      <c r="E7" s="12">
        <v>0</v>
      </c>
      <c r="F7" s="12">
        <v>0</v>
      </c>
      <c r="G7" s="12">
        <v>0</v>
      </c>
      <c r="H7" s="12">
        <v>0</v>
      </c>
      <c r="I7" s="12">
        <v>0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</row>
    <row r="8" spans="2:44" ht="10.8" customHeight="1" x14ac:dyDescent="0.15">
      <c r="B8" s="2">
        <v>5</v>
      </c>
      <c r="C8" s="2" t="s">
        <v>179</v>
      </c>
      <c r="D8" s="2" t="s">
        <v>222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</row>
    <row r="9" spans="2:44" ht="10.8" customHeight="1" x14ac:dyDescent="0.15">
      <c r="B9" s="2">
        <v>6</v>
      </c>
      <c r="C9" s="2" t="s">
        <v>180</v>
      </c>
      <c r="D9" s="2" t="s">
        <v>222</v>
      </c>
      <c r="E9" s="12">
        <v>0</v>
      </c>
      <c r="F9" s="12">
        <v>1</v>
      </c>
      <c r="G9" s="12">
        <v>0</v>
      </c>
      <c r="H9" s="12">
        <v>0</v>
      </c>
      <c r="I9" s="12">
        <v>0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</row>
    <row r="10" spans="2:44" ht="10.8" customHeight="1" x14ac:dyDescent="0.15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</row>
    <row r="11" spans="2:44" ht="10.8" customHeight="1" x14ac:dyDescent="0.15">
      <c r="B11" s="2">
        <v>1</v>
      </c>
      <c r="C11" s="2" t="s">
        <v>176</v>
      </c>
      <c r="D11" s="2" t="s">
        <v>224</v>
      </c>
      <c r="E11" s="12">
        <v>1</v>
      </c>
      <c r="F11" s="12">
        <v>2</v>
      </c>
      <c r="G11" s="12">
        <v>3</v>
      </c>
      <c r="H11" s="12">
        <v>4</v>
      </c>
      <c r="I11" s="12">
        <v>5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</row>
    <row r="12" spans="2:44" ht="10.8" customHeight="1" x14ac:dyDescent="0.15">
      <c r="B12" s="2">
        <v>2</v>
      </c>
      <c r="C12" s="2" t="s">
        <v>177</v>
      </c>
      <c r="D12" s="2" t="s">
        <v>224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</row>
    <row r="13" spans="2:44" ht="10.8" customHeight="1" x14ac:dyDescent="0.15">
      <c r="B13" s="2">
        <v>3</v>
      </c>
      <c r="C13" s="2" t="s">
        <v>178</v>
      </c>
      <c r="D13" s="2" t="s">
        <v>224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</row>
    <row r="14" spans="2:44" ht="10.8" customHeight="1" x14ac:dyDescent="0.15">
      <c r="B14" s="2">
        <v>4</v>
      </c>
      <c r="C14" s="2" t="s">
        <v>182</v>
      </c>
      <c r="D14" s="2" t="s">
        <v>224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</row>
    <row r="15" spans="2:44" ht="10.8" customHeight="1" x14ac:dyDescent="0.15">
      <c r="B15" s="2">
        <v>5</v>
      </c>
      <c r="C15" s="2" t="s">
        <v>179</v>
      </c>
      <c r="D15" s="2" t="s">
        <v>224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</row>
    <row r="16" spans="2:44" ht="10.8" customHeight="1" x14ac:dyDescent="0.15">
      <c r="B16" s="2">
        <v>6</v>
      </c>
      <c r="C16" s="2" t="s">
        <v>180</v>
      </c>
      <c r="D16" s="2" t="s">
        <v>224</v>
      </c>
      <c r="E16" s="12">
        <v>0</v>
      </c>
      <c r="F16" s="12">
        <v>1</v>
      </c>
      <c r="G16" s="12">
        <v>0</v>
      </c>
      <c r="H16" s="12">
        <v>0</v>
      </c>
      <c r="I16" s="12">
        <v>0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</row>
    <row r="17" spans="4:44" ht="10.8" customHeight="1" x14ac:dyDescent="0.15"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</row>
    <row r="18" spans="4:44" ht="10.8" customHeight="1" x14ac:dyDescent="0.15"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</row>
    <row r="19" spans="4:44" ht="10.8" customHeight="1" x14ac:dyDescent="0.15">
      <c r="D19" s="2" t="s">
        <v>207</v>
      </c>
      <c r="E19" s="12">
        <v>0</v>
      </c>
      <c r="F19" s="12" t="s">
        <v>212</v>
      </c>
      <c r="G19" s="12" t="s">
        <v>212</v>
      </c>
      <c r="H19" s="12" t="s">
        <v>212</v>
      </c>
      <c r="I19" s="12">
        <v>1</v>
      </c>
      <c r="J19" s="12" t="s">
        <v>212</v>
      </c>
      <c r="K19" s="12" t="s">
        <v>212</v>
      </c>
      <c r="L19" s="12" t="s">
        <v>212</v>
      </c>
      <c r="M19" s="12" t="s">
        <v>212</v>
      </c>
      <c r="N19" s="12" t="s">
        <v>212</v>
      </c>
      <c r="O19" s="12" t="s">
        <v>212</v>
      </c>
      <c r="P19" s="12" t="s">
        <v>212</v>
      </c>
      <c r="Q19" s="12" t="s">
        <v>212</v>
      </c>
      <c r="R19" s="12">
        <v>3</v>
      </c>
      <c r="S19" s="12" t="s">
        <v>212</v>
      </c>
      <c r="T19" s="12" t="s">
        <v>212</v>
      </c>
      <c r="U19" s="12" t="s">
        <v>212</v>
      </c>
      <c r="V19" s="12" t="s">
        <v>212</v>
      </c>
      <c r="W19" s="12" t="s">
        <v>212</v>
      </c>
      <c r="X19" s="12" t="s">
        <v>212</v>
      </c>
      <c r="Y19" s="12" t="s">
        <v>212</v>
      </c>
      <c r="Z19" s="12" t="s">
        <v>212</v>
      </c>
      <c r="AA19" s="12">
        <v>2</v>
      </c>
      <c r="AB19" s="12" t="s">
        <v>212</v>
      </c>
      <c r="AC19" s="12" t="s">
        <v>212</v>
      </c>
      <c r="AD19" s="12" t="s">
        <v>212</v>
      </c>
      <c r="AE19" s="12" t="s">
        <v>212</v>
      </c>
      <c r="AF19" s="12" t="s">
        <v>212</v>
      </c>
      <c r="AG19" s="12" t="s">
        <v>212</v>
      </c>
      <c r="AH19" s="12" t="s">
        <v>212</v>
      </c>
      <c r="AI19" s="12" t="s">
        <v>212</v>
      </c>
      <c r="AJ19" s="12">
        <v>5</v>
      </c>
      <c r="AK19" s="12" t="s">
        <v>212</v>
      </c>
      <c r="AL19" s="12" t="s">
        <v>212</v>
      </c>
      <c r="AM19" s="12" t="s">
        <v>212</v>
      </c>
      <c r="AN19" s="12" t="s">
        <v>212</v>
      </c>
      <c r="AO19" s="12" t="s">
        <v>212</v>
      </c>
      <c r="AP19" s="12" t="s">
        <v>212</v>
      </c>
      <c r="AQ19" s="12" t="s">
        <v>212</v>
      </c>
      <c r="AR19" s="12" t="s">
        <v>212</v>
      </c>
    </row>
    <row r="20" spans="4:44" ht="10.8" customHeight="1" x14ac:dyDescent="0.15">
      <c r="D20" s="2" t="s">
        <v>220</v>
      </c>
      <c r="E20" s="12">
        <v>0</v>
      </c>
      <c r="F20" s="12" t="s">
        <v>212</v>
      </c>
      <c r="G20" s="12" t="s">
        <v>212</v>
      </c>
      <c r="H20" s="12" t="s">
        <v>212</v>
      </c>
      <c r="I20" s="12" t="s">
        <v>212</v>
      </c>
      <c r="J20" s="12" t="s">
        <v>212</v>
      </c>
      <c r="K20" s="12" t="s">
        <v>212</v>
      </c>
      <c r="L20" s="12" t="s">
        <v>212</v>
      </c>
      <c r="M20" s="12" t="s">
        <v>212</v>
      </c>
      <c r="N20" s="12" t="s">
        <v>212</v>
      </c>
      <c r="O20" s="12" t="s">
        <v>212</v>
      </c>
      <c r="P20" s="12" t="s">
        <v>212</v>
      </c>
      <c r="Q20" s="12" t="s">
        <v>212</v>
      </c>
      <c r="R20" s="12">
        <v>1</v>
      </c>
      <c r="S20" s="12" t="s">
        <v>212</v>
      </c>
      <c r="T20" s="12" t="s">
        <v>212</v>
      </c>
      <c r="U20" s="12" t="s">
        <v>212</v>
      </c>
      <c r="V20" s="12" t="s">
        <v>212</v>
      </c>
      <c r="W20" s="12" t="s">
        <v>212</v>
      </c>
      <c r="X20" s="12" t="s">
        <v>212</v>
      </c>
      <c r="Y20" s="12" t="s">
        <v>212</v>
      </c>
      <c r="Z20" s="12" t="s">
        <v>212</v>
      </c>
      <c r="AA20" s="12">
        <v>3</v>
      </c>
      <c r="AB20" s="12" t="s">
        <v>212</v>
      </c>
      <c r="AC20" s="12" t="s">
        <v>212</v>
      </c>
      <c r="AD20" s="12" t="s">
        <v>212</v>
      </c>
      <c r="AE20" s="12" t="s">
        <v>212</v>
      </c>
      <c r="AF20" s="12" t="s">
        <v>212</v>
      </c>
      <c r="AG20" s="12" t="s">
        <v>212</v>
      </c>
      <c r="AH20" s="12" t="s">
        <v>212</v>
      </c>
      <c r="AI20" s="12" t="s">
        <v>212</v>
      </c>
      <c r="AJ20" s="12">
        <v>2</v>
      </c>
      <c r="AK20" s="12" t="s">
        <v>212</v>
      </c>
      <c r="AL20" s="12" t="s">
        <v>212</v>
      </c>
      <c r="AM20" s="12" t="s">
        <v>212</v>
      </c>
      <c r="AN20" s="12" t="s">
        <v>212</v>
      </c>
      <c r="AO20" s="12" t="s">
        <v>212</v>
      </c>
      <c r="AP20" s="12" t="s">
        <v>212</v>
      </c>
      <c r="AQ20" s="12" t="s">
        <v>212</v>
      </c>
      <c r="AR20" s="12" t="s">
        <v>212</v>
      </c>
    </row>
    <row r="21" spans="4:44" ht="10.8" customHeight="1" x14ac:dyDescent="0.15">
      <c r="D21" s="2" t="s">
        <v>221</v>
      </c>
      <c r="E21" s="12">
        <v>0</v>
      </c>
      <c r="F21" s="12" t="s">
        <v>212</v>
      </c>
      <c r="G21" s="12" t="s">
        <v>212</v>
      </c>
      <c r="H21" s="12" t="s">
        <v>212</v>
      </c>
      <c r="I21" s="12">
        <v>6</v>
      </c>
      <c r="J21" s="12" t="s">
        <v>212</v>
      </c>
      <c r="K21" s="12" t="s">
        <v>212</v>
      </c>
      <c r="L21" s="12" t="s">
        <v>212</v>
      </c>
      <c r="M21" s="12" t="s">
        <v>212</v>
      </c>
      <c r="N21" s="12" t="s">
        <v>212</v>
      </c>
      <c r="O21" s="12" t="s">
        <v>212</v>
      </c>
      <c r="P21" s="12" t="s">
        <v>212</v>
      </c>
      <c r="Q21" s="12" t="s">
        <v>212</v>
      </c>
      <c r="R21" s="12">
        <v>15</v>
      </c>
      <c r="S21" s="12" t="s">
        <v>212</v>
      </c>
      <c r="T21" s="12" t="s">
        <v>212</v>
      </c>
      <c r="U21" s="12" t="s">
        <v>212</v>
      </c>
      <c r="V21" s="12" t="s">
        <v>212</v>
      </c>
      <c r="W21" s="12" t="s">
        <v>212</v>
      </c>
      <c r="X21" s="12" t="s">
        <v>212</v>
      </c>
      <c r="Y21" s="12" t="s">
        <v>212</v>
      </c>
      <c r="Z21" s="12" t="s">
        <v>212</v>
      </c>
      <c r="AA21" s="12">
        <v>24</v>
      </c>
      <c r="AB21" s="12" t="s">
        <v>212</v>
      </c>
      <c r="AC21" s="12" t="s">
        <v>212</v>
      </c>
      <c r="AD21" s="12" t="s">
        <v>212</v>
      </c>
      <c r="AE21" s="12" t="s">
        <v>212</v>
      </c>
      <c r="AF21" s="12" t="s">
        <v>212</v>
      </c>
      <c r="AG21" s="12" t="s">
        <v>212</v>
      </c>
      <c r="AH21" s="12" t="s">
        <v>212</v>
      </c>
      <c r="AI21" s="12" t="s">
        <v>212</v>
      </c>
      <c r="AJ21" s="12">
        <v>33</v>
      </c>
      <c r="AK21" s="12" t="s">
        <v>212</v>
      </c>
      <c r="AL21" s="12" t="s">
        <v>212</v>
      </c>
      <c r="AM21" s="12" t="s">
        <v>212</v>
      </c>
      <c r="AN21" s="12" t="s">
        <v>212</v>
      </c>
      <c r="AO21" s="12" t="s">
        <v>212</v>
      </c>
      <c r="AP21" s="12" t="s">
        <v>212</v>
      </c>
      <c r="AQ21" s="12" t="s">
        <v>212</v>
      </c>
      <c r="AR21" s="12">
        <v>41</v>
      </c>
    </row>
    <row r="23" spans="4:44" ht="10.8" customHeight="1" x14ac:dyDescent="0.15">
      <c r="E23" s="2" t="s">
        <v>161</v>
      </c>
      <c r="F23" s="2" t="s">
        <v>162</v>
      </c>
      <c r="G23" s="2" t="s">
        <v>163</v>
      </c>
      <c r="H23" s="2" t="s">
        <v>164</v>
      </c>
      <c r="I23" s="2" t="s">
        <v>165</v>
      </c>
      <c r="J23" s="11" t="s">
        <v>173</v>
      </c>
      <c r="K23" s="11" t="s">
        <v>167</v>
      </c>
      <c r="L23" s="11" t="s">
        <v>164</v>
      </c>
      <c r="M23" s="11" t="s">
        <v>196</v>
      </c>
      <c r="N23" s="2" t="s">
        <v>168</v>
      </c>
      <c r="O23" s="2" t="s">
        <v>169</v>
      </c>
      <c r="P23" s="2" t="s">
        <v>170</v>
      </c>
      <c r="Q23" s="2" t="s">
        <v>171</v>
      </c>
      <c r="R23" s="2" t="s">
        <v>165</v>
      </c>
    </row>
    <row r="24" spans="4:44" ht="10.8" customHeight="1" x14ac:dyDescent="0.15">
      <c r="N24" s="2" t="s">
        <v>168</v>
      </c>
      <c r="O24" s="2" t="s">
        <v>169</v>
      </c>
      <c r="P24" s="2" t="s">
        <v>170</v>
      </c>
      <c r="Q24" s="2" t="s">
        <v>171</v>
      </c>
      <c r="R24" s="2" t="s">
        <v>165</v>
      </c>
      <c r="S24" s="11" t="s">
        <v>174</v>
      </c>
      <c r="T24" s="11" t="s">
        <v>196</v>
      </c>
      <c r="U24" s="11" t="s">
        <v>172</v>
      </c>
      <c r="V24" s="11" t="s">
        <v>166</v>
      </c>
      <c r="W24" s="11" t="s">
        <v>196</v>
      </c>
      <c r="X24" s="2" t="s">
        <v>166</v>
      </c>
      <c r="Y24" s="2" t="s">
        <v>163</v>
      </c>
      <c r="Z24" s="2" t="s">
        <v>167</v>
      </c>
      <c r="AA24" s="2" t="s">
        <v>165</v>
      </c>
    </row>
    <row r="25" spans="4:44" s="3" customFormat="1" ht="10.8" customHeight="1" x14ac:dyDescent="0.15">
      <c r="X25" s="3" t="s">
        <v>166</v>
      </c>
      <c r="Y25" s="3" t="s">
        <v>163</v>
      </c>
      <c r="Z25" s="3" t="s">
        <v>167</v>
      </c>
      <c r="AA25" s="3" t="s">
        <v>165</v>
      </c>
      <c r="AB25" s="11">
        <v>1</v>
      </c>
      <c r="AC25" s="11">
        <v>2</v>
      </c>
      <c r="AD25" s="11" t="s">
        <v>196</v>
      </c>
      <c r="AE25" s="3" t="s">
        <v>172</v>
      </c>
      <c r="AF25" s="3" t="s">
        <v>166</v>
      </c>
      <c r="AG25" s="3" t="s">
        <v>166</v>
      </c>
      <c r="AH25" s="3" t="s">
        <v>169</v>
      </c>
      <c r="AI25" s="3" t="s">
        <v>164</v>
      </c>
      <c r="AJ25" s="3" t="s">
        <v>165</v>
      </c>
    </row>
    <row r="26" spans="4:44" ht="10.8" customHeight="1" x14ac:dyDescent="0.15">
      <c r="AE26" s="2" t="s">
        <v>172</v>
      </c>
      <c r="AF26" s="2" t="s">
        <v>166</v>
      </c>
      <c r="AG26" s="2" t="s">
        <v>166</v>
      </c>
      <c r="AH26" s="2" t="s">
        <v>169</v>
      </c>
      <c r="AI26" s="2" t="s">
        <v>164</v>
      </c>
      <c r="AJ26" s="2" t="s">
        <v>165</v>
      </c>
      <c r="AK26" s="11" t="s">
        <v>173</v>
      </c>
      <c r="AL26" s="11" t="s">
        <v>173</v>
      </c>
      <c r="AM26" s="11" t="s">
        <v>173</v>
      </c>
      <c r="AN26" s="11" t="s">
        <v>196</v>
      </c>
      <c r="AO26" s="2" t="s">
        <v>162</v>
      </c>
      <c r="AP26" s="2" t="s">
        <v>175</v>
      </c>
      <c r="AQ26" s="2" t="s">
        <v>161</v>
      </c>
      <c r="AR26" s="2" t="s">
        <v>165</v>
      </c>
    </row>
    <row r="28" spans="4:44" ht="10.8" customHeight="1" x14ac:dyDescent="0.15">
      <c r="I28" s="2" t="s">
        <v>233</v>
      </c>
    </row>
    <row r="29" spans="4:44" ht="10.8" customHeight="1" x14ac:dyDescent="0.15">
      <c r="I29" s="2" t="s">
        <v>234</v>
      </c>
    </row>
    <row r="30" spans="4:44" ht="10.8" customHeight="1" x14ac:dyDescent="0.15">
      <c r="I30" s="2" t="s">
        <v>235</v>
      </c>
    </row>
    <row r="35" spans="11:15" ht="10.8" customHeight="1" x14ac:dyDescent="0.15">
      <c r="K35" s="2" t="s">
        <v>210</v>
      </c>
    </row>
    <row r="36" spans="11:15" ht="10.8" customHeight="1" x14ac:dyDescent="0.15">
      <c r="K36" s="2" t="s">
        <v>229</v>
      </c>
    </row>
    <row r="37" spans="11:15" ht="10.8" customHeight="1" x14ac:dyDescent="0.15">
      <c r="K37" s="2" t="s">
        <v>211</v>
      </c>
    </row>
    <row r="38" spans="11:15" ht="10.8" customHeight="1" x14ac:dyDescent="0.15">
      <c r="L38" s="2" t="s">
        <v>219</v>
      </c>
    </row>
    <row r="39" spans="11:15" ht="10.8" customHeight="1" x14ac:dyDescent="0.15">
      <c r="L39" s="2" t="s">
        <v>206</v>
      </c>
    </row>
    <row r="40" spans="11:15" ht="10.8" customHeight="1" x14ac:dyDescent="0.15">
      <c r="M40" s="2" t="s">
        <v>230</v>
      </c>
    </row>
    <row r="41" spans="11:15" ht="10.8" customHeight="1" x14ac:dyDescent="0.15">
      <c r="N41" s="2" t="s">
        <v>226</v>
      </c>
    </row>
    <row r="42" spans="11:15" ht="10.8" customHeight="1" x14ac:dyDescent="0.15">
      <c r="N42" s="2" t="s">
        <v>225</v>
      </c>
    </row>
    <row r="43" spans="11:15" ht="10.8" customHeight="1" x14ac:dyDescent="0.15">
      <c r="O43" s="2" t="s">
        <v>213</v>
      </c>
    </row>
    <row r="44" spans="11:15" ht="10.8" customHeight="1" x14ac:dyDescent="0.15">
      <c r="M44" s="2" t="s">
        <v>199</v>
      </c>
    </row>
    <row r="45" spans="11:15" ht="10.8" customHeight="1" x14ac:dyDescent="0.15">
      <c r="N45" s="2" t="s">
        <v>227</v>
      </c>
    </row>
    <row r="47" spans="11:15" ht="10.8" customHeight="1" x14ac:dyDescent="0.15">
      <c r="M47" s="2" t="s">
        <v>208</v>
      </c>
    </row>
    <row r="48" spans="11:15" ht="10.8" customHeight="1" x14ac:dyDescent="0.15">
      <c r="N48" s="2" t="s">
        <v>209</v>
      </c>
    </row>
    <row r="50" spans="12:14" ht="10.8" customHeight="1" x14ac:dyDescent="0.15">
      <c r="L50" s="2" t="s">
        <v>232</v>
      </c>
    </row>
    <row r="51" spans="12:14" ht="10.8" customHeight="1" x14ac:dyDescent="0.15">
      <c r="L51" s="2" t="s">
        <v>215</v>
      </c>
    </row>
    <row r="52" spans="12:14" ht="10.8" customHeight="1" x14ac:dyDescent="0.15">
      <c r="M52" s="2" t="s">
        <v>217</v>
      </c>
    </row>
    <row r="53" spans="12:14" ht="10.8" customHeight="1" x14ac:dyDescent="0.15">
      <c r="N53" s="2" t="s">
        <v>231</v>
      </c>
    </row>
    <row r="54" spans="12:14" ht="10.8" customHeight="1" x14ac:dyDescent="0.15">
      <c r="M54" s="2" t="s">
        <v>223</v>
      </c>
    </row>
    <row r="55" spans="12:14" ht="10.8" customHeight="1" x14ac:dyDescent="0.15">
      <c r="M55" s="2" t="s">
        <v>228</v>
      </c>
    </row>
    <row r="56" spans="12:14" ht="10.8" customHeight="1" x14ac:dyDescent="0.15">
      <c r="M56" s="2" t="s">
        <v>205</v>
      </c>
    </row>
    <row r="57" spans="12:14" ht="10.8" customHeight="1" x14ac:dyDescent="0.15">
      <c r="M57" s="2" t="s">
        <v>218</v>
      </c>
    </row>
    <row r="58" spans="12:14" ht="10.8" customHeight="1" x14ac:dyDescent="0.15">
      <c r="L58" s="2" t="s">
        <v>214</v>
      </c>
    </row>
    <row r="59" spans="12:14" ht="10.8" customHeight="1" x14ac:dyDescent="0.15">
      <c r="M59" s="2" t="s">
        <v>216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EF25A-390A-461C-A388-E47FCCF27734}">
  <sheetPr codeName="Sheet7"/>
  <dimension ref="A1:I3"/>
  <sheetViews>
    <sheetView tabSelected="1" workbookViewId="0">
      <selection activeCell="B3" sqref="B3"/>
    </sheetView>
  </sheetViews>
  <sheetFormatPr defaultRowHeight="10.8" x14ac:dyDescent="0.15"/>
  <cols>
    <col min="1" max="1" width="45" bestFit="1" customWidth="1"/>
  </cols>
  <sheetData>
    <row r="1" spans="1:9" x14ac:dyDescent="0.15">
      <c r="A1" s="10" t="s">
        <v>201</v>
      </c>
      <c r="B1" s="10" t="s">
        <v>176</v>
      </c>
      <c r="C1" s="10" t="s">
        <v>177</v>
      </c>
      <c r="D1" s="10" t="s">
        <v>178</v>
      </c>
      <c r="E1" s="10" t="s">
        <v>181</v>
      </c>
      <c r="F1" s="10" t="s">
        <v>179</v>
      </c>
      <c r="G1" s="10" t="s">
        <v>202</v>
      </c>
      <c r="H1" s="10" t="s">
        <v>203</v>
      </c>
      <c r="I1" s="10" t="s">
        <v>180</v>
      </c>
    </row>
    <row r="2" spans="1:9" x14ac:dyDescent="0.15">
      <c r="A2" s="2" t="s">
        <v>197</v>
      </c>
    </row>
    <row r="3" spans="1:9" x14ac:dyDescent="0.15">
      <c r="A3" s="2" t="s">
        <v>204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5E1C0-229D-4964-9A68-5CD352F0AD20}">
  <sheetPr codeName="Sheet1"/>
  <dimension ref="B10:O32"/>
  <sheetViews>
    <sheetView workbookViewId="0">
      <selection activeCell="K33" sqref="K33"/>
    </sheetView>
  </sheetViews>
  <sheetFormatPr defaultColWidth="1.875" defaultRowHeight="10.8" customHeight="1" x14ac:dyDescent="0.15"/>
  <cols>
    <col min="1" max="10" width="1.875" style="2"/>
    <col min="11" max="11" width="18.375" style="2" bestFit="1" customWidth="1"/>
    <col min="12" max="12" width="3.5" style="2" bestFit="1" customWidth="1"/>
    <col min="13" max="13" width="1.875" style="2"/>
    <col min="14" max="14" width="7.5" style="2" bestFit="1" customWidth="1"/>
    <col min="15" max="15" width="2.5" style="2" bestFit="1" customWidth="1"/>
    <col min="16" max="16384" width="1.875" style="2"/>
  </cols>
  <sheetData>
    <row r="10" spans="2:4" ht="10.8" customHeight="1" x14ac:dyDescent="0.15">
      <c r="B10" s="2" t="s">
        <v>151</v>
      </c>
    </row>
    <row r="14" spans="2:4" ht="10.8" customHeight="1" x14ac:dyDescent="0.15">
      <c r="B14" s="2" t="s">
        <v>150</v>
      </c>
    </row>
    <row r="15" spans="2:4" ht="10.8" customHeight="1" x14ac:dyDescent="0.15">
      <c r="C15" s="2" t="s">
        <v>146</v>
      </c>
    </row>
    <row r="16" spans="2:4" ht="10.8" customHeight="1" x14ac:dyDescent="0.15">
      <c r="D16" s="2" t="s">
        <v>145</v>
      </c>
    </row>
    <row r="17" spans="5:15" ht="10.8" customHeight="1" x14ac:dyDescent="0.15">
      <c r="E17" s="2" t="s">
        <v>147</v>
      </c>
    </row>
    <row r="18" spans="5:15" ht="10.8" customHeight="1" x14ac:dyDescent="0.15">
      <c r="E18" s="2" t="s">
        <v>148</v>
      </c>
    </row>
    <row r="19" spans="5:15" ht="10.8" customHeight="1" x14ac:dyDescent="0.15">
      <c r="E19" s="2" t="s">
        <v>149</v>
      </c>
    </row>
    <row r="20" spans="5:15" ht="10.8" customHeight="1" x14ac:dyDescent="0.15">
      <c r="E20" s="2" t="s">
        <v>152</v>
      </c>
    </row>
    <row r="24" spans="5:15" ht="10.8" customHeight="1" x14ac:dyDescent="0.15">
      <c r="K24" s="2" t="s">
        <v>157</v>
      </c>
    </row>
    <row r="25" spans="5:15" ht="10.8" customHeight="1" x14ac:dyDescent="0.15">
      <c r="K25" s="2" t="s">
        <v>153</v>
      </c>
      <c r="L25" s="2">
        <f t="shared" ref="L25:L32" si="0">LENB(K25)</f>
        <v>4</v>
      </c>
      <c r="N25" s="2">
        <f>[1]!CalcPaddingWidth(L25, MAX($L:$L), 8)</f>
        <v>12</v>
      </c>
      <c r="O25" s="2">
        <f>[1]!CalcPaddingTabWidth(L25, MAX($L:$L), 8)</f>
        <v>2</v>
      </c>
    </row>
    <row r="26" spans="5:15" ht="10.8" customHeight="1" x14ac:dyDescent="0.15">
      <c r="K26" s="2" t="s">
        <v>154</v>
      </c>
      <c r="L26" s="2">
        <f t="shared" si="0"/>
        <v>6</v>
      </c>
      <c r="N26" s="2">
        <f>[1]!CalcPaddingWidth(L26, MAX($L:$L), 8)</f>
        <v>10</v>
      </c>
      <c r="O26" s="2">
        <f>[1]!CalcPaddingTabWidth(L26, MAX($L:$L), 8)</f>
        <v>2</v>
      </c>
    </row>
    <row r="27" spans="5:15" ht="10.8" customHeight="1" x14ac:dyDescent="0.15">
      <c r="L27" s="2">
        <f t="shared" si="0"/>
        <v>0</v>
      </c>
      <c r="N27" s="2">
        <f>[1]!CalcPaddingWidth(L27, MAX($L:$L), 8)</f>
        <v>16</v>
      </c>
      <c r="O27" s="2">
        <f>[1]!CalcPaddingTabWidth(L27, MAX($L:$L), 8)</f>
        <v>2</v>
      </c>
    </row>
    <row r="28" spans="5:15" ht="10.8" customHeight="1" x14ac:dyDescent="0.15">
      <c r="K28" s="2" t="s">
        <v>155</v>
      </c>
      <c r="L28" s="2">
        <f t="shared" si="0"/>
        <v>5</v>
      </c>
      <c r="N28" s="2">
        <f>[1]!CalcPaddingWidth(L28, MAX($L:$L), 8)</f>
        <v>11</v>
      </c>
      <c r="O28" s="2">
        <f>[1]!CalcPaddingTabWidth(L28, MAX($L:$L), 8)</f>
        <v>2</v>
      </c>
    </row>
    <row r="29" spans="5:15" ht="10.8" customHeight="1" x14ac:dyDescent="0.15">
      <c r="K29" s="2" t="s">
        <v>156</v>
      </c>
      <c r="L29" s="2">
        <f t="shared" si="0"/>
        <v>10</v>
      </c>
      <c r="N29" s="2">
        <f>[1]!CalcPaddingWidth(L29, MAX($L:$L), 8)</f>
        <v>6</v>
      </c>
      <c r="O29" s="2">
        <f>[1]!CalcPaddingTabWidth(L29, MAX($L:$L), 8)</f>
        <v>1</v>
      </c>
    </row>
    <row r="30" spans="5:15" ht="10.8" customHeight="1" x14ac:dyDescent="0.15">
      <c r="K30" s="2" t="s">
        <v>160</v>
      </c>
      <c r="L30" s="2">
        <f t="shared" si="0"/>
        <v>9</v>
      </c>
      <c r="N30" s="2">
        <f>[1]!CalcPaddingWidth(L30, MAX($L:$L), 8)</f>
        <v>7</v>
      </c>
      <c r="O30" s="2">
        <f>[1]!CalcPaddingTabWidth(L30, MAX($L:$L), 8)</f>
        <v>1</v>
      </c>
    </row>
    <row r="31" spans="5:15" ht="10.8" customHeight="1" x14ac:dyDescent="0.15">
      <c r="K31" s="2" t="s">
        <v>158</v>
      </c>
      <c r="L31" s="2">
        <f t="shared" si="0"/>
        <v>8</v>
      </c>
      <c r="N31" s="2">
        <f>[1]!CalcPaddingWidth(L31, MAX($L:$L), 8)</f>
        <v>8</v>
      </c>
      <c r="O31" s="2">
        <f>[1]!CalcPaddingTabWidth(L31, MAX($L:$L), 8)</f>
        <v>1</v>
      </c>
    </row>
    <row r="32" spans="5:15" ht="10.8" customHeight="1" x14ac:dyDescent="0.15">
      <c r="K32" s="2" t="s">
        <v>159</v>
      </c>
      <c r="L32" s="2">
        <f t="shared" si="0"/>
        <v>7</v>
      </c>
      <c r="N32" s="2">
        <f>[1]!CalcPaddingWidth(L32, MAX($L:$L), 8)</f>
        <v>9</v>
      </c>
      <c r="O32" s="2">
        <f>[1]!CalcPaddingTabWidth(L32, MAX($L:$L), 8)</f>
        <v>2</v>
      </c>
    </row>
  </sheetData>
  <phoneticPr fontId="3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E12B-225A-4ABE-BAD8-43E80CEB2AE4}">
  <sheetPr codeName="Sheet3"/>
  <dimension ref="C9:BC21"/>
  <sheetViews>
    <sheetView showGridLines="0" zoomScale="130" zoomScaleNormal="130" workbookViewId="0">
      <selection activeCell="BA30" sqref="BA30"/>
    </sheetView>
  </sheetViews>
  <sheetFormatPr defaultColWidth="1.875" defaultRowHeight="10.8" customHeight="1" x14ac:dyDescent="0.15"/>
  <cols>
    <col min="1" max="52" width="1.875" style="2"/>
    <col min="53" max="53" width="9" style="2" bestFit="1" customWidth="1"/>
    <col min="54" max="54" width="21.375" style="2" customWidth="1"/>
    <col min="55" max="55" width="19.25" style="2" bestFit="1" customWidth="1"/>
    <col min="56" max="16384" width="1.875" style="2"/>
  </cols>
  <sheetData>
    <row r="9" spans="3:3" ht="10.8" customHeight="1" x14ac:dyDescent="0.15">
      <c r="C9" s="5"/>
    </row>
    <row r="18" spans="53:55" ht="10.8" customHeight="1" x14ac:dyDescent="0.15">
      <c r="BA18" s="6" t="s">
        <v>141</v>
      </c>
      <c r="BB18" s="6" t="s">
        <v>139</v>
      </c>
      <c r="BC18" s="6" t="s">
        <v>140</v>
      </c>
    </row>
    <row r="19" spans="53:55" ht="10.8" customHeight="1" x14ac:dyDescent="0.15">
      <c r="BA19" s="7">
        <v>43555</v>
      </c>
      <c r="BB19" s="8" t="s">
        <v>138</v>
      </c>
      <c r="BC19" s="8" t="s">
        <v>144</v>
      </c>
    </row>
    <row r="20" spans="53:55" x14ac:dyDescent="0.15">
      <c r="BA20" s="7">
        <v>43595</v>
      </c>
      <c r="BB20" s="8" t="s">
        <v>143</v>
      </c>
      <c r="BC20" s="8" t="s">
        <v>138</v>
      </c>
    </row>
    <row r="21" spans="53:55" ht="32.4" x14ac:dyDescent="0.15">
      <c r="BA21" s="7">
        <v>43595</v>
      </c>
      <c r="BB21" s="9" t="s">
        <v>142</v>
      </c>
      <c r="BC21" s="8"/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C9C92-EC6E-4954-9086-002AAA033186}">
  <sheetPr codeName="Sheet4"/>
  <dimension ref="B4:F63"/>
  <sheetViews>
    <sheetView workbookViewId="0">
      <selection activeCell="E8" sqref="E8"/>
    </sheetView>
  </sheetViews>
  <sheetFormatPr defaultRowHeight="10.8" x14ac:dyDescent="0.15"/>
  <cols>
    <col min="2" max="2" width="3.5" bestFit="1" customWidth="1"/>
    <col min="3" max="3" width="27.25" bestFit="1" customWidth="1"/>
    <col min="4" max="4" width="86" bestFit="1" customWidth="1"/>
    <col min="5" max="5" width="31.625" bestFit="1" customWidth="1"/>
  </cols>
  <sheetData>
    <row r="4" spans="2:6" x14ac:dyDescent="0.15">
      <c r="C4" t="s">
        <v>22</v>
      </c>
      <c r="D4" t="s">
        <v>79</v>
      </c>
      <c r="E4" t="s">
        <v>78</v>
      </c>
    </row>
    <row r="5" spans="2:6" x14ac:dyDescent="0.15">
      <c r="C5" t="s">
        <v>31</v>
      </c>
      <c r="D5" t="s">
        <v>32</v>
      </c>
    </row>
    <row r="6" spans="2:6" x14ac:dyDescent="0.15">
      <c r="B6" t="s">
        <v>33</v>
      </c>
      <c r="C6" t="s">
        <v>27</v>
      </c>
      <c r="D6" t="s">
        <v>28</v>
      </c>
      <c r="E6" t="s">
        <v>29</v>
      </c>
      <c r="F6" s="4" t="s">
        <v>124</v>
      </c>
    </row>
    <row r="7" spans="2:6" x14ac:dyDescent="0.15">
      <c r="B7" t="s">
        <v>33</v>
      </c>
      <c r="C7" t="s">
        <v>27</v>
      </c>
      <c r="D7" t="s">
        <v>30</v>
      </c>
      <c r="E7" t="s">
        <v>30</v>
      </c>
      <c r="F7" s="4" t="s">
        <v>130</v>
      </c>
    </row>
    <row r="8" spans="2:6" x14ac:dyDescent="0.15">
      <c r="B8" t="s">
        <v>33</v>
      </c>
      <c r="C8" t="s">
        <v>34</v>
      </c>
      <c r="D8" t="s">
        <v>35</v>
      </c>
      <c r="E8" t="s">
        <v>36</v>
      </c>
      <c r="F8" s="4" t="s">
        <v>128</v>
      </c>
    </row>
    <row r="9" spans="2:6" x14ac:dyDescent="0.15">
      <c r="B9" t="s">
        <v>33</v>
      </c>
      <c r="C9" t="s">
        <v>37</v>
      </c>
      <c r="D9" t="s">
        <v>38</v>
      </c>
      <c r="E9" t="s">
        <v>127</v>
      </c>
      <c r="F9" s="4" t="s">
        <v>126</v>
      </c>
    </row>
    <row r="10" spans="2:6" x14ac:dyDescent="0.15">
      <c r="B10" t="s">
        <v>33</v>
      </c>
      <c r="C10" t="s">
        <v>39</v>
      </c>
      <c r="D10" t="s">
        <v>125</v>
      </c>
      <c r="F10" s="4" t="s">
        <v>129</v>
      </c>
    </row>
    <row r="11" spans="2:6" x14ac:dyDescent="0.15">
      <c r="B11" t="s">
        <v>33</v>
      </c>
      <c r="C11" t="s">
        <v>39</v>
      </c>
      <c r="D11" t="s">
        <v>106</v>
      </c>
      <c r="F11" s="4" t="s">
        <v>136</v>
      </c>
    </row>
    <row r="12" spans="2:6" x14ac:dyDescent="0.15">
      <c r="B12" t="s">
        <v>33</v>
      </c>
      <c r="C12" t="s">
        <v>39</v>
      </c>
      <c r="D12" t="s">
        <v>112</v>
      </c>
      <c r="F12" s="4" t="s">
        <v>137</v>
      </c>
    </row>
    <row r="13" spans="2:6" x14ac:dyDescent="0.15">
      <c r="C13" t="s">
        <v>40</v>
      </c>
      <c r="D13" t="s">
        <v>41</v>
      </c>
      <c r="F13" s="4" t="s">
        <v>131</v>
      </c>
    </row>
    <row r="14" spans="2:6" x14ac:dyDescent="0.15">
      <c r="C14" t="s">
        <v>45</v>
      </c>
      <c r="D14" t="s">
        <v>46</v>
      </c>
      <c r="E14" t="s">
        <v>36</v>
      </c>
      <c r="F14" s="4" t="s">
        <v>128</v>
      </c>
    </row>
    <row r="15" spans="2:6" x14ac:dyDescent="0.15">
      <c r="C15" t="s">
        <v>45</v>
      </c>
      <c r="D15" t="s">
        <v>47</v>
      </c>
    </row>
    <row r="16" spans="2:6" x14ac:dyDescent="0.15">
      <c r="C16" t="s">
        <v>48</v>
      </c>
      <c r="D16" t="s">
        <v>49</v>
      </c>
    </row>
    <row r="17" spans="3:6" x14ac:dyDescent="0.15">
      <c r="C17" t="s">
        <v>50</v>
      </c>
      <c r="D17" t="s">
        <v>51</v>
      </c>
    </row>
    <row r="19" spans="3:6" x14ac:dyDescent="0.15">
      <c r="C19" t="s">
        <v>80</v>
      </c>
      <c r="D19" t="s">
        <v>81</v>
      </c>
      <c r="E19" t="s">
        <v>29</v>
      </c>
      <c r="F19" s="4" t="s">
        <v>124</v>
      </c>
    </row>
    <row r="20" spans="3:6" x14ac:dyDescent="0.15">
      <c r="C20" t="s">
        <v>83</v>
      </c>
      <c r="D20" t="s">
        <v>84</v>
      </c>
      <c r="E20" t="s">
        <v>29</v>
      </c>
      <c r="F20" s="4" t="s">
        <v>124</v>
      </c>
    </row>
    <row r="21" spans="3:6" x14ac:dyDescent="0.15">
      <c r="C21" t="s">
        <v>37</v>
      </c>
      <c r="D21" t="s">
        <v>133</v>
      </c>
      <c r="F21" s="4" t="s">
        <v>134</v>
      </c>
    </row>
    <row r="22" spans="3:6" x14ac:dyDescent="0.15">
      <c r="C22" t="s">
        <v>91</v>
      </c>
      <c r="D22" t="s">
        <v>92</v>
      </c>
    </row>
    <row r="23" spans="3:6" x14ac:dyDescent="0.15">
      <c r="C23" t="s">
        <v>93</v>
      </c>
      <c r="D23" t="s">
        <v>94</v>
      </c>
    </row>
    <row r="24" spans="3:6" x14ac:dyDescent="0.15">
      <c r="C24" t="s">
        <v>96</v>
      </c>
      <c r="D24" t="s">
        <v>132</v>
      </c>
    </row>
    <row r="25" spans="3:6" x14ac:dyDescent="0.15">
      <c r="C25" t="s">
        <v>135</v>
      </c>
      <c r="D25" t="s">
        <v>90</v>
      </c>
    </row>
    <row r="26" spans="3:6" x14ac:dyDescent="0.15">
      <c r="C26" t="s">
        <v>97</v>
      </c>
      <c r="D26" t="s">
        <v>98</v>
      </c>
    </row>
    <row r="27" spans="3:6" x14ac:dyDescent="0.15">
      <c r="C27" t="s">
        <v>99</v>
      </c>
      <c r="D27" t="s">
        <v>100</v>
      </c>
    </row>
    <row r="28" spans="3:6" x14ac:dyDescent="0.15">
      <c r="C28" t="s">
        <v>103</v>
      </c>
      <c r="D28" t="s">
        <v>104</v>
      </c>
    </row>
    <row r="29" spans="3:6" x14ac:dyDescent="0.15">
      <c r="C29" t="s">
        <v>110</v>
      </c>
      <c r="D29" t="s">
        <v>111</v>
      </c>
    </row>
    <row r="30" spans="3:6" x14ac:dyDescent="0.15">
      <c r="C30" t="s">
        <v>115</v>
      </c>
      <c r="D30" t="s">
        <v>116</v>
      </c>
    </row>
    <row r="31" spans="3:6" x14ac:dyDescent="0.15">
      <c r="C31" t="s">
        <v>85</v>
      </c>
      <c r="D31" t="s">
        <v>86</v>
      </c>
    </row>
    <row r="32" spans="3:6" x14ac:dyDescent="0.15">
      <c r="C32" t="s">
        <v>88</v>
      </c>
      <c r="D32" t="s">
        <v>89</v>
      </c>
    </row>
    <row r="33" spans="3:4" x14ac:dyDescent="0.15">
      <c r="C33" t="s">
        <v>101</v>
      </c>
      <c r="D33" t="s">
        <v>102</v>
      </c>
    </row>
    <row r="34" spans="3:4" x14ac:dyDescent="0.15">
      <c r="C34" t="s">
        <v>48</v>
      </c>
      <c r="D34" t="s">
        <v>105</v>
      </c>
    </row>
    <row r="35" spans="3:4" x14ac:dyDescent="0.15">
      <c r="C35" t="s">
        <v>48</v>
      </c>
      <c r="D35" t="s">
        <v>107</v>
      </c>
    </row>
    <row r="36" spans="3:4" x14ac:dyDescent="0.15">
      <c r="C36" t="s">
        <v>108</v>
      </c>
      <c r="D36" t="s">
        <v>109</v>
      </c>
    </row>
    <row r="37" spans="3:4" x14ac:dyDescent="0.15">
      <c r="C37" t="s">
        <v>113</v>
      </c>
      <c r="D37" t="s">
        <v>114</v>
      </c>
    </row>
    <row r="38" spans="3:4" x14ac:dyDescent="0.15">
      <c r="C38" t="s">
        <v>67</v>
      </c>
      <c r="D38" t="s">
        <v>117</v>
      </c>
    </row>
    <row r="39" spans="3:4" x14ac:dyDescent="0.15">
      <c r="C39" t="s">
        <v>118</v>
      </c>
      <c r="D39" t="s">
        <v>119</v>
      </c>
    </row>
    <row r="40" spans="3:4" x14ac:dyDescent="0.15">
      <c r="C40" t="s">
        <v>120</v>
      </c>
      <c r="D40" t="s">
        <v>121</v>
      </c>
    </row>
    <row r="41" spans="3:4" x14ac:dyDescent="0.15">
      <c r="C41" t="s">
        <v>122</v>
      </c>
      <c r="D41" t="s">
        <v>123</v>
      </c>
    </row>
    <row r="43" spans="3:4" x14ac:dyDescent="0.15">
      <c r="C43" t="s">
        <v>42</v>
      </c>
      <c r="D43" t="s">
        <v>43</v>
      </c>
    </row>
    <row r="44" spans="3:4" x14ac:dyDescent="0.15">
      <c r="C44" t="s">
        <v>42</v>
      </c>
      <c r="D44" t="s">
        <v>44</v>
      </c>
    </row>
    <row r="45" spans="3:4" x14ac:dyDescent="0.15">
      <c r="C45" t="s">
        <v>23</v>
      </c>
      <c r="D45" t="s">
        <v>24</v>
      </c>
    </row>
    <row r="46" spans="3:4" x14ac:dyDescent="0.15">
      <c r="C46" t="s">
        <v>23</v>
      </c>
      <c r="D46" t="s">
        <v>87</v>
      </c>
    </row>
    <row r="47" spans="3:4" x14ac:dyDescent="0.15">
      <c r="C47" t="s">
        <v>23</v>
      </c>
      <c r="D47" t="s">
        <v>95</v>
      </c>
    </row>
    <row r="48" spans="3:4" x14ac:dyDescent="0.15">
      <c r="C48" t="s">
        <v>25</v>
      </c>
      <c r="D48" t="s">
        <v>26</v>
      </c>
    </row>
    <row r="49" spans="3:5" x14ac:dyDescent="0.15">
      <c r="C49" t="s">
        <v>52</v>
      </c>
      <c r="D49" t="s">
        <v>53</v>
      </c>
      <c r="E49" t="s">
        <v>77</v>
      </c>
    </row>
    <row r="50" spans="3:5" x14ac:dyDescent="0.15">
      <c r="C50" t="s">
        <v>54</v>
      </c>
      <c r="D50" t="s">
        <v>55</v>
      </c>
      <c r="E50" t="s">
        <v>36</v>
      </c>
    </row>
    <row r="51" spans="3:5" x14ac:dyDescent="0.15">
      <c r="C51" t="s">
        <v>54</v>
      </c>
      <c r="D51" t="s">
        <v>82</v>
      </c>
    </row>
    <row r="52" spans="3:5" x14ac:dyDescent="0.15">
      <c r="C52" t="s">
        <v>56</v>
      </c>
      <c r="D52" t="s">
        <v>57</v>
      </c>
      <c r="E52" t="s">
        <v>57</v>
      </c>
    </row>
    <row r="53" spans="3:5" x14ac:dyDescent="0.15">
      <c r="C53" t="s">
        <v>37</v>
      </c>
      <c r="D53" t="s">
        <v>58</v>
      </c>
      <c r="E53" t="s">
        <v>59</v>
      </c>
    </row>
    <row r="54" spans="3:5" x14ac:dyDescent="0.15">
      <c r="C54" t="s">
        <v>37</v>
      </c>
      <c r="D54" t="s">
        <v>60</v>
      </c>
      <c r="E54" t="s">
        <v>59</v>
      </c>
    </row>
    <row r="55" spans="3:5" x14ac:dyDescent="0.15">
      <c r="C55" t="s">
        <v>61</v>
      </c>
      <c r="D55" t="s">
        <v>62</v>
      </c>
      <c r="E55" t="s">
        <v>59</v>
      </c>
    </row>
    <row r="56" spans="3:5" x14ac:dyDescent="0.15">
      <c r="C56" t="s">
        <v>37</v>
      </c>
      <c r="D56" t="s">
        <v>63</v>
      </c>
      <c r="E56" t="s">
        <v>64</v>
      </c>
    </row>
    <row r="57" spans="3:5" x14ac:dyDescent="0.15">
      <c r="C57" t="s">
        <v>65</v>
      </c>
      <c r="D57" t="s">
        <v>66</v>
      </c>
      <c r="E57" t="s">
        <v>64</v>
      </c>
    </row>
    <row r="58" spans="3:5" x14ac:dyDescent="0.15">
      <c r="C58" t="s">
        <v>67</v>
      </c>
      <c r="D58" t="s">
        <v>68</v>
      </c>
      <c r="E58" t="s">
        <v>64</v>
      </c>
    </row>
    <row r="59" spans="3:5" x14ac:dyDescent="0.15">
      <c r="C59" t="s">
        <v>67</v>
      </c>
      <c r="D59" t="s">
        <v>69</v>
      </c>
      <c r="E59" t="s">
        <v>64</v>
      </c>
    </row>
    <row r="60" spans="3:5" x14ac:dyDescent="0.15">
      <c r="C60" t="s">
        <v>70</v>
      </c>
      <c r="D60" t="s">
        <v>71</v>
      </c>
      <c r="E60" t="s">
        <v>64</v>
      </c>
    </row>
    <row r="61" spans="3:5" x14ac:dyDescent="0.15">
      <c r="C61" t="s">
        <v>72</v>
      </c>
      <c r="D61" t="s">
        <v>73</v>
      </c>
      <c r="E61" t="s">
        <v>64</v>
      </c>
    </row>
    <row r="62" spans="3:5" x14ac:dyDescent="0.15">
      <c r="C62" t="s">
        <v>34</v>
      </c>
      <c r="D62" t="s">
        <v>74</v>
      </c>
      <c r="E62" t="s">
        <v>64</v>
      </c>
    </row>
    <row r="63" spans="3:5" x14ac:dyDescent="0.15">
      <c r="C63" t="s">
        <v>75</v>
      </c>
      <c r="D63" t="s">
        <v>76</v>
      </c>
      <c r="E63" t="s">
        <v>64</v>
      </c>
    </row>
  </sheetData>
  <phoneticPr fontId="3"/>
  <hyperlinks>
    <hyperlink ref="F6" r:id="rId1" xr:uid="{C7D0C9FD-2564-4D24-9BBF-8EC5A8FAC32A}"/>
    <hyperlink ref="F10" r:id="rId2" xr:uid="{6C668F40-9B9D-4FF1-85D4-C5EBE2B23D65}"/>
    <hyperlink ref="F9" r:id="rId3" xr:uid="{5BC99103-69E7-4AD8-B3A7-6C3ECE9F133E}"/>
    <hyperlink ref="F8" r:id="rId4" xr:uid="{DF6E0364-861C-4F3F-B84F-4A2F313F218B}"/>
    <hyperlink ref="F14" r:id="rId5" xr:uid="{7E63CEA7-6550-440E-957F-570B2B764AE7}"/>
    <hyperlink ref="F7" r:id="rId6" xr:uid="{EED7894A-59E9-43CB-ADE7-2937630A13AA}"/>
    <hyperlink ref="F13" r:id="rId7" xr:uid="{250F6904-C19D-4367-957F-DD6E56403C4A}"/>
    <hyperlink ref="F19" r:id="rId8" xr:uid="{D01AA2E3-A014-4FAF-9D6A-CE0F8DD82638}"/>
    <hyperlink ref="F20" r:id="rId9" xr:uid="{90FE6DC9-82E3-4F30-9597-F0782AE2EF24}"/>
    <hyperlink ref="F21" r:id="rId10" xr:uid="{B6730145-25AF-4EA3-8F4B-B8D12362764C}"/>
    <hyperlink ref="F11" r:id="rId11" xr:uid="{56042052-5412-49F0-A002-6353696839FB}"/>
    <hyperlink ref="F12" r:id="rId12" xr:uid="{FA4F85CE-AE96-4E2A-95A8-6BAF134ECDFD}"/>
  </hyperlinks>
  <pageMargins left="0.7" right="0.7" top="0.75" bottom="0.75" header="0.3" footer="0.3"/>
  <pageSetup paperSize="9" orientation="portrait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書式維持置換</vt:lpstr>
      <vt:lpstr>Sheet3</vt:lpstr>
      <vt:lpstr>Sheet3 (2)</vt:lpstr>
      <vt:lpstr>項目シート</vt:lpstr>
      <vt:lpstr>Sheet2</vt:lpstr>
      <vt:lpstr>Sheet1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2019-06-01T05:01:32Z</cp:lastPrinted>
  <dcterms:created xsi:type="dcterms:W3CDTF">2017-09-21T10:32:10Z</dcterms:created>
  <dcterms:modified xsi:type="dcterms:W3CDTF">2019-12-22T13:53:18Z</dcterms:modified>
</cp:coreProperties>
</file>